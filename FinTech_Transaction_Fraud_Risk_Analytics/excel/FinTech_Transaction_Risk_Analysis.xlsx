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de1f2ab90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Dashboard" sheetId="1" r:id="Re467b0fd20b14b88"/>
    <x:sheet xmlns:r="http://schemas.openxmlformats.org/officeDocument/2006/relationships" name="Customers" sheetId="2" r:id="R087b4e0fe05d48c1"/>
    <x:sheet xmlns:r="http://schemas.openxmlformats.org/officeDocument/2006/relationships" name="Accounts" sheetId="3" r:id="R484ff1a608714916"/>
    <x:sheet xmlns:r="http://schemas.openxmlformats.org/officeDocument/2006/relationships" name="Transactions" sheetId="4" r:id="R83a0ff1187f44ca8"/>
    <x:sheet xmlns:r="http://schemas.openxmlformats.org/officeDocument/2006/relationships" name="Alerts" sheetId="5" r:id="Re2fd45603351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.0%"/>
    <x:numFmt numFmtId="203" formatCode="$#,##0.00"/>
    <x:numFmt numFmtId="204" formatCode="mmm-yy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F536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36C8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942"/>
      </x:patternFill>
    </x:fill>
    <x:fill>
      <x:patternFill patternType="solid">
        <x:fgColor rgb="FFE6F2FA"/>
      </x:patternFill>
    </x:fill>
    <x:fill>
      <x:patternFill patternType="solid">
        <x:fgColor rgb="FF123047"/>
      </x:patternFill>
    </x:fill>
    <x:fill>
      <x:patternFill patternType="solid">
        <x:fgColor rgb="FFEAF1F6"/>
      </x:patternFill>
    </x:fill>
    <x:fill>
      <x:patternFill patternType="solid">
        <x:fgColor rgb="FFF6FBFF"/>
      </x:patternFill>
    </x:fill>
    <x:fill>
      <x:patternFill patternType="solid">
        <x:fgColor rgb="FF16475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203" fontId="5" fillId="6" borderId="0" xfId="0" applyNumberFormat="1" applyFont="1" applyFill="1" applyBorder="1"/>
    <x:xf numFmtId="203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36bcb65b44cee" /><Relationship Type="http://schemas.openxmlformats.org/officeDocument/2006/relationships/theme" Target="/xl/theme/theme1.xml" Id="Rf92444fa49c84b7a" /><Relationship Type="http://schemas.openxmlformats.org/officeDocument/2006/relationships/sharedStrings" Target="/xl/sharedStrings.xml" Id="Rd8257244318b43cc" /><Relationship Type="http://schemas.openxmlformats.org/officeDocument/2006/relationships/worksheet" Target="/xl/worksheets/sheet1.xml" Id="Re467b0fd20b14b88" /><Relationship Type="http://schemas.openxmlformats.org/officeDocument/2006/relationships/worksheet" Target="/xl/worksheets/sheet2.xml" Id="R087b4e0fe05d48c1" /><Relationship Type="http://schemas.openxmlformats.org/officeDocument/2006/relationships/worksheet" Target="/xl/worksheets/sheet3.xml" Id="R484ff1a608714916" /><Relationship Type="http://schemas.openxmlformats.org/officeDocument/2006/relationships/worksheet" Target="/xl/worksheets/sheet4.xml" Id="R83a0ff1187f44ca8" /><Relationship Type="http://schemas.openxmlformats.org/officeDocument/2006/relationships/worksheet" Target="/xl/worksheets/sheet5.xml" Id="Re2fd4560335145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0cfc2222794347" /><Relationship Type="http://schemas.openxmlformats.org/officeDocument/2006/relationships/chart" Target="/xl/drawings/charts/chart2.xml" Id="R6411baff25bc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Alert cases by payment channel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Alert cases by payment channel</c:v>
          </c:tx>
          <c:cat>
            <c:strRef>
              <c:f>'Executive_Dashboard'!$A$16:$A$18</c:f>
              <c:strCache>
                <c:ptCount val="0"/>
              </c:strCache>
            </c:strRef>
          </c:cat>
          <c:val>
            <c:numRef>
              <c:f>'Executive_Dashboard'!$D$16:$D$18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alert volume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Monthly alert volume</c:v>
          </c:tx>
          <c:marker>
            <c:symbol val="none"/>
          </c:marker>
          <c:cat>
            <c:strRef>
              <c:f>'Executive_Dashboard'!$A$23:$A$28</c:f>
              <c:strCache>
                <c:ptCount val="0"/>
              </c:strCache>
            </c:strRef>
          </c:cat>
          <c:val>
            <c:numRef>
              <c:f>'Executive_Dashboard'!$B$23:$B$28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0cfc222279434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11baff25bc4d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e95e1788f34a5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3" customHeight="1">
      <x:c r="A1" s="3" t="str">
        <x:v>FINTECH | TRANSACTION RISK INTELLIGENCE</x:v>
      </x:c>
      <x:c r="B1" s="3"/>
      <x:c r="C1" s="3"/>
      <x:c r="D1" s="3"/>
      <x:c r="E1" s="3"/>
      <x:c r="F1" s="3"/>
      <x:c r="G1" s="3"/>
    </x:row>
    <x:row r="2" ht="29" customHeight="1">
      <x:c r="A2" s="7" t="str">
        <x:v>Synthetic portfolio | April-September 2026 | USD | Excel formulas + SQL + Power BI</x:v>
      </x:c>
      <x:c r="B2" s="7"/>
      <x:c r="C2" s="7"/>
      <x:c r="D2" s="7"/>
      <x:c r="E2" s="7"/>
      <x:c r="F2" s="7"/>
      <x:c r="G2" s="7"/>
    </x:row>
    <x:row r="5" ht="29" customHeight="1">
      <x:c r="A5" s="21" t="str">
        <x:v>Transactions</x:v>
      </x:c>
      <x:c r="B5" s="25" t="n">
        <x:f>COUNTA(Transactions!$A$2:$A$1801)</x:f>
        <x:v>1800</x:v>
      </x:c>
    </x:row>
    <x:row r="6" ht="29" customHeight="1">
      <x:c r="A6" s="21" t="str">
        <x:v>Processed amount (USD)</x:v>
      </x:c>
      <x:c r="B6" s="30" t="n">
        <x:f>SUM(Transactions!$G$2:$G$1801)</x:f>
        <x:v>264372.77999999985</x:v>
      </x:c>
    </x:row>
    <x:row r="7" ht="29" customHeight="1">
      <x:c r="A7" s="21" t="str">
        <x:v>Approval rate</x:v>
      </x:c>
      <x:c r="B7" s="28" t="n">
        <x:f>COUNTIF(Transactions!$N$2:$N$1801,"Approved")/B5</x:f>
        <x:v>0.8833333333333333</x:v>
      </x:c>
    </x:row>
    <x:row r="8" ht="29" customHeight="1">
      <x:c r="A8" s="21" t="str">
        <x:v>Flagged transactions</x:v>
      </x:c>
      <x:c r="B8" s="25" t="n">
        <x:f>SUM(Transactions!$M$2:$M$1801)</x:f>
        <x:v>81</x:v>
      </x:c>
    </x:row>
    <x:row r="9" ht="29" customHeight="1">
      <x:c r="A9" s="21" t="str">
        <x:v>Alert rate</x:v>
      </x:c>
      <x:c r="B9" s="28" t="n">
        <x:f>B8/B5</x:f>
        <x:v>0.045</x:v>
      </x:c>
    </x:row>
    <x:row r="10" ht="29" customHeight="1">
      <x:c r="A10" s="21" t="str">
        <x:v>Confirmed approved fraud loss</x:v>
      </x:c>
      <x:c r="B10" s="30" t="n">
        <x:f>SUMIFS(Transactions!$G$2:$G$1801,Transactions!$O$2:$O$1801,1,Transactions!$N$2:$N$1801,"Approved")</x:f>
        <x:v>3374.2400000000002</x:v>
      </x:c>
    </x:row>
    <x:row r="11" ht="29" customHeight="1">
      <x:c r="A11" s="21" t="str">
        <x:v>Cleared alert %</x:v>
      </x:c>
      <x:c r="B11" s="28" t="n">
        <x:f>COUNTIF(Alerts!$E$2:$E$82,"Cleared")/COUNTA(Alerts!$A$2:$A$82)</x:f>
        <x:v>0.8765432098765432</x:v>
      </x:c>
    </x:row>
    <x:row r="15">
      <x:c r="A15" s="33" t="str">
        <x:v>Channel</x:v>
      </x:c>
      <x:c r="B15" s="33" t="str">
        <x:v>Transaction count</x:v>
      </x:c>
      <x:c r="C15" s="33" t="str">
        <x:v>Amount USD</x:v>
      </x:c>
      <x:c r="D15" s="33" t="str">
        <x:v>Flagged</x:v>
      </x:c>
      <x:c r="E15" s="33" t="str">
        <x:v>Approved fraud loss USD</x:v>
      </x:c>
    </x:row>
    <x:row r="16">
      <x:c r="A16" t="str">
        <x:v>Card</x:v>
      </x:c>
      <x:c r="B16" t="n">
        <x:f>COUNTIF(Transactions!$E$2:$E$1801,A16)</x:f>
        <x:v>1068</x:v>
      </x:c>
      <x:c r="C16" s="36" t="n">
        <x:f>SUMIFS(Transactions!$G$2:$G$1801,Transactions!$E$2:$E$1801,A16)</x:f>
        <x:v>155080.8599999997</x:v>
      </x:c>
      <x:c r="D16" t="n">
        <x:f>SUMIFS(Transactions!$M$2:$M$1801,Transactions!$E$2:$E$1801,A16)</x:f>
        <x:v>36</x:v>
      </x:c>
      <x:c r="E16" s="36" t="n">
        <x:f>SUMIFS(Transactions!$G$2:$G$1801,Transactions!$E$2:$E$1801,A16,Transactions!$O$2:$O$1801,1,Transactions!$N$2:$N$1801,"Approved")</x:f>
        <x:v>3054.1</x:v>
      </x:c>
    </x:row>
    <x:row r="17">
      <x:c r="A17" t="str">
        <x:v>Bank Transfer</x:v>
      </x:c>
      <x:c r="B17" t="n">
        <x:f>COUNTIF(Transactions!$E$2:$E$1801,A17)</x:f>
        <x:v>458</x:v>
      </x:c>
      <x:c r="C17" s="36" t="n">
        <x:f>SUMIFS(Transactions!$G$2:$G$1801,Transactions!$E$2:$E$1801,A17)</x:f>
        <x:v>68318.65</x:v>
      </x:c>
      <x:c r="D17" t="n">
        <x:f>SUMIFS(Transactions!$M$2:$M$1801,Transactions!$E$2:$E$1801,A17)</x:f>
        <x:v>33</x:v>
      </x:c>
      <x:c r="E17" s="36" t="n">
        <x:f>SUMIFS(Transactions!$G$2:$G$1801,Transactions!$E$2:$E$1801,A17,Transactions!$O$2:$O$1801,1,Transactions!$N$2:$N$1801,"Approved")</x:f>
        <x:v>320.14</x:v>
      </x:c>
    </x:row>
    <x:row r="18">
      <x:c r="A18" t="str">
        <x:v>P2P</x:v>
      </x:c>
      <x:c r="B18" t="n">
        <x:f>COUNTIF(Transactions!$E$2:$E$1801,A18)</x:f>
        <x:v>274</x:v>
      </x:c>
      <x:c r="C18" s="36" t="n">
        <x:f>SUMIFS(Transactions!$G$2:$G$1801,Transactions!$E$2:$E$1801,A18)</x:f>
        <x:v>40973.26999999999</x:v>
      </x:c>
      <x:c r="D18" t="n">
        <x:f>SUMIFS(Transactions!$M$2:$M$1801,Transactions!$E$2:$E$1801,A18)</x:f>
        <x:v>12</x:v>
      </x:c>
      <x:c r="E18" s="36" t="n">
        <x:f>SUMIFS(Transactions!$G$2:$G$1801,Transactions!$E$2:$E$1801,A18,Transactions!$O$2:$O$1801,1,Transactions!$N$2:$N$1801,"Approved")</x:f>
        <x:v>0</x:v>
      </x:c>
    </x:row>
    <x:row r="22">
      <x:c r="A22" s="33" t="str">
        <x:v>Month</x:v>
      </x:c>
      <x:c r="B22" s="33" t="str">
        <x:v>Flagged transactions</x:v>
      </x:c>
    </x:row>
    <x:row r="23">
      <x:c r="A23" s="38" t="n">
        <x:v>46113</x:v>
      </x:c>
      <x:c r="B23" t="n">
        <x:f>COUNTIFS(Transactions!$C$2:$C$1801,"&gt;="&amp;A23,Transactions!$C$2:$C$1801,"&lt;"&amp;EDATE(A23,1),Transactions!$M$2:$M$1801,1)</x:f>
        <x:v>12</x:v>
      </x:c>
    </x:row>
    <x:row r="24">
      <x:c r="A24" s="38" t="n">
        <x:v>46143</x:v>
      </x:c>
      <x:c r="B24" t="n">
        <x:f>COUNTIFS(Transactions!$C$2:$C$1801,"&gt;="&amp;A24,Transactions!$C$2:$C$1801,"&lt;"&amp;EDATE(A24,1),Transactions!$M$2:$M$1801,1)</x:f>
        <x:v>12</x:v>
      </x:c>
    </x:row>
    <x:row r="25">
      <x:c r="A25" s="38" t="n">
        <x:v>46174</x:v>
      </x:c>
      <x:c r="B25" t="n">
        <x:f>COUNTIFS(Transactions!$C$2:$C$1801,"&gt;="&amp;A25,Transactions!$C$2:$C$1801,"&lt;"&amp;EDATE(A25,1),Transactions!$M$2:$M$1801,1)</x:f>
        <x:v>14</x:v>
      </x:c>
    </x:row>
    <x:row r="26">
      <x:c r="A26" s="38" t="n">
        <x:v>46204</x:v>
      </x:c>
      <x:c r="B26" t="n">
        <x:f>COUNTIFS(Transactions!$C$2:$C$1801,"&gt;="&amp;A26,Transactions!$C$2:$C$1801,"&lt;"&amp;EDATE(A26,1),Transactions!$M$2:$M$1801,1)</x:f>
        <x:v>18</x:v>
      </x:c>
    </x:row>
    <x:row r="27">
      <x:c r="A27" s="38" t="n">
        <x:v>46235</x:v>
      </x:c>
      <x:c r="B27" t="n">
        <x:f>COUNTIFS(Transactions!$C$2:$C$1801,"&gt;="&amp;A27,Transactions!$C$2:$C$1801,"&lt;"&amp;EDATE(A27,1),Transactions!$M$2:$M$1801,1)</x:f>
        <x:v>11</x:v>
      </x:c>
    </x:row>
    <x:row r="28">
      <x:c r="A28" s="38" t="n">
        <x:v>46266</x:v>
      </x:c>
      <x:c r="B28" t="n">
        <x:f>COUNTIFS(Transactions!$C$2:$C$1801,"&gt;="&amp;A28,Transactions!$C$2:$C$1801,"&lt;"&amp;EDATE(A28,1),Transactions!$M$2:$M$1801,1)</x:f>
        <x:v>14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f9e95e1788f34a50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9" customHeight="1">
      <x:c r="A1" s="12" t="str">
        <x:v>customer_id</x:v>
      </x:c>
      <x:c r="B1" s="12" t="str">
        <x:v>signup_date</x:v>
      </x:c>
      <x:c r="C1" s="12" t="str">
        <x:v>country</x:v>
      </x:c>
      <x:c r="D1" s="12" t="str">
        <x:v>segment</x:v>
      </x:c>
      <x:c r="E1" s="12" t="str">
        <x:v>kyc_status</x:v>
      </x:c>
    </x:row>
    <x:row r="2">
      <x:c r="A2" t="n">
        <x:v>1</x:v>
      </x:c>
      <x:c r="B2" s="16" t="n">
        <x:v>45899</x:v>
      </x:c>
      <x:c r="C2" t="str">
        <x:v>India</x:v>
      </x:c>
      <x:c r="D2" t="str">
        <x:v>Retail</x:v>
      </x:c>
      <x:c r="E2" t="str">
        <x:v>Verified</x:v>
      </x:c>
    </x:row>
    <x:row r="3">
      <x:c r="A3" t="n">
        <x:v>2</x:v>
      </x:c>
      <x:c r="B3" s="16" t="n">
        <x:v>45907</x:v>
      </x:c>
      <x:c r="C3" t="str">
        <x:v>Germany</x:v>
      </x:c>
      <x:c r="D3" t="str">
        <x:v>Affluent</x:v>
      </x:c>
      <x:c r="E3" t="str">
        <x:v>Verified</x:v>
      </x:c>
    </x:row>
    <x:row r="4">
      <x:c r="A4" t="n">
        <x:v>3</x:v>
      </x:c>
      <x:c r="B4" s="16" t="n">
        <x:v>45925</x:v>
      </x:c>
      <x:c r="C4" t="str">
        <x:v>UAE</x:v>
      </x:c>
      <x:c r="D4" t="str">
        <x:v>Retail</x:v>
      </x:c>
      <x:c r="E4" t="str">
        <x:v>Verified</x:v>
      </x:c>
    </x:row>
    <x:row r="5">
      <x:c r="A5" t="n">
        <x:v>4</x:v>
      </x:c>
      <x:c r="B5" s="16" t="n">
        <x:v>46101</x:v>
      </x:c>
      <x:c r="C5" t="str">
        <x:v>United Kingdom</x:v>
      </x:c>
      <x:c r="D5" t="str">
        <x:v>Student</x:v>
      </x:c>
      <x:c r="E5" t="str">
        <x:v>Verified</x:v>
      </x:c>
    </x:row>
    <x:row r="6">
      <x:c r="A6" t="n">
        <x:v>5</x:v>
      </x:c>
      <x:c r="B6" s="16" t="n">
        <x:v>45862</x:v>
      </x:c>
      <x:c r="C6" t="str">
        <x:v>United Kingdom</x:v>
      </x:c>
      <x:c r="D6" t="str">
        <x:v>Small Business</x:v>
      </x:c>
      <x:c r="E6" t="str">
        <x:v>Verified</x:v>
      </x:c>
    </x:row>
    <x:row r="7">
      <x:c r="A7" t="n">
        <x:v>6</x:v>
      </x:c>
      <x:c r="B7" s="16" t="n">
        <x:v>45805</x:v>
      </x:c>
      <x:c r="C7" t="str">
        <x:v>UAE</x:v>
      </x:c>
      <x:c r="D7" t="str">
        <x:v>Retail</x:v>
      </x:c>
      <x:c r="E7" t="str">
        <x:v>Verified</x:v>
      </x:c>
    </x:row>
    <x:row r="8">
      <x:c r="A8" t="n">
        <x:v>7</x:v>
      </x:c>
      <x:c r="B8" s="16" t="n">
        <x:v>45897</x:v>
      </x:c>
      <x:c r="C8" t="str">
        <x:v>UAE</x:v>
      </x:c>
      <x:c r="D8" t="str">
        <x:v>Retail</x:v>
      </x:c>
      <x:c r="E8" t="str">
        <x:v>Verified</x:v>
      </x:c>
    </x:row>
    <x:row r="9">
      <x:c r="A9" t="n">
        <x:v>8</x:v>
      </x:c>
      <x:c r="B9" s="16" t="n">
        <x:v>45853</x:v>
      </x:c>
      <x:c r="C9" t="str">
        <x:v>United Kingdom</x:v>
      </x:c>
      <x:c r="D9" t="str">
        <x:v>Freelancer</x:v>
      </x:c>
      <x:c r="E9" t="str">
        <x:v>Verified</x:v>
      </x:c>
    </x:row>
    <x:row r="10">
      <x:c r="A10" t="n">
        <x:v>9</x:v>
      </x:c>
      <x:c r="B10" s="16" t="n">
        <x:v>45684</x:v>
      </x:c>
      <x:c r="C10" t="str">
        <x:v>UAE</x:v>
      </x:c>
      <x:c r="D10" t="str">
        <x:v>Freelancer</x:v>
      </x:c>
      <x:c r="E10" t="str">
        <x:v>Verified</x:v>
      </x:c>
    </x:row>
    <x:row r="11">
      <x:c r="A11" t="n">
        <x:v>10</x:v>
      </x:c>
      <x:c r="B11" s="16" t="n">
        <x:v>45677</x:v>
      </x:c>
      <x:c r="C11" t="str">
        <x:v>India</x:v>
      </x:c>
      <x:c r="D11" t="str">
        <x:v>Affluent</x:v>
      </x:c>
      <x:c r="E11" t="str">
        <x:v>Verified</x:v>
      </x:c>
    </x:row>
    <x:row r="12">
      <x:c r="A12" t="n">
        <x:v>11</x:v>
      </x:c>
      <x:c r="B12" s="16" t="n">
        <x:v>45659</x:v>
      </x:c>
      <x:c r="C12" t="str">
        <x:v>United Kingdom</x:v>
      </x:c>
      <x:c r="D12" t="str">
        <x:v>Retail</x:v>
      </x:c>
      <x:c r="E12" t="str">
        <x:v>Verified</x:v>
      </x:c>
    </x:row>
    <x:row r="13">
      <x:c r="A13" t="n">
        <x:v>12</x:v>
      </x:c>
      <x:c r="B13" s="16" t="n">
        <x:v>45681</x:v>
      </x:c>
      <x:c r="C13" t="str">
        <x:v>Singapore</x:v>
      </x:c>
      <x:c r="D13" t="str">
        <x:v>Retail</x:v>
      </x:c>
      <x:c r="E13" t="str">
        <x:v>Verified</x:v>
      </x:c>
    </x:row>
    <x:row r="14">
      <x:c r="A14" t="n">
        <x:v>13</x:v>
      </x:c>
      <x:c r="B14" s="16" t="n">
        <x:v>45790</x:v>
      </x:c>
      <x:c r="C14" t="str">
        <x:v>United Kingdom</x:v>
      </x:c>
      <x:c r="D14" t="str">
        <x:v>Freelancer</x:v>
      </x:c>
      <x:c r="E14" t="str">
        <x:v>Pending</x:v>
      </x:c>
    </x:row>
    <x:row r="15">
      <x:c r="A15" t="n">
        <x:v>14</x:v>
      </x:c>
      <x:c r="B15" s="16" t="n">
        <x:v>45699</x:v>
      </x:c>
      <x:c r="C15" t="str">
        <x:v>Germany</x:v>
      </x:c>
      <x:c r="D15" t="str">
        <x:v>Retail</x:v>
      </x:c>
      <x:c r="E15" t="str">
        <x:v>Verified</x:v>
      </x:c>
    </x:row>
    <x:row r="16">
      <x:c r="A16" t="n">
        <x:v>15</x:v>
      </x:c>
      <x:c r="B16" s="16" t="n">
        <x:v>45800</x:v>
      </x:c>
      <x:c r="C16" t="str">
        <x:v>India</x:v>
      </x:c>
      <x:c r="D16" t="str">
        <x:v>Affluent</x:v>
      </x:c>
      <x:c r="E16" t="str">
        <x:v>Verified</x:v>
      </x:c>
    </x:row>
    <x:row r="17">
      <x:c r="A17" t="n">
        <x:v>16</x:v>
      </x:c>
      <x:c r="B17" s="16" t="n">
        <x:v>45737</x:v>
      </x:c>
      <x:c r="C17" t="str">
        <x:v>India</x:v>
      </x:c>
      <x:c r="D17" t="str">
        <x:v>Affluent</x:v>
      </x:c>
      <x:c r="E17" t="str">
        <x:v>Verified</x:v>
      </x:c>
    </x:row>
    <x:row r="18">
      <x:c r="A18" t="n">
        <x:v>17</x:v>
      </x:c>
      <x:c r="B18" s="16" t="n">
        <x:v>46015</x:v>
      </x:c>
      <x:c r="C18" t="str">
        <x:v>India</x:v>
      </x:c>
      <x:c r="D18" t="str">
        <x:v>Retail</x:v>
      </x:c>
      <x:c r="E18" t="str">
        <x:v>Verified</x:v>
      </x:c>
    </x:row>
    <x:row r="19">
      <x:c r="A19" t="n">
        <x:v>18</x:v>
      </x:c>
      <x:c r="B19" s="16" t="n">
        <x:v>45990</x:v>
      </x:c>
      <x:c r="C19" t="str">
        <x:v>Germany</x:v>
      </x:c>
      <x:c r="D19" t="str">
        <x:v>Retail</x:v>
      </x:c>
      <x:c r="E19" t="str">
        <x:v>Verified</x:v>
      </x:c>
    </x:row>
    <x:row r="20">
      <x:c r="A20" t="n">
        <x:v>19</x:v>
      </x:c>
      <x:c r="B20" s="16" t="n">
        <x:v>45779</x:v>
      </x:c>
      <x:c r="C20" t="str">
        <x:v>United Kingdom</x:v>
      </x:c>
      <x:c r="D20" t="str">
        <x:v>Retail</x:v>
      </x:c>
      <x:c r="E20" t="str">
        <x:v>Verified</x:v>
      </x:c>
    </x:row>
    <x:row r="21">
      <x:c r="A21" t="n">
        <x:v>20</x:v>
      </x:c>
      <x:c r="B21" s="16" t="n">
        <x:v>45977</x:v>
      </x:c>
      <x:c r="C21" t="str">
        <x:v>Germany</x:v>
      </x:c>
      <x:c r="D21" t="str">
        <x:v>Affluent</x:v>
      </x:c>
      <x:c r="E21" t="str">
        <x:v>Verified</x:v>
      </x:c>
    </x:row>
    <x:row r="22">
      <x:c r="A22" t="n">
        <x:v>21</x:v>
      </x:c>
      <x:c r="B22" s="16" t="n">
        <x:v>45901</x:v>
      </x:c>
      <x:c r="C22" t="str">
        <x:v>Germany</x:v>
      </x:c>
      <x:c r="D22" t="str">
        <x:v>Affluent</x:v>
      </x:c>
      <x:c r="E22" t="str">
        <x:v>Verified</x:v>
      </x:c>
    </x:row>
    <x:row r="23">
      <x:c r="A23" t="n">
        <x:v>22</x:v>
      </x:c>
      <x:c r="B23" s="16" t="n">
        <x:v>45862</x:v>
      </x:c>
      <x:c r="C23" t="str">
        <x:v>India</x:v>
      </x:c>
      <x:c r="D23" t="str">
        <x:v>Retail</x:v>
      </x:c>
      <x:c r="E23" t="str">
        <x:v>Verified</x:v>
      </x:c>
    </x:row>
    <x:row r="24">
      <x:c r="A24" t="n">
        <x:v>23</x:v>
      </x:c>
      <x:c r="B24" s="16" t="n">
        <x:v>46050</x:v>
      </x:c>
      <x:c r="C24" t="str">
        <x:v>UAE</x:v>
      </x:c>
      <x:c r="D24" t="str">
        <x:v>Small Business</x:v>
      </x:c>
      <x:c r="E24" t="str">
        <x:v>Verified</x:v>
      </x:c>
    </x:row>
    <x:row r="25">
      <x:c r="A25" t="n">
        <x:v>24</x:v>
      </x:c>
      <x:c r="B25" s="16" t="n">
        <x:v>45759</x:v>
      </x:c>
      <x:c r="C25" t="str">
        <x:v>India</x:v>
      </x:c>
      <x:c r="D25" t="str">
        <x:v>Retail</x:v>
      </x:c>
      <x:c r="E25" t="str">
        <x:v>Pending</x:v>
      </x:c>
    </x:row>
    <x:row r="26">
      <x:c r="A26" t="n">
        <x:v>25</x:v>
      </x:c>
      <x:c r="B26" s="16" t="n">
        <x:v>45769</x:v>
      </x:c>
      <x:c r="C26" t="str">
        <x:v>Singapore</x:v>
      </x:c>
      <x:c r="D26" t="str">
        <x:v>Retail</x:v>
      </x:c>
      <x:c r="E26" t="str">
        <x:v>Verified</x:v>
      </x:c>
    </x:row>
    <x:row r="27">
      <x:c r="A27" t="n">
        <x:v>26</x:v>
      </x:c>
      <x:c r="B27" s="16" t="n">
        <x:v>45720</x:v>
      </x:c>
      <x:c r="C27" t="str">
        <x:v>UAE</x:v>
      </x:c>
      <x:c r="D27" t="str">
        <x:v>Freelancer</x:v>
      </x:c>
      <x:c r="E27" t="str">
        <x:v>Verified</x:v>
      </x:c>
    </x:row>
    <x:row r="28">
      <x:c r="A28" t="n">
        <x:v>27</x:v>
      </x:c>
      <x:c r="B28" s="16" t="n">
        <x:v>45663</x:v>
      </x:c>
      <x:c r="C28" t="str">
        <x:v>UAE</x:v>
      </x:c>
      <x:c r="D28" t="str">
        <x:v>Retail</x:v>
      </x:c>
      <x:c r="E28" t="str">
        <x:v>Verified</x:v>
      </x:c>
    </x:row>
    <x:row r="29">
      <x:c r="A29" t="n">
        <x:v>28</x:v>
      </x:c>
      <x:c r="B29" s="16" t="n">
        <x:v>45772</x:v>
      </x:c>
      <x:c r="C29" t="str">
        <x:v>India</x:v>
      </x:c>
      <x:c r="D29" t="str">
        <x:v>Small Business</x:v>
      </x:c>
      <x:c r="E29" t="str">
        <x:v>Verified</x:v>
      </x:c>
    </x:row>
    <x:row r="30">
      <x:c r="A30" t="n">
        <x:v>29</x:v>
      </x:c>
      <x:c r="B30" s="16" t="n">
        <x:v>45930</x:v>
      </x:c>
      <x:c r="C30" t="str">
        <x:v>UAE</x:v>
      </x:c>
      <x:c r="D30" t="str">
        <x:v>Affluent</x:v>
      </x:c>
      <x:c r="E30" t="str">
        <x:v>Verified</x:v>
      </x:c>
    </x:row>
    <x:row r="31">
      <x:c r="A31" t="n">
        <x:v>30</x:v>
      </x:c>
      <x:c r="B31" s="16" t="n">
        <x:v>45712</x:v>
      </x:c>
      <x:c r="C31" t="str">
        <x:v>India</x:v>
      </x:c>
      <x:c r="D31" t="str">
        <x:v>Retail</x:v>
      </x:c>
      <x:c r="E31" t="str">
        <x:v>Verified</x:v>
      </x:c>
    </x:row>
    <x:row r="32">
      <x:c r="A32" t="n">
        <x:v>31</x:v>
      </x:c>
      <x:c r="B32" s="16" t="n">
        <x:v>45668</x:v>
      </x:c>
      <x:c r="C32" t="str">
        <x:v>UAE</x:v>
      </x:c>
      <x:c r="D32" t="str">
        <x:v>Freelancer</x:v>
      </x:c>
      <x:c r="E32" t="str">
        <x:v>Verified</x:v>
      </x:c>
    </x:row>
    <x:row r="33">
      <x:c r="A33" t="n">
        <x:v>32</x:v>
      </x:c>
      <x:c r="B33" s="16" t="n">
        <x:v>45770</x:v>
      </x:c>
      <x:c r="C33" t="str">
        <x:v>UAE</x:v>
      </x:c>
      <x:c r="D33" t="str">
        <x:v>Affluent</x:v>
      </x:c>
      <x:c r="E33" t="str">
        <x:v>Verified</x:v>
      </x:c>
    </x:row>
    <x:row r="34">
      <x:c r="A34" t="n">
        <x:v>33</x:v>
      </x:c>
      <x:c r="B34" s="16" t="n">
        <x:v>45819</x:v>
      </x:c>
      <x:c r="C34" t="str">
        <x:v>India</x:v>
      </x:c>
      <x:c r="D34" t="str">
        <x:v>Small Business</x:v>
      </x:c>
      <x:c r="E34" t="str">
        <x:v>Verified</x:v>
      </x:c>
    </x:row>
    <x:row r="35">
      <x:c r="A35" t="n">
        <x:v>34</x:v>
      </x:c>
      <x:c r="B35" s="16" t="n">
        <x:v>45952</x:v>
      </x:c>
      <x:c r="C35" t="str">
        <x:v>India</x:v>
      </x:c>
      <x:c r="D35" t="str">
        <x:v>Affluent</x:v>
      </x:c>
      <x:c r="E35" t="str">
        <x:v>Verified</x:v>
      </x:c>
    </x:row>
    <x:row r="36">
      <x:c r="A36" t="n">
        <x:v>35</x:v>
      </x:c>
      <x:c r="B36" s="16" t="n">
        <x:v>46010</x:v>
      </x:c>
      <x:c r="C36" t="str">
        <x:v>Germany</x:v>
      </x:c>
      <x:c r="D36" t="str">
        <x:v>Affluent</x:v>
      </x:c>
      <x:c r="E36" t="str">
        <x:v>Verified</x:v>
      </x:c>
    </x:row>
    <x:row r="37">
      <x:c r="A37" t="n">
        <x:v>36</x:v>
      </x:c>
      <x:c r="B37" s="16" t="n">
        <x:v>45997</x:v>
      </x:c>
      <x:c r="C37" t="str">
        <x:v>United Kingdom</x:v>
      </x:c>
      <x:c r="D37" t="str">
        <x:v>Retail</x:v>
      </x:c>
      <x:c r="E37" t="str">
        <x:v>Verified</x:v>
      </x:c>
    </x:row>
    <x:row r="38">
      <x:c r="A38" t="n">
        <x:v>37</x:v>
      </x:c>
      <x:c r="B38" s="16" t="n">
        <x:v>45813</x:v>
      </x:c>
      <x:c r="C38" t="str">
        <x:v>Singapore</x:v>
      </x:c>
      <x:c r="D38" t="str">
        <x:v>Retail</x:v>
      </x:c>
      <x:c r="E38" t="str">
        <x:v>Pending</x:v>
      </x:c>
    </x:row>
    <x:row r="39">
      <x:c r="A39" t="n">
        <x:v>38</x:v>
      </x:c>
      <x:c r="B39" s="16" t="n">
        <x:v>45901</x:v>
      </x:c>
      <x:c r="C39" t="str">
        <x:v>India</x:v>
      </x:c>
      <x:c r="D39" t="str">
        <x:v>Retail</x:v>
      </x:c>
      <x:c r="E39" t="str">
        <x:v>Verified</x:v>
      </x:c>
    </x:row>
    <x:row r="40">
      <x:c r="A40" t="n">
        <x:v>39</x:v>
      </x:c>
      <x:c r="B40" s="16" t="n">
        <x:v>45964</x:v>
      </x:c>
      <x:c r="C40" t="str">
        <x:v>United Kingdom</x:v>
      </x:c>
      <x:c r="D40" t="str">
        <x:v>Retail</x:v>
      </x:c>
      <x:c r="E40" t="str">
        <x:v>Verified</x:v>
      </x:c>
    </x:row>
    <x:row r="41">
      <x:c r="A41" t="n">
        <x:v>40</x:v>
      </x:c>
      <x:c r="B41" s="16" t="n">
        <x:v>45844</x:v>
      </x:c>
      <x:c r="C41" t="str">
        <x:v>United Kingdom</x:v>
      </x:c>
      <x:c r="D41" t="str">
        <x:v>Student</x:v>
      </x:c>
      <x:c r="E41" t="str">
        <x:v>Verified</x:v>
      </x:c>
    </x:row>
    <x:row r="42">
      <x:c r="A42" t="n">
        <x:v>41</x:v>
      </x:c>
      <x:c r="B42" s="16" t="n">
        <x:v>46031</x:v>
      </x:c>
      <x:c r="C42" t="str">
        <x:v>Singapore</x:v>
      </x:c>
      <x:c r="D42" t="str">
        <x:v>Retail</x:v>
      </x:c>
      <x:c r="E42" t="str">
        <x:v>Verified</x:v>
      </x:c>
    </x:row>
    <x:row r="43">
      <x:c r="A43" t="n">
        <x:v>42</x:v>
      </x:c>
      <x:c r="B43" s="16" t="n">
        <x:v>45659</x:v>
      </x:c>
      <x:c r="C43" t="str">
        <x:v>Germany</x:v>
      </x:c>
      <x:c r="D43" t="str">
        <x:v>Student</x:v>
      </x:c>
      <x:c r="E43" t="str">
        <x:v>Verified</x:v>
      </x:c>
    </x:row>
    <x:row r="44">
      <x:c r="A44" t="n">
        <x:v>43</x:v>
      </x:c>
      <x:c r="B44" s="16" t="n">
        <x:v>46096</x:v>
      </x:c>
      <x:c r="C44" t="str">
        <x:v>United Kingdom</x:v>
      </x:c>
      <x:c r="D44" t="str">
        <x:v>Student</x:v>
      </x:c>
      <x:c r="E44" t="str">
        <x:v>Pending</x:v>
      </x:c>
    </x:row>
    <x:row r="45">
      <x:c r="A45" t="n">
        <x:v>44</x:v>
      </x:c>
      <x:c r="B45" s="16" t="n">
        <x:v>46039</x:v>
      </x:c>
      <x:c r="C45" t="str">
        <x:v>India</x:v>
      </x:c>
      <x:c r="D45" t="str">
        <x:v>Affluent</x:v>
      </x:c>
      <x:c r="E45" t="str">
        <x:v>Verified</x:v>
      </x:c>
    </x:row>
    <x:row r="46">
      <x:c r="A46" t="n">
        <x:v>45</x:v>
      </x:c>
      <x:c r="B46" s="16" t="n">
        <x:v>45971</x:v>
      </x:c>
      <x:c r="C46" t="str">
        <x:v>Germany</x:v>
      </x:c>
      <x:c r="D46" t="str">
        <x:v>Affluent</x:v>
      </x:c>
      <x:c r="E46" t="str">
        <x:v>Verified</x:v>
      </x:c>
    </x:row>
    <x:row r="47">
      <x:c r="A47" t="n">
        <x:v>46</x:v>
      </x:c>
      <x:c r="B47" s="16" t="n">
        <x:v>45848</x:v>
      </x:c>
      <x:c r="C47" t="str">
        <x:v>India</x:v>
      </x:c>
      <x:c r="D47" t="str">
        <x:v>Retail</x:v>
      </x:c>
      <x:c r="E47" t="str">
        <x:v>Verified</x:v>
      </x:c>
    </x:row>
    <x:row r="48">
      <x:c r="A48" t="n">
        <x:v>47</x:v>
      </x:c>
      <x:c r="B48" s="16" t="n">
        <x:v>45995</x:v>
      </x:c>
      <x:c r="C48" t="str">
        <x:v>India</x:v>
      </x:c>
      <x:c r="D48" t="str">
        <x:v>Affluent</x:v>
      </x:c>
      <x:c r="E48" t="str">
        <x:v>Verified</x:v>
      </x:c>
    </x:row>
    <x:row r="49">
      <x:c r="A49" t="n">
        <x:v>48</x:v>
      </x:c>
      <x:c r="B49" s="16" t="n">
        <x:v>46015</x:v>
      </x:c>
      <x:c r="C49" t="str">
        <x:v>India</x:v>
      </x:c>
      <x:c r="D49" t="str">
        <x:v>Student</x:v>
      </x:c>
      <x:c r="E49" t="str">
        <x:v>Verified</x:v>
      </x:c>
    </x:row>
    <x:row r="50">
      <x:c r="A50" t="n">
        <x:v>49</x:v>
      </x:c>
      <x:c r="B50" s="16" t="n">
        <x:v>45796</x:v>
      </x:c>
      <x:c r="C50" t="str">
        <x:v>Singapore</x:v>
      </x:c>
      <x:c r="D50" t="str">
        <x:v>Small Business</x:v>
      </x:c>
      <x:c r="E50" t="str">
        <x:v>Verified</x:v>
      </x:c>
    </x:row>
    <x:row r="51">
      <x:c r="A51" t="n">
        <x:v>50</x:v>
      </x:c>
      <x:c r="B51" s="16" t="n">
        <x:v>46027</x:v>
      </x:c>
      <x:c r="C51" t="str">
        <x:v>India</x:v>
      </x:c>
      <x:c r="D51" t="str">
        <x:v>Retail</x:v>
      </x:c>
      <x:c r="E51" t="str">
        <x:v>Verified</x:v>
      </x:c>
    </x:row>
    <x:row r="52">
      <x:c r="A52" t="n">
        <x:v>51</x:v>
      </x:c>
      <x:c r="B52" s="16" t="n">
        <x:v>46072</x:v>
      </x:c>
      <x:c r="C52" t="str">
        <x:v>United Kingdom</x:v>
      </x:c>
      <x:c r="D52" t="str">
        <x:v>Freelancer</x:v>
      </x:c>
      <x:c r="E52" t="str">
        <x:v>Verified</x:v>
      </x:c>
    </x:row>
    <x:row r="53">
      <x:c r="A53" t="n">
        <x:v>52</x:v>
      </x:c>
      <x:c r="B53" s="16" t="n">
        <x:v>45846</x:v>
      </x:c>
      <x:c r="C53" t="str">
        <x:v>India</x:v>
      </x:c>
      <x:c r="D53" t="str">
        <x:v>Freelancer</x:v>
      </x:c>
      <x:c r="E53" t="str">
        <x:v>Verified</x:v>
      </x:c>
    </x:row>
    <x:row r="54">
      <x:c r="A54" t="n">
        <x:v>53</x:v>
      </x:c>
      <x:c r="B54" s="16" t="n">
        <x:v>45708</x:v>
      </x:c>
      <x:c r="C54" t="str">
        <x:v>India</x:v>
      </x:c>
      <x:c r="D54" t="str">
        <x:v>Freelancer</x:v>
      </x:c>
      <x:c r="E54" t="str">
        <x:v>Verified</x:v>
      </x:c>
    </x:row>
    <x:row r="55">
      <x:c r="A55" t="n">
        <x:v>54</x:v>
      </x:c>
      <x:c r="B55" s="16" t="n">
        <x:v>45740</x:v>
      </x:c>
      <x:c r="C55" t="str">
        <x:v>United Kingdom</x:v>
      </x:c>
      <x:c r="D55" t="str">
        <x:v>Retail</x:v>
      </x:c>
      <x:c r="E55" t="str">
        <x:v>Verified</x:v>
      </x:c>
    </x:row>
    <x:row r="56">
      <x:c r="A56" t="n">
        <x:v>55</x:v>
      </x:c>
      <x:c r="B56" s="16" t="n">
        <x:v>46090</x:v>
      </x:c>
      <x:c r="C56" t="str">
        <x:v>United Kingdom</x:v>
      </x:c>
      <x:c r="D56" t="str">
        <x:v>Small Business</x:v>
      </x:c>
      <x:c r="E56" t="str">
        <x:v>Verified</x:v>
      </x:c>
    </x:row>
    <x:row r="57">
      <x:c r="A57" t="n">
        <x:v>56</x:v>
      </x:c>
      <x:c r="B57" s="16" t="n">
        <x:v>45954</x:v>
      </x:c>
      <x:c r="C57" t="str">
        <x:v>United Kingdom</x:v>
      </x:c>
      <x:c r="D57" t="str">
        <x:v>Retail</x:v>
      </x:c>
      <x:c r="E57" t="str">
        <x:v>Verified</x:v>
      </x:c>
    </x:row>
    <x:row r="58">
      <x:c r="A58" t="n">
        <x:v>57</x:v>
      </x:c>
      <x:c r="B58" s="16" t="n">
        <x:v>45960</x:v>
      </x:c>
      <x:c r="C58" t="str">
        <x:v>India</x:v>
      </x:c>
      <x:c r="D58" t="str">
        <x:v>Affluent</x:v>
      </x:c>
      <x:c r="E58" t="str">
        <x:v>Verified</x:v>
      </x:c>
    </x:row>
    <x:row r="59">
      <x:c r="A59" t="n">
        <x:v>58</x:v>
      </x:c>
      <x:c r="B59" s="16" t="n">
        <x:v>45827</x:v>
      </x:c>
      <x:c r="C59" t="str">
        <x:v>India</x:v>
      </x:c>
      <x:c r="D59" t="str">
        <x:v>Small Business</x:v>
      </x:c>
      <x:c r="E59" t="str">
        <x:v>Verified</x:v>
      </x:c>
    </x:row>
    <x:row r="60">
      <x:c r="A60" t="n">
        <x:v>59</x:v>
      </x:c>
      <x:c r="B60" s="16" t="n">
        <x:v>45957</x:v>
      </x:c>
      <x:c r="C60" t="str">
        <x:v>United Kingdom</x:v>
      </x:c>
      <x:c r="D60" t="str">
        <x:v>Retail</x:v>
      </x:c>
      <x:c r="E60" t="str">
        <x:v>Verified</x:v>
      </x:c>
    </x:row>
    <x:row r="61">
      <x:c r="A61" t="n">
        <x:v>60</x:v>
      </x:c>
      <x:c r="B61" s="16" t="n">
        <x:v>45893</x:v>
      </x:c>
      <x:c r="C61" t="str">
        <x:v>UAE</x:v>
      </x:c>
      <x:c r="D61" t="str">
        <x:v>Retail</x:v>
      </x:c>
      <x:c r="E61" t="str">
        <x:v>Verified</x:v>
      </x:c>
    </x:row>
    <x:row r="62">
      <x:c r="A62" t="n">
        <x:v>61</x:v>
      </x:c>
      <x:c r="B62" s="16" t="n">
        <x:v>45678</x:v>
      </x:c>
      <x:c r="C62" t="str">
        <x:v>India</x:v>
      </x:c>
      <x:c r="D62" t="str">
        <x:v>Small Business</x:v>
      </x:c>
      <x:c r="E62" t="str">
        <x:v>Verified</x:v>
      </x:c>
    </x:row>
    <x:row r="63">
      <x:c r="A63" t="n">
        <x:v>62</x:v>
      </x:c>
      <x:c r="B63" s="16" t="n">
        <x:v>45822</x:v>
      </x:c>
      <x:c r="C63" t="str">
        <x:v>India</x:v>
      </x:c>
      <x:c r="D63" t="str">
        <x:v>Retail</x:v>
      </x:c>
      <x:c r="E63" t="str">
        <x:v>Verified</x:v>
      </x:c>
    </x:row>
    <x:row r="64">
      <x:c r="A64" t="n">
        <x:v>63</x:v>
      </x:c>
      <x:c r="B64" s="16" t="n">
        <x:v>45972</x:v>
      </x:c>
      <x:c r="C64" t="str">
        <x:v>UAE</x:v>
      </x:c>
      <x:c r="D64" t="str">
        <x:v>Retail</x:v>
      </x:c>
      <x:c r="E64" t="str">
        <x:v>Verified</x:v>
      </x:c>
    </x:row>
    <x:row r="65">
      <x:c r="A65" t="n">
        <x:v>64</x:v>
      </x:c>
      <x:c r="B65" s="16" t="n">
        <x:v>45721</x:v>
      </x:c>
      <x:c r="C65" t="str">
        <x:v>United Kingdom</x:v>
      </x:c>
      <x:c r="D65" t="str">
        <x:v>Retail</x:v>
      </x:c>
      <x:c r="E65" t="str">
        <x:v>Verified</x:v>
      </x:c>
    </x:row>
    <x:row r="66">
      <x:c r="A66" t="n">
        <x:v>65</x:v>
      </x:c>
      <x:c r="B66" s="16" t="n">
        <x:v>45836</x:v>
      </x:c>
      <x:c r="C66" t="str">
        <x:v>India</x:v>
      </x:c>
      <x:c r="D66" t="str">
        <x:v>Retail</x:v>
      </x:c>
      <x:c r="E66" t="str">
        <x:v>Verified</x:v>
      </x:c>
    </x:row>
    <x:row r="67">
      <x:c r="A67" t="n">
        <x:v>66</x:v>
      </x:c>
      <x:c r="B67" s="16" t="n">
        <x:v>45963</x:v>
      </x:c>
      <x:c r="C67" t="str">
        <x:v>India</x:v>
      </x:c>
      <x:c r="D67" t="str">
        <x:v>Small Business</x:v>
      </x:c>
      <x:c r="E67" t="str">
        <x:v>Verified</x:v>
      </x:c>
    </x:row>
    <x:row r="68">
      <x:c r="A68" t="n">
        <x:v>67</x:v>
      </x:c>
      <x:c r="B68" s="16" t="n">
        <x:v>45995</x:v>
      </x:c>
      <x:c r="C68" t="str">
        <x:v>India</x:v>
      </x:c>
      <x:c r="D68" t="str">
        <x:v>Retail</x:v>
      </x:c>
      <x:c r="E68" t="str">
        <x:v>Verified</x:v>
      </x:c>
    </x:row>
    <x:row r="69">
      <x:c r="A69" t="n">
        <x:v>68</x:v>
      </x:c>
      <x:c r="B69" s="16" t="n">
        <x:v>45949</x:v>
      </x:c>
      <x:c r="C69" t="str">
        <x:v>India</x:v>
      </x:c>
      <x:c r="D69" t="str">
        <x:v>Retail</x:v>
      </x:c>
      <x:c r="E69" t="str">
        <x:v>Verified</x:v>
      </x:c>
    </x:row>
    <x:row r="70">
      <x:c r="A70" t="n">
        <x:v>69</x:v>
      </x:c>
      <x:c r="B70" s="16" t="n">
        <x:v>45930</x:v>
      </x:c>
      <x:c r="C70" t="str">
        <x:v>United Kingdom</x:v>
      </x:c>
      <x:c r="D70" t="str">
        <x:v>Retail</x:v>
      </x:c>
      <x:c r="E70" t="str">
        <x:v>Verified</x:v>
      </x:c>
    </x:row>
    <x:row r="71">
      <x:c r="A71" t="n">
        <x:v>70</x:v>
      </x:c>
      <x:c r="B71" s="16" t="n">
        <x:v>46015</x:v>
      </x:c>
      <x:c r="C71" t="str">
        <x:v>UAE</x:v>
      </x:c>
      <x:c r="D71" t="str">
        <x:v>Freelancer</x:v>
      </x:c>
      <x:c r="E71" t="str">
        <x:v>Verified</x:v>
      </x:c>
    </x:row>
    <x:row r="72">
      <x:c r="A72" t="n">
        <x:v>71</x:v>
      </x:c>
      <x:c r="B72" s="16" t="n">
        <x:v>46083</x:v>
      </x:c>
      <x:c r="C72" t="str">
        <x:v>India</x:v>
      </x:c>
      <x:c r="D72" t="str">
        <x:v>Freelancer</x:v>
      </x:c>
      <x:c r="E72" t="str">
        <x:v>Verified</x:v>
      </x:c>
    </x:row>
    <x:row r="73">
      <x:c r="A73" t="n">
        <x:v>72</x:v>
      </x:c>
      <x:c r="B73" s="16" t="n">
        <x:v>46013</x:v>
      </x:c>
      <x:c r="C73" t="str">
        <x:v>United Kingdom</x:v>
      </x:c>
      <x:c r="D73" t="str">
        <x:v>Small Business</x:v>
      </x:c>
      <x:c r="E73" t="str">
        <x:v>Verified</x:v>
      </x:c>
    </x:row>
    <x:row r="74">
      <x:c r="A74" t="n">
        <x:v>73</x:v>
      </x:c>
      <x:c r="B74" s="16" t="n">
        <x:v>45980</x:v>
      </x:c>
      <x:c r="C74" t="str">
        <x:v>India</x:v>
      </x:c>
      <x:c r="D74" t="str">
        <x:v>Affluent</x:v>
      </x:c>
      <x:c r="E74" t="str">
        <x:v>Verified</x:v>
      </x:c>
    </x:row>
    <x:row r="75">
      <x:c r="A75" t="n">
        <x:v>74</x:v>
      </x:c>
      <x:c r="B75" s="16" t="n">
        <x:v>45930</x:v>
      </x:c>
      <x:c r="C75" t="str">
        <x:v>UAE</x:v>
      </x:c>
      <x:c r="D75" t="str">
        <x:v>Small Business</x:v>
      </x:c>
      <x:c r="E75" t="str">
        <x:v>Verified</x:v>
      </x:c>
    </x:row>
    <x:row r="76">
      <x:c r="A76" t="n">
        <x:v>75</x:v>
      </x:c>
      <x:c r="B76" s="16" t="n">
        <x:v>45805</x:v>
      </x:c>
      <x:c r="C76" t="str">
        <x:v>UAE</x:v>
      </x:c>
      <x:c r="D76" t="str">
        <x:v>Student</x:v>
      </x:c>
      <x:c r="E76" t="str">
        <x:v>Verified</x:v>
      </x:c>
    </x:row>
    <x:row r="77">
      <x:c r="A77" t="n">
        <x:v>76</x:v>
      </x:c>
      <x:c r="B77" s="16" t="n">
        <x:v>45766</x:v>
      </x:c>
      <x:c r="C77" t="str">
        <x:v>UAE</x:v>
      </x:c>
      <x:c r="D77" t="str">
        <x:v>Student</x:v>
      </x:c>
      <x:c r="E77" t="str">
        <x:v>Verified</x:v>
      </x:c>
    </x:row>
    <x:row r="78">
      <x:c r="A78" t="n">
        <x:v>77</x:v>
      </x:c>
      <x:c r="B78" s="16" t="n">
        <x:v>46079</x:v>
      </x:c>
      <x:c r="C78" t="str">
        <x:v>United Kingdom</x:v>
      </x:c>
      <x:c r="D78" t="str">
        <x:v>Retail</x:v>
      </x:c>
      <x:c r="E78" t="str">
        <x:v>Verified</x:v>
      </x:c>
    </x:row>
    <x:row r="79">
      <x:c r="A79" t="n">
        <x:v>78</x:v>
      </x:c>
      <x:c r="B79" s="16" t="n">
        <x:v>46069</x:v>
      </x:c>
      <x:c r="C79" t="str">
        <x:v>India</x:v>
      </x:c>
      <x:c r="D79" t="str">
        <x:v>Student</x:v>
      </x:c>
      <x:c r="E79" t="str">
        <x:v>Verified</x:v>
      </x:c>
    </x:row>
    <x:row r="80">
      <x:c r="A80" t="n">
        <x:v>79</x:v>
      </x:c>
      <x:c r="B80" s="16" t="n">
        <x:v>45757</x:v>
      </x:c>
      <x:c r="C80" t="str">
        <x:v>India</x:v>
      </x:c>
      <x:c r="D80" t="str">
        <x:v>Small Business</x:v>
      </x:c>
      <x:c r="E80" t="str">
        <x:v>Verified</x:v>
      </x:c>
    </x:row>
    <x:row r="81">
      <x:c r="A81" t="n">
        <x:v>80</x:v>
      </x:c>
      <x:c r="B81" s="16" t="n">
        <x:v>45760</x:v>
      </x:c>
      <x:c r="C81" t="str">
        <x:v>UAE</x:v>
      </x:c>
      <x:c r="D81" t="str">
        <x:v>Student</x:v>
      </x:c>
      <x:c r="E81" t="str">
        <x:v>Verified</x:v>
      </x:c>
    </x:row>
    <x:row r="82">
      <x:c r="A82" t="n">
        <x:v>81</x:v>
      </x:c>
      <x:c r="B82" s="16" t="n">
        <x:v>45742</x:v>
      </x:c>
      <x:c r="C82" t="str">
        <x:v>Singapore</x:v>
      </x:c>
      <x:c r="D82" t="str">
        <x:v>Small Business</x:v>
      </x:c>
      <x:c r="E82" t="str">
        <x:v>Verified</x:v>
      </x:c>
    </x:row>
    <x:row r="83">
      <x:c r="A83" t="n">
        <x:v>82</x:v>
      </x:c>
      <x:c r="B83" s="16" t="n">
        <x:v>45668</x:v>
      </x:c>
      <x:c r="C83" t="str">
        <x:v>Singapore</x:v>
      </x:c>
      <x:c r="D83" t="str">
        <x:v>Student</x:v>
      </x:c>
      <x:c r="E83" t="str">
        <x:v>Verified</x:v>
      </x:c>
    </x:row>
    <x:row r="84">
      <x:c r="A84" t="n">
        <x:v>83</x:v>
      </x:c>
      <x:c r="B84" s="16" t="n">
        <x:v>45905</x:v>
      </x:c>
      <x:c r="C84" t="str">
        <x:v>India</x:v>
      </x:c>
      <x:c r="D84" t="str">
        <x:v>Retail</x:v>
      </x:c>
      <x:c r="E84" t="str">
        <x:v>Verified</x:v>
      </x:c>
    </x:row>
    <x:row r="85">
      <x:c r="A85" t="n">
        <x:v>84</x:v>
      </x:c>
      <x:c r="B85" s="16" t="n">
        <x:v>45938</x:v>
      </x:c>
      <x:c r="C85" t="str">
        <x:v>United Kingdom</x:v>
      </x:c>
      <x:c r="D85" t="str">
        <x:v>Retail</x:v>
      </x:c>
      <x:c r="E85" t="str">
        <x:v>Pending</x:v>
      </x:c>
    </x:row>
    <x:row r="86">
      <x:c r="A86" t="n">
        <x:v>85</x:v>
      </x:c>
      <x:c r="B86" s="16" t="n">
        <x:v>45867</x:v>
      </x:c>
      <x:c r="C86" t="str">
        <x:v>UAE</x:v>
      </x:c>
      <x:c r="D86" t="str">
        <x:v>Freelancer</x:v>
      </x:c>
      <x:c r="E86" t="str">
        <x:v>Verified</x:v>
      </x:c>
    </x:row>
    <x:row r="87">
      <x:c r="A87" t="n">
        <x:v>86</x:v>
      </x:c>
      <x:c r="B87" s="16" t="n">
        <x:v>45712</x:v>
      </x:c>
      <x:c r="C87" t="str">
        <x:v>India</x:v>
      </x:c>
      <x:c r="D87" t="str">
        <x:v>Retail</x:v>
      </x:c>
      <x:c r="E87" t="str">
        <x:v>Verified</x:v>
      </x:c>
    </x:row>
    <x:row r="88">
      <x:c r="A88" t="n">
        <x:v>87</x:v>
      </x:c>
      <x:c r="B88" s="16" t="n">
        <x:v>45962</x:v>
      </x:c>
      <x:c r="C88" t="str">
        <x:v>United Kingdom</x:v>
      </x:c>
      <x:c r="D88" t="str">
        <x:v>Affluent</x:v>
      </x:c>
      <x:c r="E88" t="str">
        <x:v>Verified</x:v>
      </x:c>
    </x:row>
    <x:row r="89">
      <x:c r="A89" t="n">
        <x:v>88</x:v>
      </x:c>
      <x:c r="B89" s="16" t="n">
        <x:v>46080</x:v>
      </x:c>
      <x:c r="C89" t="str">
        <x:v>United Kingdom</x:v>
      </x:c>
      <x:c r="D89" t="str">
        <x:v>Affluent</x:v>
      </x:c>
      <x:c r="E89" t="str">
        <x:v>Verified</x:v>
      </x:c>
    </x:row>
    <x:row r="90">
      <x:c r="A90" t="n">
        <x:v>89</x:v>
      </x:c>
      <x:c r="B90" s="16" t="n">
        <x:v>45757</x:v>
      </x:c>
      <x:c r="C90" t="str">
        <x:v>Singapore</x:v>
      </x:c>
      <x:c r="D90" t="str">
        <x:v>Retail</x:v>
      </x:c>
      <x:c r="E90" t="str">
        <x:v>Verified</x:v>
      </x:c>
    </x:row>
    <x:row r="91">
      <x:c r="A91" t="n">
        <x:v>90</x:v>
      </x:c>
      <x:c r="B91" s="16" t="n">
        <x:v>46002</x:v>
      </x:c>
      <x:c r="C91" t="str">
        <x:v>India</x:v>
      </x:c>
      <x:c r="D91" t="str">
        <x:v>Student</x:v>
      </x:c>
      <x:c r="E91" t="str">
        <x:v>Verified</x:v>
      </x:c>
    </x:row>
    <x:row r="92">
      <x:c r="A92" t="n">
        <x:v>91</x:v>
      </x:c>
      <x:c r="B92" s="16" t="n">
        <x:v>45867</x:v>
      </x:c>
      <x:c r="C92" t="str">
        <x:v>UAE</x:v>
      </x:c>
      <x:c r="D92" t="str">
        <x:v>Retail</x:v>
      </x:c>
      <x:c r="E92" t="str">
        <x:v>Verified</x:v>
      </x:c>
    </x:row>
    <x:row r="93">
      <x:c r="A93" t="n">
        <x:v>92</x:v>
      </x:c>
      <x:c r="B93" s="16" t="n">
        <x:v>45832</x:v>
      </x:c>
      <x:c r="C93" t="str">
        <x:v>United Kingdom</x:v>
      </x:c>
      <x:c r="D93" t="str">
        <x:v>Affluent</x:v>
      </x:c>
      <x:c r="E93" t="str">
        <x:v>Verified</x:v>
      </x:c>
    </x:row>
    <x:row r="94">
      <x:c r="A94" t="n">
        <x:v>93</x:v>
      </x:c>
      <x:c r="B94" s="16" t="n">
        <x:v>45856</x:v>
      </x:c>
      <x:c r="C94" t="str">
        <x:v>Germany</x:v>
      </x:c>
      <x:c r="D94" t="str">
        <x:v>Affluent</x:v>
      </x:c>
      <x:c r="E94" t="str">
        <x:v>Verified</x:v>
      </x:c>
    </x:row>
    <x:row r="95">
      <x:c r="A95" t="n">
        <x:v>94</x:v>
      </x:c>
      <x:c r="B95" s="16" t="n">
        <x:v>45771</x:v>
      </x:c>
      <x:c r="C95" t="str">
        <x:v>Germany</x:v>
      </x:c>
      <x:c r="D95" t="str">
        <x:v>Retail</x:v>
      </x:c>
      <x:c r="E95" t="str">
        <x:v>Verified</x:v>
      </x:c>
    </x:row>
    <x:row r="96">
      <x:c r="A96" t="n">
        <x:v>95</x:v>
      </x:c>
      <x:c r="B96" s="16" t="n">
        <x:v>45782</x:v>
      </x:c>
      <x:c r="C96" t="str">
        <x:v>United Kingdom</x:v>
      </x:c>
      <x:c r="D96" t="str">
        <x:v>Student</x:v>
      </x:c>
      <x:c r="E96" t="str">
        <x:v>Verified</x:v>
      </x:c>
    </x:row>
    <x:row r="97">
      <x:c r="A97" t="n">
        <x:v>96</x:v>
      </x:c>
      <x:c r="B97" s="16" t="n">
        <x:v>45933</x:v>
      </x:c>
      <x:c r="C97" t="str">
        <x:v>India</x:v>
      </x:c>
      <x:c r="D97" t="str">
        <x:v>Affluent</x:v>
      </x:c>
      <x:c r="E97" t="str">
        <x:v>Verified</x:v>
      </x:c>
    </x:row>
    <x:row r="98">
      <x:c r="A98" t="n">
        <x:v>97</x:v>
      </x:c>
      <x:c r="B98" s="16" t="n">
        <x:v>45863</x:v>
      </x:c>
      <x:c r="C98" t="str">
        <x:v>United Kingdom</x:v>
      </x:c>
      <x:c r="D98" t="str">
        <x:v>Retail</x:v>
      </x:c>
      <x:c r="E98" t="str">
        <x:v>Verified</x:v>
      </x:c>
    </x:row>
    <x:row r="99">
      <x:c r="A99" t="n">
        <x:v>98</x:v>
      </x:c>
      <x:c r="B99" s="16" t="n">
        <x:v>45732</x:v>
      </x:c>
      <x:c r="C99" t="str">
        <x:v>Singapore</x:v>
      </x:c>
      <x:c r="D99" t="str">
        <x:v>Retail</x:v>
      </x:c>
      <x:c r="E99" t="str">
        <x:v>Verified</x:v>
      </x:c>
    </x:row>
    <x:row r="100">
      <x:c r="A100" t="n">
        <x:v>99</x:v>
      </x:c>
      <x:c r="B100" s="16" t="n">
        <x:v>46091</x:v>
      </x:c>
      <x:c r="C100" t="str">
        <x:v>Germany</x:v>
      </x:c>
      <x:c r="D100" t="str">
        <x:v>Small Business</x:v>
      </x:c>
      <x:c r="E100" t="str">
        <x:v>Verified</x:v>
      </x:c>
    </x:row>
    <x:row r="101">
      <x:c r="A101" t="n">
        <x:v>100</x:v>
      </x:c>
      <x:c r="B101" s="16" t="n">
        <x:v>46102</x:v>
      </x:c>
      <x:c r="C101" t="str">
        <x:v>United Kingdom</x:v>
      </x:c>
      <x:c r="D101" t="str">
        <x:v>Small Business</x:v>
      </x:c>
      <x:c r="E101" t="str">
        <x:v>Verified</x:v>
      </x:c>
    </x:row>
    <x:row r="102">
      <x:c r="A102" t="n">
        <x:v>101</x:v>
      </x:c>
      <x:c r="B102" s="16" t="n">
        <x:v>45691</x:v>
      </x:c>
      <x:c r="C102" t="str">
        <x:v>United Kingdom</x:v>
      </x:c>
      <x:c r="D102" t="str">
        <x:v>Retail</x:v>
      </x:c>
      <x:c r="E102" t="str">
        <x:v>Verified</x:v>
      </x:c>
    </x:row>
    <x:row r="103">
      <x:c r="A103" t="n">
        <x:v>102</x:v>
      </x:c>
      <x:c r="B103" s="16" t="n">
        <x:v>46100</x:v>
      </x:c>
      <x:c r="C103" t="str">
        <x:v>Germany</x:v>
      </x:c>
      <x:c r="D103" t="str">
        <x:v>Retail</x:v>
      </x:c>
      <x:c r="E103" t="str">
        <x:v>Verified</x:v>
      </x:c>
    </x:row>
    <x:row r="104">
      <x:c r="A104" t="n">
        <x:v>103</x:v>
      </x:c>
      <x:c r="B104" s="16" t="n">
        <x:v>45923</x:v>
      </x:c>
      <x:c r="C104" t="str">
        <x:v>India</x:v>
      </x:c>
      <x:c r="D104" t="str">
        <x:v>Small Business</x:v>
      </x:c>
      <x:c r="E104" t="str">
        <x:v>Verified</x:v>
      </x:c>
    </x:row>
    <x:row r="105">
      <x:c r="A105" t="n">
        <x:v>104</x:v>
      </x:c>
      <x:c r="B105" s="16" t="n">
        <x:v>45741</x:v>
      </x:c>
      <x:c r="C105" t="str">
        <x:v>Singapore</x:v>
      </x:c>
      <x:c r="D105" t="str">
        <x:v>Retail</x:v>
      </x:c>
      <x:c r="E105" t="str">
        <x:v>Verified</x:v>
      </x:c>
    </x:row>
    <x:row r="106">
      <x:c r="A106" t="n">
        <x:v>105</x:v>
      </x:c>
      <x:c r="B106" s="16" t="n">
        <x:v>45658</x:v>
      </x:c>
      <x:c r="C106" t="str">
        <x:v>United Kingdom</x:v>
      </x:c>
      <x:c r="D106" t="str">
        <x:v>Retail</x:v>
      </x:c>
      <x:c r="E106" t="str">
        <x:v>Verified</x:v>
      </x:c>
    </x:row>
    <x:row r="107">
      <x:c r="A107" t="n">
        <x:v>106</x:v>
      </x:c>
      <x:c r="B107" s="16" t="n">
        <x:v>45675</x:v>
      </x:c>
      <x:c r="C107" t="str">
        <x:v>UAE</x:v>
      </x:c>
      <x:c r="D107" t="str">
        <x:v>Freelancer</x:v>
      </x:c>
      <x:c r="E107" t="str">
        <x:v>Verified</x:v>
      </x:c>
    </x:row>
    <x:row r="108">
      <x:c r="A108" t="n">
        <x:v>107</x:v>
      </x:c>
      <x:c r="B108" s="16" t="n">
        <x:v>45847</x:v>
      </x:c>
      <x:c r="C108" t="str">
        <x:v>Singapore</x:v>
      </x:c>
      <x:c r="D108" t="str">
        <x:v>Freelancer</x:v>
      </x:c>
      <x:c r="E108" t="str">
        <x:v>Verified</x:v>
      </x:c>
    </x:row>
    <x:row r="109">
      <x:c r="A109" t="n">
        <x:v>108</x:v>
      </x:c>
      <x:c r="B109" s="16" t="n">
        <x:v>46038</x:v>
      </x:c>
      <x:c r="C109" t="str">
        <x:v>Germany</x:v>
      </x:c>
      <x:c r="D109" t="str">
        <x:v>Small Business</x:v>
      </x:c>
      <x:c r="E109" t="str">
        <x:v>Verified</x:v>
      </x:c>
    </x:row>
    <x:row r="110">
      <x:c r="A110" t="n">
        <x:v>109</x:v>
      </x:c>
      <x:c r="B110" s="16" t="n">
        <x:v>45873</x:v>
      </x:c>
      <x:c r="C110" t="str">
        <x:v>India</x:v>
      </x:c>
      <x:c r="D110" t="str">
        <x:v>Retail</x:v>
      </x:c>
      <x:c r="E110" t="str">
        <x:v>Verified</x:v>
      </x:c>
    </x:row>
    <x:row r="111">
      <x:c r="A111" t="n">
        <x:v>110</x:v>
      </x:c>
      <x:c r="B111" s="16" t="n">
        <x:v>45725</x:v>
      </x:c>
      <x:c r="C111" t="str">
        <x:v>United Kingdom</x:v>
      </x:c>
      <x:c r="D111" t="str">
        <x:v>Student</x:v>
      </x:c>
      <x:c r="E111" t="str">
        <x:v>Verified</x:v>
      </x:c>
    </x:row>
    <x:row r="112">
      <x:c r="A112" t="n">
        <x:v>111</x:v>
      </x:c>
      <x:c r="B112" s="16" t="n">
        <x:v>46047</x:v>
      </x:c>
      <x:c r="C112" t="str">
        <x:v>Singapore</x:v>
      </x:c>
      <x:c r="D112" t="str">
        <x:v>Freelancer</x:v>
      </x:c>
      <x:c r="E112" t="str">
        <x:v>Verified</x:v>
      </x:c>
    </x:row>
    <x:row r="113">
      <x:c r="A113" t="n">
        <x:v>112</x:v>
      </x:c>
      <x:c r="B113" s="16" t="n">
        <x:v>45708</x:v>
      </x:c>
      <x:c r="C113" t="str">
        <x:v>UAE</x:v>
      </x:c>
      <x:c r="D113" t="str">
        <x:v>Freelancer</x:v>
      </x:c>
      <x:c r="E113" t="str">
        <x:v>Verified</x:v>
      </x:c>
    </x:row>
    <x:row r="114">
      <x:c r="A114" t="n">
        <x:v>113</x:v>
      </x:c>
      <x:c r="B114" s="16" t="n">
        <x:v>46019</x:v>
      </x:c>
      <x:c r="C114" t="str">
        <x:v>India</x:v>
      </x:c>
      <x:c r="D114" t="str">
        <x:v>Retail</x:v>
      </x:c>
      <x:c r="E114" t="str">
        <x:v>Verified</x:v>
      </x:c>
    </x:row>
    <x:row r="115">
      <x:c r="A115" t="n">
        <x:v>114</x:v>
      </x:c>
      <x:c r="B115" s="16" t="n">
        <x:v>45884</x:v>
      </x:c>
      <x:c r="C115" t="str">
        <x:v>UAE</x:v>
      </x:c>
      <x:c r="D115" t="str">
        <x:v>Retail</x:v>
      </x:c>
      <x:c r="E115" t="str">
        <x:v>Verified</x:v>
      </x:c>
    </x:row>
    <x:row r="116">
      <x:c r="A116" t="n">
        <x:v>115</x:v>
      </x:c>
      <x:c r="B116" s="16" t="n">
        <x:v>46095</x:v>
      </x:c>
      <x:c r="C116" t="str">
        <x:v>India</x:v>
      </x:c>
      <x:c r="D116" t="str">
        <x:v>Student</x:v>
      </x:c>
      <x:c r="E116" t="str">
        <x:v>Verified</x:v>
      </x:c>
    </x:row>
    <x:row r="117">
      <x:c r="A117" t="n">
        <x:v>116</x:v>
      </x:c>
      <x:c r="B117" s="16" t="n">
        <x:v>46079</x:v>
      </x:c>
      <x:c r="C117" t="str">
        <x:v>Singapore</x:v>
      </x:c>
      <x:c r="D117" t="str">
        <x:v>Retail</x:v>
      </x:c>
      <x:c r="E117" t="str">
        <x:v>Pending</x:v>
      </x:c>
    </x:row>
    <x:row r="118">
      <x:c r="A118" t="n">
        <x:v>117</x:v>
      </x:c>
      <x:c r="B118" s="16" t="n">
        <x:v>45745</x:v>
      </x:c>
      <x:c r="C118" t="str">
        <x:v>United Kingdom</x:v>
      </x:c>
      <x:c r="D118" t="str">
        <x:v>Student</x:v>
      </x:c>
      <x:c r="E118" t="str">
        <x:v>Verified</x:v>
      </x:c>
    </x:row>
    <x:row r="119">
      <x:c r="A119" t="n">
        <x:v>118</x:v>
      </x:c>
      <x:c r="B119" s="16" t="n">
        <x:v>46089</x:v>
      </x:c>
      <x:c r="C119" t="str">
        <x:v>United Kingdom</x:v>
      </x:c>
      <x:c r="D119" t="str">
        <x:v>Freelancer</x:v>
      </x:c>
      <x:c r="E119" t="str">
        <x:v>Verified</x:v>
      </x:c>
    </x:row>
    <x:row r="120">
      <x:c r="A120" t="n">
        <x:v>119</x:v>
      </x:c>
      <x:c r="B120" s="16" t="n">
        <x:v>46062</x:v>
      </x:c>
      <x:c r="C120" t="str">
        <x:v>India</x:v>
      </x:c>
      <x:c r="D120" t="str">
        <x:v>Freelancer</x:v>
      </x:c>
      <x:c r="E120" t="str">
        <x:v>Verified</x:v>
      </x:c>
    </x:row>
    <x:row r="121">
      <x:c r="A121" t="n">
        <x:v>120</x:v>
      </x:c>
      <x:c r="B121" s="16" t="n">
        <x:v>45870</x:v>
      </x:c>
      <x:c r="C121" t="str">
        <x:v>India</x:v>
      </x:c>
      <x:c r="D121" t="str">
        <x:v>Retail</x:v>
      </x:c>
      <x:c r="E121" t="str">
        <x:v>Verified</x:v>
      </x:c>
    </x:row>
    <x:row r="122">
      <x:c r="A122" t="n">
        <x:v>121</x:v>
      </x:c>
      <x:c r="B122" s="16" t="n">
        <x:v>45777</x:v>
      </x:c>
      <x:c r="C122" t="str">
        <x:v>UAE</x:v>
      </x:c>
      <x:c r="D122" t="str">
        <x:v>Student</x:v>
      </x:c>
      <x:c r="E122" t="str">
        <x:v>Verified</x:v>
      </x:c>
    </x:row>
    <x:row r="123">
      <x:c r="A123" t="n">
        <x:v>122</x:v>
      </x:c>
      <x:c r="B123" s="16" t="n">
        <x:v>46102</x:v>
      </x:c>
      <x:c r="C123" t="str">
        <x:v>Singapore</x:v>
      </x:c>
      <x:c r="D123" t="str">
        <x:v>Student</x:v>
      </x:c>
      <x:c r="E123" t="str">
        <x:v>Verified</x:v>
      </x:c>
    </x:row>
    <x:row r="124">
      <x:c r="A124" t="n">
        <x:v>123</x:v>
      </x:c>
      <x:c r="B124" s="16" t="n">
        <x:v>45975</x:v>
      </x:c>
      <x:c r="C124" t="str">
        <x:v>India</x:v>
      </x:c>
      <x:c r="D124" t="str">
        <x:v>Affluent</x:v>
      </x:c>
      <x:c r="E124" t="str">
        <x:v>Pending</x:v>
      </x:c>
    </x:row>
    <x:row r="125">
      <x:c r="A125" t="n">
        <x:v>124</x:v>
      </x:c>
      <x:c r="B125" s="16" t="n">
        <x:v>45684</x:v>
      </x:c>
      <x:c r="C125" t="str">
        <x:v>India</x:v>
      </x:c>
      <x:c r="D125" t="str">
        <x:v>Small Business</x:v>
      </x:c>
      <x:c r="E125" t="str">
        <x:v>Verified</x:v>
      </x:c>
    </x:row>
    <x:row r="126">
      <x:c r="A126" t="n">
        <x:v>125</x:v>
      </x:c>
      <x:c r="B126" s="16" t="n">
        <x:v>45830</x:v>
      </x:c>
      <x:c r="C126" t="str">
        <x:v>India</x:v>
      </x:c>
      <x:c r="D126" t="str">
        <x:v>Small Business</x:v>
      </x:c>
      <x:c r="E126" t="str">
        <x:v>Verified</x:v>
      </x:c>
    </x:row>
    <x:row r="127">
      <x:c r="A127" t="n">
        <x:v>126</x:v>
      </x:c>
      <x:c r="B127" s="16" t="n">
        <x:v>45689</x:v>
      </x:c>
      <x:c r="C127" t="str">
        <x:v>UAE</x:v>
      </x:c>
      <x:c r="D127" t="str">
        <x:v>Student</x:v>
      </x:c>
      <x:c r="E127" t="str">
        <x:v>Verified</x:v>
      </x:c>
    </x:row>
    <x:row r="128">
      <x:c r="A128" t="n">
        <x:v>127</x:v>
      </x:c>
      <x:c r="B128" s="16" t="n">
        <x:v>45664</x:v>
      </x:c>
      <x:c r="C128" t="str">
        <x:v>Singapore</x:v>
      </x:c>
      <x:c r="D128" t="str">
        <x:v>Affluent</x:v>
      </x:c>
      <x:c r="E128" t="str">
        <x:v>Verified</x:v>
      </x:c>
    </x:row>
    <x:row r="129">
      <x:c r="A129" t="n">
        <x:v>128</x:v>
      </x:c>
      <x:c r="B129" s="16" t="n">
        <x:v>45866</x:v>
      </x:c>
      <x:c r="C129" t="str">
        <x:v>India</x:v>
      </x:c>
      <x:c r="D129" t="str">
        <x:v>Student</x:v>
      </x:c>
      <x:c r="E129" t="str">
        <x:v>Pending</x:v>
      </x:c>
    </x:row>
    <x:row r="130">
      <x:c r="A130" t="n">
        <x:v>129</x:v>
      </x:c>
      <x:c r="B130" s="16" t="n">
        <x:v>45695</x:v>
      </x:c>
      <x:c r="C130" t="str">
        <x:v>United Kingdom</x:v>
      </x:c>
      <x:c r="D130" t="str">
        <x:v>Retail</x:v>
      </x:c>
      <x:c r="E130" t="str">
        <x:v>Verified</x:v>
      </x:c>
    </x:row>
    <x:row r="131">
      <x:c r="A131" t="n">
        <x:v>130</x:v>
      </x:c>
      <x:c r="B131" s="16" t="n">
        <x:v>45842</x:v>
      </x:c>
      <x:c r="C131" t="str">
        <x:v>Singapore</x:v>
      </x:c>
      <x:c r="D131" t="str">
        <x:v>Freelancer</x:v>
      </x:c>
      <x:c r="E131" t="str">
        <x:v>Verified</x:v>
      </x:c>
    </x:row>
    <x:row r="132">
      <x:c r="A132" t="n">
        <x:v>131</x:v>
      </x:c>
      <x:c r="B132" s="16" t="n">
        <x:v>45815</x:v>
      </x:c>
      <x:c r="C132" t="str">
        <x:v>UAE</x:v>
      </x:c>
      <x:c r="D132" t="str">
        <x:v>Retail</x:v>
      </x:c>
      <x:c r="E132" t="str">
        <x:v>Pending</x:v>
      </x:c>
    </x:row>
    <x:row r="133">
      <x:c r="A133" t="n">
        <x:v>132</x:v>
      </x:c>
      <x:c r="B133" s="16" t="n">
        <x:v>45960</x:v>
      </x:c>
      <x:c r="C133" t="str">
        <x:v>United Kingdom</x:v>
      </x:c>
      <x:c r="D133" t="str">
        <x:v>Student</x:v>
      </x:c>
      <x:c r="E133" t="str">
        <x:v>Pending</x:v>
      </x:c>
    </x:row>
    <x:row r="134">
      <x:c r="A134" t="n">
        <x:v>133</x:v>
      </x:c>
      <x:c r="B134" s="16" t="n">
        <x:v>46050</x:v>
      </x:c>
      <x:c r="C134" t="str">
        <x:v>United Kingdom</x:v>
      </x:c>
      <x:c r="D134" t="str">
        <x:v>Retail</x:v>
      </x:c>
      <x:c r="E134" t="str">
        <x:v>Verified</x:v>
      </x:c>
    </x:row>
    <x:row r="135">
      <x:c r="A135" t="n">
        <x:v>134</x:v>
      </x:c>
      <x:c r="B135" s="16" t="n">
        <x:v>46044</x:v>
      </x:c>
      <x:c r="C135" t="str">
        <x:v>Germany</x:v>
      </x:c>
      <x:c r="D135" t="str">
        <x:v>Affluent</x:v>
      </x:c>
      <x:c r="E135" t="str">
        <x:v>Verified</x:v>
      </x:c>
    </x:row>
    <x:row r="136">
      <x:c r="A136" t="n">
        <x:v>135</x:v>
      </x:c>
      <x:c r="B136" s="16" t="n">
        <x:v>45712</x:v>
      </x:c>
      <x:c r="C136" t="str">
        <x:v>Singapore</x:v>
      </x:c>
      <x:c r="D136" t="str">
        <x:v>Retail</x:v>
      </x:c>
      <x:c r="E136" t="str">
        <x:v>Verified</x:v>
      </x:c>
    </x:row>
    <x:row r="137">
      <x:c r="A137" t="n">
        <x:v>136</x:v>
      </x:c>
      <x:c r="B137" s="16" t="n">
        <x:v>45730</x:v>
      </x:c>
      <x:c r="C137" t="str">
        <x:v>United Kingdom</x:v>
      </x:c>
      <x:c r="D137" t="str">
        <x:v>Small Business</x:v>
      </x:c>
      <x:c r="E137" t="str">
        <x:v>Verified</x:v>
      </x:c>
    </x:row>
    <x:row r="138">
      <x:c r="A138" t="n">
        <x:v>137</x:v>
      </x:c>
      <x:c r="B138" s="16" t="n">
        <x:v>45834</x:v>
      </x:c>
      <x:c r="C138" t="str">
        <x:v>India</x:v>
      </x:c>
      <x:c r="D138" t="str">
        <x:v>Freelancer</x:v>
      </x:c>
      <x:c r="E138" t="str">
        <x:v>Verified</x:v>
      </x:c>
    </x:row>
    <x:row r="139">
      <x:c r="A139" t="n">
        <x:v>138</x:v>
      </x:c>
      <x:c r="B139" s="16" t="n">
        <x:v>45743</x:v>
      </x:c>
      <x:c r="C139" t="str">
        <x:v>UAE</x:v>
      </x:c>
      <x:c r="D139" t="str">
        <x:v>Retail</x:v>
      </x:c>
      <x:c r="E139" t="str">
        <x:v>Verified</x:v>
      </x:c>
    </x:row>
    <x:row r="140">
      <x:c r="A140" t="n">
        <x:v>139</x:v>
      </x:c>
      <x:c r="B140" s="16" t="n">
        <x:v>45770</x:v>
      </x:c>
      <x:c r="C140" t="str">
        <x:v>UAE</x:v>
      </x:c>
      <x:c r="D140" t="str">
        <x:v>Student</x:v>
      </x:c>
      <x:c r="E140" t="str">
        <x:v>Verified</x:v>
      </x:c>
    </x:row>
    <x:row r="141">
      <x:c r="A141" t="n">
        <x:v>140</x:v>
      </x:c>
      <x:c r="B141" s="16" t="n">
        <x:v>45798</x:v>
      </x:c>
      <x:c r="C141" t="str">
        <x:v>United Kingdom</x:v>
      </x:c>
      <x:c r="D141" t="str">
        <x:v>Small Business</x:v>
      </x:c>
      <x:c r="E141" t="str">
        <x:v>Verified</x:v>
      </x:c>
    </x:row>
    <x:row r="142">
      <x:c r="A142" t="n">
        <x:v>141</x:v>
      </x:c>
      <x:c r="B142" s="16" t="n">
        <x:v>46054</x:v>
      </x:c>
      <x:c r="C142" t="str">
        <x:v>Singapore</x:v>
      </x:c>
      <x:c r="D142" t="str">
        <x:v>Retail</x:v>
      </x:c>
      <x:c r="E142" t="str">
        <x:v>Verified</x:v>
      </x:c>
    </x:row>
    <x:row r="143">
      <x:c r="A143" t="n">
        <x:v>142</x:v>
      </x:c>
      <x:c r="B143" s="16" t="n">
        <x:v>45889</x:v>
      </x:c>
      <x:c r="C143" t="str">
        <x:v>United Kingdom</x:v>
      </x:c>
      <x:c r="D143" t="str">
        <x:v>Student</x:v>
      </x:c>
      <x:c r="E143" t="str">
        <x:v>Verified</x:v>
      </x:c>
    </x:row>
    <x:row r="144">
      <x:c r="A144" t="n">
        <x:v>143</x:v>
      </x:c>
      <x:c r="B144" s="16" t="n">
        <x:v>46101</x:v>
      </x:c>
      <x:c r="C144" t="str">
        <x:v>Germany</x:v>
      </x:c>
      <x:c r="D144" t="str">
        <x:v>Student</x:v>
      </x:c>
      <x:c r="E144" t="str">
        <x:v>Verified</x:v>
      </x:c>
    </x:row>
    <x:row r="145">
      <x:c r="A145" t="n">
        <x:v>144</x:v>
      </x:c>
      <x:c r="B145" s="16" t="n">
        <x:v>45755</x:v>
      </x:c>
      <x:c r="C145" t="str">
        <x:v>Singapore</x:v>
      </x:c>
      <x:c r="D145" t="str">
        <x:v>Retail</x:v>
      </x:c>
      <x:c r="E145" t="str">
        <x:v>Pending</x:v>
      </x:c>
    </x:row>
    <x:row r="146">
      <x:c r="A146" t="n">
        <x:v>145</x:v>
      </x:c>
      <x:c r="B146" s="16" t="n">
        <x:v>45878</x:v>
      </x:c>
      <x:c r="C146" t="str">
        <x:v>United Kingdom</x:v>
      </x:c>
      <x:c r="D146" t="str">
        <x:v>Freelancer</x:v>
      </x:c>
      <x:c r="E146" t="str">
        <x:v>Verified</x:v>
      </x:c>
    </x:row>
    <x:row r="147">
      <x:c r="A147" t="n">
        <x:v>146</x:v>
      </x:c>
      <x:c r="B147" s="16" t="n">
        <x:v>45805</x:v>
      </x:c>
      <x:c r="C147" t="str">
        <x:v>United Kingdom</x:v>
      </x:c>
      <x:c r="D147" t="str">
        <x:v>Freelancer</x:v>
      </x:c>
      <x:c r="E147" t="str">
        <x:v>Verified</x:v>
      </x:c>
    </x:row>
    <x:row r="148">
      <x:c r="A148" t="n">
        <x:v>147</x:v>
      </x:c>
      <x:c r="B148" s="16" t="n">
        <x:v>45978</x:v>
      </x:c>
      <x:c r="C148" t="str">
        <x:v>United Kingdom</x:v>
      </x:c>
      <x:c r="D148" t="str">
        <x:v>Affluent</x:v>
      </x:c>
      <x:c r="E148" t="str">
        <x:v>Verified</x:v>
      </x:c>
    </x:row>
    <x:row r="149">
      <x:c r="A149" t="n">
        <x:v>148</x:v>
      </x:c>
      <x:c r="B149" s="16" t="n">
        <x:v>45805</x:v>
      </x:c>
      <x:c r="C149" t="str">
        <x:v>India</x:v>
      </x:c>
      <x:c r="D149" t="str">
        <x:v>Small Business</x:v>
      </x:c>
      <x:c r="E149" t="str">
        <x:v>Verified</x:v>
      </x:c>
    </x:row>
    <x:row r="150">
      <x:c r="A150" t="n">
        <x:v>149</x:v>
      </x:c>
      <x:c r="B150" s="16" t="n">
        <x:v>45695</x:v>
      </x:c>
      <x:c r="C150" t="str">
        <x:v>Singapore</x:v>
      </x:c>
      <x:c r="D150" t="str">
        <x:v>Freelancer</x:v>
      </x:c>
      <x:c r="E150" t="str">
        <x:v>Verified</x:v>
      </x:c>
    </x:row>
    <x:row r="151">
      <x:c r="A151" t="n">
        <x:v>150</x:v>
      </x:c>
      <x:c r="B151" s="16" t="n">
        <x:v>45978</x:v>
      </x:c>
      <x:c r="C151" t="str">
        <x:v>India</x:v>
      </x:c>
      <x:c r="D151" t="str">
        <x:v>Small Business</x:v>
      </x:c>
      <x:c r="E151" t="str">
        <x:v>Verified</x:v>
      </x:c>
    </x:row>
    <x:row r="152">
      <x:c r="A152" t="n">
        <x:v>151</x:v>
      </x:c>
      <x:c r="B152" s="16" t="n">
        <x:v>45839</x:v>
      </x:c>
      <x:c r="C152" t="str">
        <x:v>Germany</x:v>
      </x:c>
      <x:c r="D152" t="str">
        <x:v>Retail</x:v>
      </x:c>
      <x:c r="E152" t="str">
        <x:v>Verified</x:v>
      </x:c>
    </x:row>
    <x:row r="153">
      <x:c r="A153" t="n">
        <x:v>152</x:v>
      </x:c>
      <x:c r="B153" s="16" t="n">
        <x:v>45772</x:v>
      </x:c>
      <x:c r="C153" t="str">
        <x:v>United Kingdom</x:v>
      </x:c>
      <x:c r="D153" t="str">
        <x:v>Freelancer</x:v>
      </x:c>
      <x:c r="E153" t="str">
        <x:v>Verified</x:v>
      </x:c>
    </x:row>
    <x:row r="154">
      <x:c r="A154" t="n">
        <x:v>153</x:v>
      </x:c>
      <x:c r="B154" s="16" t="n">
        <x:v>45870</x:v>
      </x:c>
      <x:c r="C154" t="str">
        <x:v>United Kingdom</x:v>
      </x:c>
      <x:c r="D154" t="str">
        <x:v>Affluent</x:v>
      </x:c>
      <x:c r="E154" t="str">
        <x:v>Verified</x:v>
      </x:c>
    </x:row>
    <x:row r="155">
      <x:c r="A155" t="n">
        <x:v>154</x:v>
      </x:c>
      <x:c r="B155" s="16" t="n">
        <x:v>45696</x:v>
      </x:c>
      <x:c r="C155" t="str">
        <x:v>United Kingdom</x:v>
      </x:c>
      <x:c r="D155" t="str">
        <x:v>Retail</x:v>
      </x:c>
      <x:c r="E155" t="str">
        <x:v>Verified</x:v>
      </x:c>
    </x:row>
    <x:row r="156">
      <x:c r="A156" t="n">
        <x:v>155</x:v>
      </x:c>
      <x:c r="B156" s="16" t="n">
        <x:v>45791</x:v>
      </x:c>
      <x:c r="C156" t="str">
        <x:v>India</x:v>
      </x:c>
      <x:c r="D156" t="str">
        <x:v>Student</x:v>
      </x:c>
      <x:c r="E156" t="str">
        <x:v>Verified</x:v>
      </x:c>
    </x:row>
    <x:row r="157">
      <x:c r="A157" t="n">
        <x:v>156</x:v>
      </x:c>
      <x:c r="B157" s="16" t="n">
        <x:v>45707</x:v>
      </x:c>
      <x:c r="C157" t="str">
        <x:v>India</x:v>
      </x:c>
      <x:c r="D157" t="str">
        <x:v>Small Business</x:v>
      </x:c>
      <x:c r="E157" t="str">
        <x:v>Verified</x:v>
      </x:c>
    </x:row>
    <x:row r="158">
      <x:c r="A158" t="n">
        <x:v>157</x:v>
      </x:c>
      <x:c r="B158" s="16" t="n">
        <x:v>45916</x:v>
      </x:c>
      <x:c r="C158" t="str">
        <x:v>United Kingdom</x:v>
      </x:c>
      <x:c r="D158" t="str">
        <x:v>Freelancer</x:v>
      </x:c>
      <x:c r="E158" t="str">
        <x:v>Verified</x:v>
      </x:c>
    </x:row>
    <x:row r="159">
      <x:c r="A159" t="n">
        <x:v>158</x:v>
      </x:c>
      <x:c r="B159" s="16" t="n">
        <x:v>45746</x:v>
      </x:c>
      <x:c r="C159" t="str">
        <x:v>United Kingdom</x:v>
      </x:c>
      <x:c r="D159" t="str">
        <x:v>Retail</x:v>
      </x:c>
      <x:c r="E159" t="str">
        <x:v>Verified</x:v>
      </x:c>
    </x:row>
    <x:row r="160">
      <x:c r="A160" t="n">
        <x:v>159</x:v>
      </x:c>
      <x:c r="B160" s="16" t="n">
        <x:v>45866</x:v>
      </x:c>
      <x:c r="C160" t="str">
        <x:v>Singapore</x:v>
      </x:c>
      <x:c r="D160" t="str">
        <x:v>Affluent</x:v>
      </x:c>
      <x:c r="E160" t="str">
        <x:v>Verified</x:v>
      </x:c>
    </x:row>
    <x:row r="161">
      <x:c r="A161" t="n">
        <x:v>160</x:v>
      </x:c>
      <x:c r="B161" s="16" t="n">
        <x:v>45936</x:v>
      </x:c>
      <x:c r="C161" t="str">
        <x:v>United Kingdom</x:v>
      </x:c>
      <x:c r="D161" t="str">
        <x:v>Student</x:v>
      </x:c>
      <x:c r="E161" t="str">
        <x:v>Verified</x:v>
      </x:c>
    </x:row>
    <x:row r="162">
      <x:c r="A162" t="n">
        <x:v>161</x:v>
      </x:c>
      <x:c r="B162" s="16" t="n">
        <x:v>46064</x:v>
      </x:c>
      <x:c r="C162" t="str">
        <x:v>Singapore</x:v>
      </x:c>
      <x:c r="D162" t="str">
        <x:v>Retail</x:v>
      </x:c>
      <x:c r="E162" t="str">
        <x:v>Verified</x:v>
      </x:c>
    </x:row>
    <x:row r="163">
      <x:c r="A163" t="n">
        <x:v>162</x:v>
      </x:c>
      <x:c r="B163" s="16" t="n">
        <x:v>46078</x:v>
      </x:c>
      <x:c r="C163" t="str">
        <x:v>India</x:v>
      </x:c>
      <x:c r="D163" t="str">
        <x:v>Freelancer</x:v>
      </x:c>
      <x:c r="E163" t="str">
        <x:v>Verified</x:v>
      </x:c>
    </x:row>
    <x:row r="164">
      <x:c r="A164" t="n">
        <x:v>163</x:v>
      </x:c>
      <x:c r="B164" s="16" t="n">
        <x:v>45687</x:v>
      </x:c>
      <x:c r="C164" t="str">
        <x:v>Singapore</x:v>
      </x:c>
      <x:c r="D164" t="str">
        <x:v>Affluent</x:v>
      </x:c>
      <x:c r="E164" t="str">
        <x:v>Verified</x:v>
      </x:c>
    </x:row>
    <x:row r="165">
      <x:c r="A165" t="n">
        <x:v>164</x:v>
      </x:c>
      <x:c r="B165" s="16" t="n">
        <x:v>45839</x:v>
      </x:c>
      <x:c r="C165" t="str">
        <x:v>UAE</x:v>
      </x:c>
      <x:c r="D165" t="str">
        <x:v>Retail</x:v>
      </x:c>
      <x:c r="E165" t="str">
        <x:v>Verified</x:v>
      </x:c>
    </x:row>
    <x:row r="166">
      <x:c r="A166" t="n">
        <x:v>165</x:v>
      </x:c>
      <x:c r="B166" s="16" t="n">
        <x:v>46065</x:v>
      </x:c>
      <x:c r="C166" t="str">
        <x:v>Singapore</x:v>
      </x:c>
      <x:c r="D166" t="str">
        <x:v>Small Business</x:v>
      </x:c>
      <x:c r="E166" t="str">
        <x:v>Verified</x:v>
      </x:c>
    </x:row>
    <x:row r="167">
      <x:c r="A167" t="n">
        <x:v>166</x:v>
      </x:c>
      <x:c r="B167" s="16" t="n">
        <x:v>45950</x:v>
      </x:c>
      <x:c r="C167" t="str">
        <x:v>UAE</x:v>
      </x:c>
      <x:c r="D167" t="str">
        <x:v>Retail</x:v>
      </x:c>
      <x:c r="E167" t="str">
        <x:v>Verified</x:v>
      </x:c>
    </x:row>
    <x:row r="168">
      <x:c r="A168" t="n">
        <x:v>167</x:v>
      </x:c>
      <x:c r="B168" s="16" t="n">
        <x:v>46000</x:v>
      </x:c>
      <x:c r="C168" t="str">
        <x:v>Singapore</x:v>
      </x:c>
      <x:c r="D168" t="str">
        <x:v>Small Business</x:v>
      </x:c>
      <x:c r="E168" t="str">
        <x:v>Pending</x:v>
      </x:c>
    </x:row>
    <x:row r="169">
      <x:c r="A169" t="n">
        <x:v>168</x:v>
      </x:c>
      <x:c r="B169" s="16" t="n">
        <x:v>45927</x:v>
      </x:c>
      <x:c r="C169" t="str">
        <x:v>UAE</x:v>
      </x:c>
      <x:c r="D169" t="str">
        <x:v>Freelancer</x:v>
      </x:c>
      <x:c r="E169" t="str">
        <x:v>Verified</x:v>
      </x:c>
    </x:row>
    <x:row r="170">
      <x:c r="A170" t="n">
        <x:v>169</x:v>
      </x:c>
      <x:c r="B170" s="16" t="n">
        <x:v>45753</x:v>
      </x:c>
      <x:c r="C170" t="str">
        <x:v>Singapore</x:v>
      </x:c>
      <x:c r="D170" t="str">
        <x:v>Retail</x:v>
      </x:c>
      <x:c r="E170" t="str">
        <x:v>Verified</x:v>
      </x:c>
    </x:row>
    <x:row r="171">
      <x:c r="A171" t="n">
        <x:v>170</x:v>
      </x:c>
      <x:c r="B171" s="16" t="n">
        <x:v>45834</x:v>
      </x:c>
      <x:c r="C171" t="str">
        <x:v>United Kingdom</x:v>
      </x:c>
      <x:c r="D171" t="str">
        <x:v>Freelancer</x:v>
      </x:c>
      <x:c r="E171" t="str">
        <x:v>Verified</x:v>
      </x:c>
    </x:row>
    <x:row r="172">
      <x:c r="A172" t="n">
        <x:v>171</x:v>
      </x:c>
      <x:c r="B172" s="16" t="n">
        <x:v>46019</x:v>
      </x:c>
      <x:c r="C172" t="str">
        <x:v>Singapore</x:v>
      </x:c>
      <x:c r="D172" t="str">
        <x:v>Affluent</x:v>
      </x:c>
      <x:c r="E172" t="str">
        <x:v>Pending</x:v>
      </x:c>
    </x:row>
    <x:row r="173">
      <x:c r="A173" t="n">
        <x:v>172</x:v>
      </x:c>
      <x:c r="B173" s="16" t="n">
        <x:v>45896</x:v>
      </x:c>
      <x:c r="C173" t="str">
        <x:v>United Kingdom</x:v>
      </x:c>
      <x:c r="D173" t="str">
        <x:v>Student</x:v>
      </x:c>
      <x:c r="E173" t="str">
        <x:v>Pending</x:v>
      </x:c>
    </x:row>
    <x:row r="174">
      <x:c r="A174" t="n">
        <x:v>173</x:v>
      </x:c>
      <x:c r="B174" s="16" t="n">
        <x:v>45929</x:v>
      </x:c>
      <x:c r="C174" t="str">
        <x:v>United Kingdom</x:v>
      </x:c>
      <x:c r="D174" t="str">
        <x:v>Small Business</x:v>
      </x:c>
      <x:c r="E174" t="str">
        <x:v>Verified</x:v>
      </x:c>
    </x:row>
    <x:row r="175">
      <x:c r="A175" t="n">
        <x:v>174</x:v>
      </x:c>
      <x:c r="B175" s="16" t="n">
        <x:v>45994</x:v>
      </x:c>
      <x:c r="C175" t="str">
        <x:v>Singapore</x:v>
      </x:c>
      <x:c r="D175" t="str">
        <x:v>Freelancer</x:v>
      </x:c>
      <x:c r="E175" t="str">
        <x:v>Verified</x:v>
      </x:c>
    </x:row>
    <x:row r="176">
      <x:c r="A176" t="n">
        <x:v>175</x:v>
      </x:c>
      <x:c r="B176" s="16" t="n">
        <x:v>45735</x:v>
      </x:c>
      <x:c r="C176" t="str">
        <x:v>UAE</x:v>
      </x:c>
      <x:c r="D176" t="str">
        <x:v>Small Business</x:v>
      </x:c>
      <x:c r="E176" t="str">
        <x:v>Verified</x:v>
      </x:c>
    </x:row>
    <x:row r="177">
      <x:c r="A177" t="n">
        <x:v>176</x:v>
      </x:c>
      <x:c r="B177" s="16" t="n">
        <x:v>45892</x:v>
      </x:c>
      <x:c r="C177" t="str">
        <x:v>United Kingdom</x:v>
      </x:c>
      <x:c r="D177" t="str">
        <x:v>Retail</x:v>
      </x:c>
      <x:c r="E177" t="str">
        <x:v>Verified</x:v>
      </x:c>
    </x:row>
    <x:row r="178">
      <x:c r="A178" t="n">
        <x:v>177</x:v>
      </x:c>
      <x:c r="B178" s="16" t="n">
        <x:v>45794</x:v>
      </x:c>
      <x:c r="C178" t="str">
        <x:v>United Kingdom</x:v>
      </x:c>
      <x:c r="D178" t="str">
        <x:v>Affluent</x:v>
      </x:c>
      <x:c r="E178" t="str">
        <x:v>Verified</x:v>
      </x:c>
    </x:row>
    <x:row r="179">
      <x:c r="A179" t="n">
        <x:v>178</x:v>
      </x:c>
      <x:c r="B179" s="16" t="n">
        <x:v>45819</x:v>
      </x:c>
      <x:c r="C179" t="str">
        <x:v>United Kingdom</x:v>
      </x:c>
      <x:c r="D179" t="str">
        <x:v>Freelancer</x:v>
      </x:c>
      <x:c r="E179" t="str">
        <x:v>Verified</x:v>
      </x:c>
    </x:row>
    <x:row r="180">
      <x:c r="A180" t="n">
        <x:v>179</x:v>
      </x:c>
      <x:c r="B180" s="16" t="n">
        <x:v>45840</x:v>
      </x:c>
      <x:c r="C180" t="str">
        <x:v>United Kingdom</x:v>
      </x:c>
      <x:c r="D180" t="str">
        <x:v>Retail</x:v>
      </x:c>
      <x:c r="E180" t="str">
        <x:v>Verified</x:v>
      </x:c>
    </x:row>
    <x:row r="181">
      <x:c r="A181" t="n">
        <x:v>180</x:v>
      </x:c>
      <x:c r="B181" s="16" t="n">
        <x:v>45799</x:v>
      </x:c>
      <x:c r="C181" t="str">
        <x:v>UAE</x:v>
      </x:c>
      <x:c r="D181" t="str">
        <x:v>Affluent</x:v>
      </x:c>
      <x:c r="E181" t="str">
        <x:v>Verified</x:v>
      </x:c>
    </x:row>
    <x:row r="182">
      <x:c r="A182" t="n">
        <x:v>181</x:v>
      </x:c>
      <x:c r="B182" s="16" t="n">
        <x:v>45913</x:v>
      </x:c>
      <x:c r="C182" t="str">
        <x:v>Germany</x:v>
      </x:c>
      <x:c r="D182" t="str">
        <x:v>Student</x:v>
      </x:c>
      <x:c r="E182" t="str">
        <x:v>Verified</x:v>
      </x:c>
    </x:row>
    <x:row r="183">
      <x:c r="A183" t="n">
        <x:v>182</x:v>
      </x:c>
      <x:c r="B183" s="16" t="n">
        <x:v>45955</x:v>
      </x:c>
      <x:c r="C183" t="str">
        <x:v>UAE</x:v>
      </x:c>
      <x:c r="D183" t="str">
        <x:v>Retail</x:v>
      </x:c>
      <x:c r="E183" t="str">
        <x:v>Verified</x:v>
      </x:c>
    </x:row>
    <x:row r="184">
      <x:c r="A184" t="n">
        <x:v>183</x:v>
      </x:c>
      <x:c r="B184" s="16" t="n">
        <x:v>45674</x:v>
      </x:c>
      <x:c r="C184" t="str">
        <x:v>India</x:v>
      </x:c>
      <x:c r="D184" t="str">
        <x:v>Affluent</x:v>
      </x:c>
      <x:c r="E184" t="str">
        <x:v>Verified</x:v>
      </x:c>
    </x:row>
    <x:row r="185">
      <x:c r="A185" t="n">
        <x:v>184</x:v>
      </x:c>
      <x:c r="B185" s="16" t="n">
        <x:v>45791</x:v>
      </x:c>
      <x:c r="C185" t="str">
        <x:v>Singapore</x:v>
      </x:c>
      <x:c r="D185" t="str">
        <x:v>Retail</x:v>
      </x:c>
      <x:c r="E185" t="str">
        <x:v>Verified</x:v>
      </x:c>
    </x:row>
    <x:row r="186">
      <x:c r="A186" t="n">
        <x:v>185</x:v>
      </x:c>
      <x:c r="B186" s="16" t="n">
        <x:v>45890</x:v>
      </x:c>
      <x:c r="C186" t="str">
        <x:v>India</x:v>
      </x:c>
      <x:c r="D186" t="str">
        <x:v>Affluent</x:v>
      </x:c>
      <x:c r="E186" t="str">
        <x:v>Verified</x:v>
      </x:c>
    </x:row>
    <x:row r="187">
      <x:c r="A187" t="n">
        <x:v>186</x:v>
      </x:c>
      <x:c r="B187" s="16" t="n">
        <x:v>46033</x:v>
      </x:c>
      <x:c r="C187" t="str">
        <x:v>United Kingdom</x:v>
      </x:c>
      <x:c r="D187" t="str">
        <x:v>Retail</x:v>
      </x:c>
      <x:c r="E187" t="str">
        <x:v>Verified</x:v>
      </x:c>
    </x:row>
    <x:row r="188">
      <x:c r="A188" t="n">
        <x:v>187</x:v>
      </x:c>
      <x:c r="B188" s="16" t="n">
        <x:v>45714</x:v>
      </x:c>
      <x:c r="C188" t="str">
        <x:v>United Kingdom</x:v>
      </x:c>
      <x:c r="D188" t="str">
        <x:v>Retail</x:v>
      </x:c>
      <x:c r="E188" t="str">
        <x:v>Verified</x:v>
      </x:c>
    </x:row>
    <x:row r="189">
      <x:c r="A189" t="n">
        <x:v>188</x:v>
      </x:c>
      <x:c r="B189" s="16" t="n">
        <x:v>45695</x:v>
      </x:c>
      <x:c r="C189" t="str">
        <x:v>United Kingdom</x:v>
      </x:c>
      <x:c r="D189" t="str">
        <x:v>Student</x:v>
      </x:c>
      <x:c r="E189" t="str">
        <x:v>Verified</x:v>
      </x:c>
    </x:row>
    <x:row r="190">
      <x:c r="A190" t="n">
        <x:v>189</x:v>
      </x:c>
      <x:c r="B190" s="16" t="n">
        <x:v>45941</x:v>
      </x:c>
      <x:c r="C190" t="str">
        <x:v>India</x:v>
      </x:c>
      <x:c r="D190" t="str">
        <x:v>Affluent</x:v>
      </x:c>
      <x:c r="E190" t="str">
        <x:v>Pending</x:v>
      </x:c>
    </x:row>
    <x:row r="191">
      <x:c r="A191" t="n">
        <x:v>190</x:v>
      </x:c>
      <x:c r="B191" s="16" t="n">
        <x:v>45909</x:v>
      </x:c>
      <x:c r="C191" t="str">
        <x:v>India</x:v>
      </x:c>
      <x:c r="D191" t="str">
        <x:v>Freelancer</x:v>
      </x:c>
      <x:c r="E191" t="str">
        <x:v>Verified</x:v>
      </x:c>
    </x:row>
    <x:row r="192">
      <x:c r="A192" t="n">
        <x:v>191</x:v>
      </x:c>
      <x:c r="B192" s="16" t="n">
        <x:v>46052</x:v>
      </x:c>
      <x:c r="C192" t="str">
        <x:v>Germany</x:v>
      </x:c>
      <x:c r="D192" t="str">
        <x:v>Retail</x:v>
      </x:c>
      <x:c r="E192" t="str">
        <x:v>Verified</x:v>
      </x:c>
    </x:row>
    <x:row r="193">
      <x:c r="A193" t="n">
        <x:v>192</x:v>
      </x:c>
      <x:c r="B193" s="16" t="n">
        <x:v>45678</x:v>
      </x:c>
      <x:c r="C193" t="str">
        <x:v>Germany</x:v>
      </x:c>
      <x:c r="D193" t="str">
        <x:v>Retail</x:v>
      </x:c>
      <x:c r="E193" t="str">
        <x:v>Verified</x:v>
      </x:c>
    </x:row>
    <x:row r="194">
      <x:c r="A194" t="n">
        <x:v>193</x:v>
      </x:c>
      <x:c r="B194" s="16" t="n">
        <x:v>45854</x:v>
      </x:c>
      <x:c r="C194" t="str">
        <x:v>India</x:v>
      </x:c>
      <x:c r="D194" t="str">
        <x:v>Retail</x:v>
      </x:c>
      <x:c r="E194" t="str">
        <x:v>Verified</x:v>
      </x:c>
    </x:row>
    <x:row r="195">
      <x:c r="A195" t="n">
        <x:v>194</x:v>
      </x:c>
      <x:c r="B195" s="16" t="n">
        <x:v>46074</x:v>
      </x:c>
      <x:c r="C195" t="str">
        <x:v>Singapore</x:v>
      </x:c>
      <x:c r="D195" t="str">
        <x:v>Retail</x:v>
      </x:c>
      <x:c r="E195" t="str">
        <x:v>Verified</x:v>
      </x:c>
    </x:row>
    <x:row r="196">
      <x:c r="A196" t="n">
        <x:v>195</x:v>
      </x:c>
      <x:c r="B196" s="16" t="n">
        <x:v>46036</x:v>
      </x:c>
      <x:c r="C196" t="str">
        <x:v>UAE</x:v>
      </x:c>
      <x:c r="D196" t="str">
        <x:v>Retail</x:v>
      </x:c>
      <x:c r="E196" t="str">
        <x:v>Verified</x:v>
      </x:c>
    </x:row>
    <x:row r="197">
      <x:c r="A197" t="n">
        <x:v>196</x:v>
      </x:c>
      <x:c r="B197" s="16" t="n">
        <x:v>45663</x:v>
      </x:c>
      <x:c r="C197" t="str">
        <x:v>India</x:v>
      </x:c>
      <x:c r="D197" t="str">
        <x:v>Student</x:v>
      </x:c>
      <x:c r="E197" t="str">
        <x:v>Verified</x:v>
      </x:c>
    </x:row>
    <x:row r="198">
      <x:c r="A198" t="n">
        <x:v>197</x:v>
      </x:c>
      <x:c r="B198" s="16" t="n">
        <x:v>46105</x:v>
      </x:c>
      <x:c r="C198" t="str">
        <x:v>UAE</x:v>
      </x:c>
      <x:c r="D198" t="str">
        <x:v>Student</x:v>
      </x:c>
      <x:c r="E198" t="str">
        <x:v>Verified</x:v>
      </x:c>
    </x:row>
    <x:row r="199">
      <x:c r="A199" t="n">
        <x:v>198</x:v>
      </x:c>
      <x:c r="B199" s="16" t="n">
        <x:v>45820</x:v>
      </x:c>
      <x:c r="C199" t="str">
        <x:v>India</x:v>
      </x:c>
      <x:c r="D199" t="str">
        <x:v>Retail</x:v>
      </x:c>
      <x:c r="E199" t="str">
        <x:v>Verified</x:v>
      </x:c>
    </x:row>
    <x:row r="200">
      <x:c r="A200" t="n">
        <x:v>199</x:v>
      </x:c>
      <x:c r="B200" s="16" t="n">
        <x:v>45685</x:v>
      </x:c>
      <x:c r="C200" t="str">
        <x:v>United Kingdom</x:v>
      </x:c>
      <x:c r="D200" t="str">
        <x:v>Student</x:v>
      </x:c>
      <x:c r="E200" t="str">
        <x:v>Verified</x:v>
      </x:c>
    </x:row>
    <x:row r="201">
      <x:c r="A201" t="n">
        <x:v>200</x:v>
      </x:c>
      <x:c r="B201" s="16" t="n">
        <x:v>45970</x:v>
      </x:c>
      <x:c r="C201" t="str">
        <x:v>UAE</x:v>
      </x:c>
      <x:c r="D201" t="str">
        <x:v>Retail</x:v>
      </x:c>
      <x:c r="E201" t="str">
        <x:v>Verified</x:v>
      </x:c>
    </x:row>
    <x:row r="202">
      <x:c r="A202" t="n">
        <x:v>201</x:v>
      </x:c>
      <x:c r="B202" s="16" t="n">
        <x:v>45887</x:v>
      </x:c>
      <x:c r="C202" t="str">
        <x:v>United Kingdom</x:v>
      </x:c>
      <x:c r="D202" t="str">
        <x:v>Affluent</x:v>
      </x:c>
      <x:c r="E202" t="str">
        <x:v>Verified</x:v>
      </x:c>
    </x:row>
    <x:row r="203">
      <x:c r="A203" t="n">
        <x:v>202</x:v>
      </x:c>
      <x:c r="B203" s="16" t="n">
        <x:v>45942</x:v>
      </x:c>
      <x:c r="C203" t="str">
        <x:v>United Kingdom</x:v>
      </x:c>
      <x:c r="D203" t="str">
        <x:v>Retail</x:v>
      </x:c>
      <x:c r="E203" t="str">
        <x:v>Verified</x:v>
      </x:c>
    </x:row>
    <x:row r="204">
      <x:c r="A204" t="n">
        <x:v>203</x:v>
      </x:c>
      <x:c r="B204" s="16" t="n">
        <x:v>46059</x:v>
      </x:c>
      <x:c r="C204" t="str">
        <x:v>Singapore</x:v>
      </x:c>
      <x:c r="D204" t="str">
        <x:v>Retail</x:v>
      </x:c>
      <x:c r="E204" t="str">
        <x:v>Verified</x:v>
      </x:c>
    </x:row>
    <x:row r="205">
      <x:c r="A205" t="n">
        <x:v>204</x:v>
      </x:c>
      <x:c r="B205" s="16" t="n">
        <x:v>45961</x:v>
      </x:c>
      <x:c r="C205" t="str">
        <x:v>Singapore</x:v>
      </x:c>
      <x:c r="D205" t="str">
        <x:v>Affluent</x:v>
      </x:c>
      <x:c r="E205" t="str">
        <x:v>Verified</x:v>
      </x:c>
    </x:row>
    <x:row r="206">
      <x:c r="A206" t="n">
        <x:v>205</x:v>
      </x:c>
      <x:c r="B206" s="16" t="n">
        <x:v>46056</x:v>
      </x:c>
      <x:c r="C206" t="str">
        <x:v>UAE</x:v>
      </x:c>
      <x:c r="D206" t="str">
        <x:v>Retail</x:v>
      </x:c>
      <x:c r="E206" t="str">
        <x:v>Verified</x:v>
      </x:c>
    </x:row>
    <x:row r="207">
      <x:c r="A207" t="n">
        <x:v>206</x:v>
      </x:c>
      <x:c r="B207" s="16" t="n">
        <x:v>45931</x:v>
      </x:c>
      <x:c r="C207" t="str">
        <x:v>United Kingdom</x:v>
      </x:c>
      <x:c r="D207" t="str">
        <x:v>Retail</x:v>
      </x:c>
      <x:c r="E207" t="str">
        <x:v>Verified</x:v>
      </x:c>
    </x:row>
    <x:row r="208">
      <x:c r="A208" t="n">
        <x:v>207</x:v>
      </x:c>
      <x:c r="B208" s="16" t="n">
        <x:v>45858</x:v>
      </x:c>
      <x:c r="C208" t="str">
        <x:v>UAE</x:v>
      </x:c>
      <x:c r="D208" t="str">
        <x:v>Retail</x:v>
      </x:c>
      <x:c r="E208" t="str">
        <x:v>Verified</x:v>
      </x:c>
    </x:row>
    <x:row r="209">
      <x:c r="A209" t="n">
        <x:v>208</x:v>
      </x:c>
      <x:c r="B209" s="16" t="n">
        <x:v>45947</x:v>
      </x:c>
      <x:c r="C209" t="str">
        <x:v>India</x:v>
      </x:c>
      <x:c r="D209" t="str">
        <x:v>Student</x:v>
      </x:c>
      <x:c r="E209" t="str">
        <x:v>Verified</x:v>
      </x:c>
    </x:row>
    <x:row r="210">
      <x:c r="A210" t="n">
        <x:v>209</x:v>
      </x:c>
      <x:c r="B210" s="16" t="n">
        <x:v>46100</x:v>
      </x:c>
      <x:c r="C210" t="str">
        <x:v>United Kingdom</x:v>
      </x:c>
      <x:c r="D210" t="str">
        <x:v>Student</x:v>
      </x:c>
      <x:c r="E210" t="str">
        <x:v>Verified</x:v>
      </x:c>
    </x:row>
    <x:row r="211">
      <x:c r="A211" t="n">
        <x:v>210</x:v>
      </x:c>
      <x:c r="B211" s="16" t="n">
        <x:v>46101</x:v>
      </x:c>
      <x:c r="C211" t="str">
        <x:v>India</x:v>
      </x:c>
      <x:c r="D211" t="str">
        <x:v>Retail</x:v>
      </x:c>
      <x:c r="E211" t="str">
        <x:v>Verified</x:v>
      </x:c>
    </x:row>
    <x:row r="212">
      <x:c r="A212" t="n">
        <x:v>211</x:v>
      </x:c>
      <x:c r="B212" s="16" t="n">
        <x:v>45822</x:v>
      </x:c>
      <x:c r="C212" t="str">
        <x:v>Singapore</x:v>
      </x:c>
      <x:c r="D212" t="str">
        <x:v>Student</x:v>
      </x:c>
      <x:c r="E212" t="str">
        <x:v>Verified</x:v>
      </x:c>
    </x:row>
    <x:row r="213">
      <x:c r="A213" t="n">
        <x:v>212</x:v>
      </x:c>
      <x:c r="B213" s="16" t="n">
        <x:v>45799</x:v>
      </x:c>
      <x:c r="C213" t="str">
        <x:v>UAE</x:v>
      </x:c>
      <x:c r="D213" t="str">
        <x:v>Affluent</x:v>
      </x:c>
      <x:c r="E213" t="str">
        <x:v>Verified</x:v>
      </x:c>
    </x:row>
    <x:row r="214">
      <x:c r="A214" t="n">
        <x:v>213</x:v>
      </x:c>
      <x:c r="B214" s="16" t="n">
        <x:v>46050</x:v>
      </x:c>
      <x:c r="C214" t="str">
        <x:v>Germany</x:v>
      </x:c>
      <x:c r="D214" t="str">
        <x:v>Affluent</x:v>
      </x:c>
      <x:c r="E214" t="str">
        <x:v>Verified</x:v>
      </x:c>
    </x:row>
    <x:row r="215">
      <x:c r="A215" t="n">
        <x:v>214</x:v>
      </x:c>
      <x:c r="B215" s="16" t="n">
        <x:v>45920</x:v>
      </x:c>
      <x:c r="C215" t="str">
        <x:v>Germany</x:v>
      </x:c>
      <x:c r="D215" t="str">
        <x:v>Affluent</x:v>
      </x:c>
      <x:c r="E215" t="str">
        <x:v>Verified</x:v>
      </x:c>
    </x:row>
    <x:row r="216">
      <x:c r="A216" t="n">
        <x:v>215</x:v>
      </x:c>
      <x:c r="B216" s="16" t="n">
        <x:v>46084</x:v>
      </x:c>
      <x:c r="C216" t="str">
        <x:v>India</x:v>
      </x:c>
      <x:c r="D216" t="str">
        <x:v>Retail</x:v>
      </x:c>
      <x:c r="E216" t="str">
        <x:v>Verified</x:v>
      </x:c>
    </x:row>
    <x:row r="217">
      <x:c r="A217" t="n">
        <x:v>216</x:v>
      </x:c>
      <x:c r="B217" s="16" t="n">
        <x:v>45841</x:v>
      </x:c>
      <x:c r="C217" t="str">
        <x:v>India</x:v>
      </x:c>
      <x:c r="D217" t="str">
        <x:v>Retail</x:v>
      </x:c>
      <x:c r="E217" t="str">
        <x:v>Verified</x:v>
      </x:c>
    </x:row>
    <x:row r="218">
      <x:c r="A218" t="n">
        <x:v>217</x:v>
      </x:c>
      <x:c r="B218" s="16" t="n">
        <x:v>45951</x:v>
      </x:c>
      <x:c r="C218" t="str">
        <x:v>UAE</x:v>
      </x:c>
      <x:c r="D218" t="str">
        <x:v>Retail</x:v>
      </x:c>
      <x:c r="E218" t="str">
        <x:v>Verified</x:v>
      </x:c>
    </x:row>
    <x:row r="219">
      <x:c r="A219" t="n">
        <x:v>218</x:v>
      </x:c>
      <x:c r="B219" s="16" t="n">
        <x:v>45674</x:v>
      </x:c>
      <x:c r="C219" t="str">
        <x:v>India</x:v>
      </x:c>
      <x:c r="D219" t="str">
        <x:v>Small Business</x:v>
      </x:c>
      <x:c r="E219" t="str">
        <x:v>Verified</x:v>
      </x:c>
    </x:row>
    <x:row r="220">
      <x:c r="A220" t="n">
        <x:v>219</x:v>
      </x:c>
      <x:c r="B220" s="16" t="n">
        <x:v>46030</x:v>
      </x:c>
      <x:c r="C220" t="str">
        <x:v>UAE</x:v>
      </x:c>
      <x:c r="D220" t="str">
        <x:v>Affluent</x:v>
      </x:c>
      <x:c r="E220" t="str">
        <x:v>Verified</x:v>
      </x:c>
    </x:row>
    <x:row r="221">
      <x:c r="A221" t="n">
        <x:v>220</x:v>
      </x:c>
      <x:c r="B221" s="16" t="n">
        <x:v>45703</x:v>
      </x:c>
      <x:c r="C221" t="str">
        <x:v>UAE</x:v>
      </x:c>
      <x:c r="D221" t="str">
        <x:v>Small Business</x:v>
      </x:c>
      <x:c r="E221" t="str">
        <x:v>Verified</x:v>
      </x:c>
    </x:row>
    <x:row r="222">
      <x:c r="A222" t="n">
        <x:v>221</x:v>
      </x:c>
      <x:c r="B222" s="16" t="n">
        <x:v>45794</x:v>
      </x:c>
      <x:c r="C222" t="str">
        <x:v>Singapore</x:v>
      </x:c>
      <x:c r="D222" t="str">
        <x:v>Small Business</x:v>
      </x:c>
      <x:c r="E222" t="str">
        <x:v>Verified</x:v>
      </x:c>
    </x:row>
    <x:row r="223">
      <x:c r="A223" t="n">
        <x:v>222</x:v>
      </x:c>
      <x:c r="B223" s="16" t="n">
        <x:v>45951</x:v>
      </x:c>
      <x:c r="C223" t="str">
        <x:v>Singapore</x:v>
      </x:c>
      <x:c r="D223" t="str">
        <x:v>Retail</x:v>
      </x:c>
      <x:c r="E223" t="str">
        <x:v>Verified</x:v>
      </x:c>
    </x:row>
    <x:row r="224">
      <x:c r="A224" t="n">
        <x:v>223</x:v>
      </x:c>
      <x:c r="B224" s="16" t="n">
        <x:v>45777</x:v>
      </x:c>
      <x:c r="C224" t="str">
        <x:v>India</x:v>
      </x:c>
      <x:c r="D224" t="str">
        <x:v>Freelancer</x:v>
      </x:c>
      <x:c r="E224" t="str">
        <x:v>Verified</x:v>
      </x:c>
    </x:row>
    <x:row r="225">
      <x:c r="A225" t="n">
        <x:v>224</x:v>
      </x:c>
      <x:c r="B225" s="16" t="n">
        <x:v>45852</x:v>
      </x:c>
      <x:c r="C225" t="str">
        <x:v>India</x:v>
      </x:c>
      <x:c r="D225" t="str">
        <x:v>Affluent</x:v>
      </x:c>
      <x:c r="E225" t="str">
        <x:v>Verified</x:v>
      </x:c>
    </x:row>
    <x:row r="226">
      <x:c r="A226" t="n">
        <x:v>225</x:v>
      </x:c>
      <x:c r="B226" s="16" t="n">
        <x:v>45725</x:v>
      </x:c>
      <x:c r="C226" t="str">
        <x:v>India</x:v>
      </x:c>
      <x:c r="D226" t="str">
        <x:v>Affluent</x:v>
      </x:c>
      <x:c r="E226" t="str">
        <x:v>Verified</x:v>
      </x:c>
    </x:row>
    <x:row r="227">
      <x:c r="A227" t="n">
        <x:v>226</x:v>
      </x:c>
      <x:c r="B227" s="16" t="n">
        <x:v>45745</x:v>
      </x:c>
      <x:c r="C227" t="str">
        <x:v>India</x:v>
      </x:c>
      <x:c r="D227" t="str">
        <x:v>Small Business</x:v>
      </x:c>
      <x:c r="E227" t="str">
        <x:v>Verified</x:v>
      </x:c>
    </x:row>
    <x:row r="228">
      <x:c r="A228" t="n">
        <x:v>227</x:v>
      </x:c>
      <x:c r="B228" s="16" t="n">
        <x:v>46054</x:v>
      </x:c>
      <x:c r="C228" t="str">
        <x:v>India</x:v>
      </x:c>
      <x:c r="D228" t="str">
        <x:v>Student</x:v>
      </x:c>
      <x:c r="E228" t="str">
        <x:v>Verified</x:v>
      </x:c>
    </x:row>
    <x:row r="229">
      <x:c r="A229" t="n">
        <x:v>228</x:v>
      </x:c>
      <x:c r="B229" s="16" t="n">
        <x:v>46106</x:v>
      </x:c>
      <x:c r="C229" t="str">
        <x:v>Germany</x:v>
      </x:c>
      <x:c r="D229" t="str">
        <x:v>Small Business</x:v>
      </x:c>
      <x:c r="E229" t="str">
        <x:v>Verified</x:v>
      </x:c>
    </x:row>
    <x:row r="230">
      <x:c r="A230" t="n">
        <x:v>229</x:v>
      </x:c>
      <x:c r="B230" s="16" t="n">
        <x:v>45872</x:v>
      </x:c>
      <x:c r="C230" t="str">
        <x:v>United Kingdom</x:v>
      </x:c>
      <x:c r="D230" t="str">
        <x:v>Retail</x:v>
      </x:c>
      <x:c r="E230" t="str">
        <x:v>Verified</x:v>
      </x:c>
    </x:row>
    <x:row r="231">
      <x:c r="A231" t="n">
        <x:v>230</x:v>
      </x:c>
      <x:c r="B231" s="16" t="n">
        <x:v>45698</x:v>
      </x:c>
      <x:c r="C231" t="str">
        <x:v>UAE</x:v>
      </x:c>
      <x:c r="D231" t="str">
        <x:v>Small Business</x:v>
      </x:c>
      <x:c r="E231" t="str">
        <x:v>Verified</x:v>
      </x:c>
    </x:row>
    <x:row r="232">
      <x:c r="A232" t="n">
        <x:v>231</x:v>
      </x:c>
      <x:c r="B232" s="16" t="n">
        <x:v>45680</x:v>
      </x:c>
      <x:c r="C232" t="str">
        <x:v>Singapore</x:v>
      </x:c>
      <x:c r="D232" t="str">
        <x:v>Student</x:v>
      </x:c>
      <x:c r="E232" t="str">
        <x:v>Verified</x:v>
      </x:c>
    </x:row>
    <x:row r="233">
      <x:c r="A233" t="n">
        <x:v>232</x:v>
      </x:c>
      <x:c r="B233" s="16" t="n">
        <x:v>46044</x:v>
      </x:c>
      <x:c r="C233" t="str">
        <x:v>Germany</x:v>
      </x:c>
      <x:c r="D233" t="str">
        <x:v>Student</x:v>
      </x:c>
      <x:c r="E233" t="str">
        <x:v>Verified</x:v>
      </x:c>
    </x:row>
    <x:row r="234">
      <x:c r="A234" t="n">
        <x:v>233</x:v>
      </x:c>
      <x:c r="B234" s="16" t="n">
        <x:v>45968</x:v>
      </x:c>
      <x:c r="C234" t="str">
        <x:v>UAE</x:v>
      </x:c>
      <x:c r="D234" t="str">
        <x:v>Small Business</x:v>
      </x:c>
      <x:c r="E234" t="str">
        <x:v>Verified</x:v>
      </x:c>
    </x:row>
    <x:row r="235">
      <x:c r="A235" t="n">
        <x:v>234</x:v>
      </x:c>
      <x:c r="B235" s="16" t="n">
        <x:v>46054</x:v>
      </x:c>
      <x:c r="C235" t="str">
        <x:v>United Kingdom</x:v>
      </x:c>
      <x:c r="D235" t="str">
        <x:v>Retail</x:v>
      </x:c>
      <x:c r="E235" t="str">
        <x:v>Verified</x:v>
      </x:c>
    </x:row>
    <x:row r="236">
      <x:c r="A236" t="n">
        <x:v>235</x:v>
      </x:c>
      <x:c r="B236" s="16" t="n">
        <x:v>45669</x:v>
      </x:c>
      <x:c r="C236" t="str">
        <x:v>Germany</x:v>
      </x:c>
      <x:c r="D236" t="str">
        <x:v>Retail</x:v>
      </x:c>
      <x:c r="E236" t="str">
        <x:v>Verified</x:v>
      </x:c>
    </x:row>
    <x:row r="237">
      <x:c r="A237" t="n">
        <x:v>236</x:v>
      </x:c>
      <x:c r="B237" s="16" t="n">
        <x:v>46073</x:v>
      </x:c>
      <x:c r="C237" t="str">
        <x:v>UAE</x:v>
      </x:c>
      <x:c r="D237" t="str">
        <x:v>Retail</x:v>
      </x:c>
      <x:c r="E237" t="str">
        <x:v>Verified</x:v>
      </x:c>
    </x:row>
    <x:row r="238">
      <x:c r="A238" t="n">
        <x:v>237</x:v>
      </x:c>
      <x:c r="B238" s="16" t="n">
        <x:v>46065</x:v>
      </x:c>
      <x:c r="C238" t="str">
        <x:v>India</x:v>
      </x:c>
      <x:c r="D238" t="str">
        <x:v>Student</x:v>
      </x:c>
      <x:c r="E238" t="str">
        <x:v>Verified</x:v>
      </x:c>
    </x:row>
    <x:row r="239">
      <x:c r="A239" t="n">
        <x:v>238</x:v>
      </x:c>
      <x:c r="B239" s="16" t="n">
        <x:v>46091</x:v>
      </x:c>
      <x:c r="C239" t="str">
        <x:v>UAE</x:v>
      </x:c>
      <x:c r="D239" t="str">
        <x:v>Small Business</x:v>
      </x:c>
      <x:c r="E239" t="str">
        <x:v>Verified</x:v>
      </x:c>
    </x:row>
    <x:row r="240">
      <x:c r="A240" t="n">
        <x:v>239</x:v>
      </x:c>
      <x:c r="B240" s="16" t="n">
        <x:v>45860</x:v>
      </x:c>
      <x:c r="C240" t="str">
        <x:v>United Kingdom</x:v>
      </x:c>
      <x:c r="D240" t="str">
        <x:v>Affluent</x:v>
      </x:c>
      <x:c r="E240" t="str">
        <x:v>Verified</x:v>
      </x:c>
    </x:row>
    <x:row r="241">
      <x:c r="A241" t="n">
        <x:v>240</x:v>
      </x:c>
      <x:c r="B241" s="16" t="n">
        <x:v>45958</x:v>
      </x:c>
      <x:c r="C241" t="str">
        <x:v>United Kingdom</x:v>
      </x:c>
      <x:c r="D241" t="str">
        <x:v>Small Business</x:v>
      </x:c>
      <x:c r="E241" t="str">
        <x:v>Verified</x:v>
      </x:c>
    </x:row>
    <x:row r="242">
      <x:c r="A242" t="n">
        <x:v>241</x:v>
      </x:c>
      <x:c r="B242" s="16" t="n">
        <x:v>45797</x:v>
      </x:c>
      <x:c r="C242" t="str">
        <x:v>UAE</x:v>
      </x:c>
      <x:c r="D242" t="str">
        <x:v>Retail</x:v>
      </x:c>
      <x:c r="E242" t="str">
        <x:v>Verified</x:v>
      </x:c>
    </x:row>
    <x:row r="243">
      <x:c r="A243" t="n">
        <x:v>242</x:v>
      </x:c>
      <x:c r="B243" s="16" t="n">
        <x:v>45698</x:v>
      </x:c>
      <x:c r="C243" t="str">
        <x:v>India</x:v>
      </x:c>
      <x:c r="D243" t="str">
        <x:v>Affluent</x:v>
      </x:c>
      <x:c r="E243" t="str">
        <x:v>Verified</x:v>
      </x:c>
    </x:row>
    <x:row r="244">
      <x:c r="A244" t="n">
        <x:v>243</x:v>
      </x:c>
      <x:c r="B244" s="16" t="n">
        <x:v>45954</x:v>
      </x:c>
      <x:c r="C244" t="str">
        <x:v>India</x:v>
      </x:c>
      <x:c r="D244" t="str">
        <x:v>Student</x:v>
      </x:c>
      <x:c r="E244" t="str">
        <x:v>Verified</x:v>
      </x:c>
    </x:row>
    <x:row r="245">
      <x:c r="A245" t="n">
        <x:v>244</x:v>
      </x:c>
      <x:c r="B245" s="16" t="n">
        <x:v>46093</x:v>
      </x:c>
      <x:c r="C245" t="str">
        <x:v>UAE</x:v>
      </x:c>
      <x:c r="D245" t="str">
        <x:v>Retail</x:v>
      </x:c>
      <x:c r="E245" t="str">
        <x:v>Verified</x:v>
      </x:c>
    </x:row>
    <x:row r="246">
      <x:c r="A246" t="n">
        <x:v>245</x:v>
      </x:c>
      <x:c r="B246" s="16" t="n">
        <x:v>45700</x:v>
      </x:c>
      <x:c r="C246" t="str">
        <x:v>Singapore</x:v>
      </x:c>
      <x:c r="D246" t="str">
        <x:v>Retail</x:v>
      </x:c>
      <x:c r="E246" t="str">
        <x:v>Verified</x:v>
      </x:c>
    </x:row>
    <x:row r="247">
      <x:c r="A247" t="n">
        <x:v>246</x:v>
      </x:c>
      <x:c r="B247" s="16" t="n">
        <x:v>45986</x:v>
      </x:c>
      <x:c r="C247" t="str">
        <x:v>UAE</x:v>
      </x:c>
      <x:c r="D247" t="str">
        <x:v>Freelancer</x:v>
      </x:c>
      <x:c r="E247" t="str">
        <x:v>Verified</x:v>
      </x:c>
    </x:row>
    <x:row r="248">
      <x:c r="A248" t="n">
        <x:v>247</x:v>
      </x:c>
      <x:c r="B248" s="16" t="n">
        <x:v>45706</x:v>
      </x:c>
      <x:c r="C248" t="str">
        <x:v>India</x:v>
      </x:c>
      <x:c r="D248" t="str">
        <x:v>Retail</x:v>
      </x:c>
      <x:c r="E248" t="str">
        <x:v>Verified</x:v>
      </x:c>
    </x:row>
    <x:row r="249">
      <x:c r="A249" t="n">
        <x:v>248</x:v>
      </x:c>
      <x:c r="B249" s="16" t="n">
        <x:v>46078</x:v>
      </x:c>
      <x:c r="C249" t="str">
        <x:v>India</x:v>
      </x:c>
      <x:c r="D249" t="str">
        <x:v>Affluent</x:v>
      </x:c>
      <x:c r="E249" t="str">
        <x:v>Verified</x:v>
      </x:c>
    </x:row>
    <x:row r="250">
      <x:c r="A250" t="n">
        <x:v>249</x:v>
      </x:c>
      <x:c r="B250" s="16" t="n">
        <x:v>45971</x:v>
      </x:c>
      <x:c r="C250" t="str">
        <x:v>United Kingdom</x:v>
      </x:c>
      <x:c r="D250" t="str">
        <x:v>Affluent</x:v>
      </x:c>
      <x:c r="E250" t="str">
        <x:v>Verified</x:v>
      </x:c>
    </x:row>
    <x:row r="251">
      <x:c r="A251" t="n">
        <x:v>250</x:v>
      </x:c>
      <x:c r="B251" s="16" t="n">
        <x:v>45701</x:v>
      </x:c>
      <x:c r="C251" t="str">
        <x:v>UAE</x:v>
      </x:c>
      <x:c r="D251" t="str">
        <x:v>Student</x:v>
      </x:c>
      <x:c r="E251" t="str">
        <x:v>Verified</x:v>
      </x:c>
    </x:row>
    <x:row r="252">
      <x:c r="A252" t="n">
        <x:v>251</x:v>
      </x:c>
      <x:c r="B252" s="16" t="n">
        <x:v>45683</x:v>
      </x:c>
      <x:c r="C252" t="str">
        <x:v>Germany</x:v>
      </x:c>
      <x:c r="D252" t="str">
        <x:v>Retail</x:v>
      </x:c>
      <x:c r="E252" t="str">
        <x:v>Verified</x:v>
      </x:c>
    </x:row>
    <x:row r="253">
      <x:c r="A253" t="n">
        <x:v>252</x:v>
      </x:c>
      <x:c r="B253" s="16" t="n">
        <x:v>45679</x:v>
      </x:c>
      <x:c r="C253" t="str">
        <x:v>United Kingdom</x:v>
      </x:c>
      <x:c r="D253" t="str">
        <x:v>Retail</x:v>
      </x:c>
      <x:c r="E253" t="str">
        <x:v>Verified</x:v>
      </x:c>
    </x:row>
    <x:row r="254">
      <x:c r="A254" t="n">
        <x:v>253</x:v>
      </x:c>
      <x:c r="B254" s="16" t="n">
        <x:v>46100</x:v>
      </x:c>
      <x:c r="C254" t="str">
        <x:v>Singapore</x:v>
      </x:c>
      <x:c r="D254" t="str">
        <x:v>Retail</x:v>
      </x:c>
      <x:c r="E254" t="str">
        <x:v>Verified</x:v>
      </x:c>
    </x:row>
    <x:row r="255">
      <x:c r="A255" t="n">
        <x:v>254</x:v>
      </x:c>
      <x:c r="B255" s="16" t="n">
        <x:v>46093</x:v>
      </x:c>
      <x:c r="C255" t="str">
        <x:v>India</x:v>
      </x:c>
      <x:c r="D255" t="str">
        <x:v>Student</x:v>
      </x:c>
      <x:c r="E255" t="str">
        <x:v>Verified</x:v>
      </x:c>
    </x:row>
    <x:row r="256">
      <x:c r="A256" t="n">
        <x:v>255</x:v>
      </x:c>
      <x:c r="B256" s="16" t="n">
        <x:v>46005</x:v>
      </x:c>
      <x:c r="C256" t="str">
        <x:v>UAE</x:v>
      </x:c>
      <x:c r="D256" t="str">
        <x:v>Retail</x:v>
      </x:c>
      <x:c r="E256" t="str">
        <x:v>Verified</x:v>
      </x:c>
    </x:row>
    <x:row r="257">
      <x:c r="A257" t="n">
        <x:v>256</x:v>
      </x:c>
      <x:c r="B257" s="16" t="n">
        <x:v>45851</x:v>
      </x:c>
      <x:c r="C257" t="str">
        <x:v>United Kingdom</x:v>
      </x:c>
      <x:c r="D257" t="str">
        <x:v>Freelancer</x:v>
      </x:c>
      <x:c r="E257" t="str">
        <x:v>Verified</x:v>
      </x:c>
    </x:row>
    <x:row r="258">
      <x:c r="A258" t="n">
        <x:v>257</x:v>
      </x:c>
      <x:c r="B258" s="16" t="n">
        <x:v>45890</x:v>
      </x:c>
      <x:c r="C258" t="str">
        <x:v>India</x:v>
      </x:c>
      <x:c r="D258" t="str">
        <x:v>Freelancer</x:v>
      </x:c>
      <x:c r="E258" t="str">
        <x:v>Verified</x:v>
      </x:c>
    </x:row>
    <x:row r="259">
      <x:c r="A259" t="n">
        <x:v>258</x:v>
      </x:c>
      <x:c r="B259" s="16" t="n">
        <x:v>45797</x:v>
      </x:c>
      <x:c r="C259" t="str">
        <x:v>United Kingdom</x:v>
      </x:c>
      <x:c r="D259" t="str">
        <x:v>Retail</x:v>
      </x:c>
      <x:c r="E259" t="str">
        <x:v>Verified</x:v>
      </x:c>
    </x:row>
    <x:row r="260">
      <x:c r="A260" t="n">
        <x:v>259</x:v>
      </x:c>
      <x:c r="B260" s="16" t="n">
        <x:v>46033</x:v>
      </x:c>
      <x:c r="C260" t="str">
        <x:v>Germany</x:v>
      </x:c>
      <x:c r="D260" t="str">
        <x:v>Small Business</x:v>
      </x:c>
      <x:c r="E260" t="str">
        <x:v>Verified</x:v>
      </x:c>
    </x:row>
    <x:row r="261">
      <x:c r="A261" t="n">
        <x:v>260</x:v>
      </x:c>
      <x:c r="B261" s="16" t="n">
        <x:v>45868</x:v>
      </x:c>
      <x:c r="C261" t="str">
        <x:v>UAE</x:v>
      </x:c>
      <x:c r="D261" t="str">
        <x:v>Retail</x:v>
      </x:c>
      <x:c r="E261" t="str">
        <x:v>Verified</x:v>
      </x:c>
    </x:row>
    <x:row r="262">
      <x:c r="A262" t="n">
        <x:v>261</x:v>
      </x:c>
      <x:c r="B262" s="16" t="n">
        <x:v>45786</x:v>
      </x:c>
      <x:c r="C262" t="str">
        <x:v>UAE</x:v>
      </x:c>
      <x:c r="D262" t="str">
        <x:v>Affluent</x:v>
      </x:c>
      <x:c r="E262" t="str">
        <x:v>Verified</x:v>
      </x:c>
    </x:row>
    <x:row r="263">
      <x:c r="A263" t="n">
        <x:v>262</x:v>
      </x:c>
      <x:c r="B263" s="16" t="n">
        <x:v>46055</x:v>
      </x:c>
      <x:c r="C263" t="str">
        <x:v>India</x:v>
      </x:c>
      <x:c r="D263" t="str">
        <x:v>Small Business</x:v>
      </x:c>
      <x:c r="E263" t="str">
        <x:v>Verified</x:v>
      </x:c>
    </x:row>
    <x:row r="264">
      <x:c r="A264" t="n">
        <x:v>263</x:v>
      </x:c>
      <x:c r="B264" s="16" t="n">
        <x:v>45708</x:v>
      </x:c>
      <x:c r="C264" t="str">
        <x:v>United Kingdom</x:v>
      </x:c>
      <x:c r="D264" t="str">
        <x:v>Retail</x:v>
      </x:c>
      <x:c r="E264" t="str">
        <x:v>Verified</x:v>
      </x:c>
    </x:row>
    <x:row r="265">
      <x:c r="A265" t="n">
        <x:v>264</x:v>
      </x:c>
      <x:c r="B265" s="16" t="n">
        <x:v>45919</x:v>
      </x:c>
      <x:c r="C265" t="str">
        <x:v>Singapore</x:v>
      </x:c>
      <x:c r="D265" t="str">
        <x:v>Retail</x:v>
      </x:c>
      <x:c r="E265" t="str">
        <x:v>Verified</x:v>
      </x:c>
    </x:row>
    <x:row r="266">
      <x:c r="A266" t="n">
        <x:v>265</x:v>
      </x:c>
      <x:c r="B266" s="16" t="n">
        <x:v>45875</x:v>
      </x:c>
      <x:c r="C266" t="str">
        <x:v>United Kingdom</x:v>
      </x:c>
      <x:c r="D266" t="str">
        <x:v>Freelancer</x:v>
      </x:c>
      <x:c r="E266" t="str">
        <x:v>Verified</x:v>
      </x:c>
    </x:row>
    <x:row r="267">
      <x:c r="A267" t="n">
        <x:v>266</x:v>
      </x:c>
      <x:c r="B267" s="16" t="n">
        <x:v>45950</x:v>
      </x:c>
      <x:c r="C267" t="str">
        <x:v>India</x:v>
      </x:c>
      <x:c r="D267" t="str">
        <x:v>Small Business</x:v>
      </x:c>
      <x:c r="E267" t="str">
        <x:v>Verified</x:v>
      </x:c>
    </x:row>
    <x:row r="268">
      <x:c r="A268" t="n">
        <x:v>267</x:v>
      </x:c>
      <x:c r="B268" s="16" t="n">
        <x:v>45792</x:v>
      </x:c>
      <x:c r="C268" t="str">
        <x:v>India</x:v>
      </x:c>
      <x:c r="D268" t="str">
        <x:v>Retail</x:v>
      </x:c>
      <x:c r="E268" t="str">
        <x:v>Verified</x:v>
      </x:c>
    </x:row>
    <x:row r="269">
      <x:c r="A269" t="n">
        <x:v>268</x:v>
      </x:c>
      <x:c r="B269" s="16" t="n">
        <x:v>45845</x:v>
      </x:c>
      <x:c r="C269" t="str">
        <x:v>UAE</x:v>
      </x:c>
      <x:c r="D269" t="str">
        <x:v>Affluent</x:v>
      </x:c>
      <x:c r="E269" t="str">
        <x:v>Verified</x:v>
      </x:c>
    </x:row>
    <x:row r="270">
      <x:c r="A270" t="n">
        <x:v>269</x:v>
      </x:c>
      <x:c r="B270" s="16" t="n">
        <x:v>45746</x:v>
      </x:c>
      <x:c r="C270" t="str">
        <x:v>UAE</x:v>
      </x:c>
      <x:c r="D270" t="str">
        <x:v>Small Business</x:v>
      </x:c>
      <x:c r="E270" t="str">
        <x:v>Verified</x:v>
      </x:c>
    </x:row>
    <x:row r="271">
      <x:c r="A271" t="n">
        <x:v>270</x:v>
      </x:c>
      <x:c r="B271" s="16" t="n">
        <x:v>45802</x:v>
      </x:c>
      <x:c r="C271" t="str">
        <x:v>Germany</x:v>
      </x:c>
      <x:c r="D271" t="str">
        <x:v>Affluent</x:v>
      </x:c>
      <x:c r="E271" t="str">
        <x:v>Verified</x:v>
      </x:c>
    </x:row>
    <x:row r="272">
      <x:c r="A272" t="n">
        <x:v>271</x:v>
      </x:c>
      <x:c r="B272" s="16" t="n">
        <x:v>45920</x:v>
      </x:c>
      <x:c r="C272" t="str">
        <x:v>UAE</x:v>
      </x:c>
      <x:c r="D272" t="str">
        <x:v>Retail</x:v>
      </x:c>
      <x:c r="E272" t="str">
        <x:v>Verified</x:v>
      </x:c>
    </x:row>
    <x:row r="273">
      <x:c r="A273" t="n">
        <x:v>272</x:v>
      </x:c>
      <x:c r="B273" s="16" t="n">
        <x:v>46033</x:v>
      </x:c>
      <x:c r="C273" t="str">
        <x:v>India</x:v>
      </x:c>
      <x:c r="D273" t="str">
        <x:v>Retail</x:v>
      </x:c>
      <x:c r="E273" t="str">
        <x:v>Verified</x:v>
      </x:c>
    </x:row>
    <x:row r="274">
      <x:c r="A274" t="n">
        <x:v>273</x:v>
      </x:c>
      <x:c r="B274" s="16" t="n">
        <x:v>46012</x:v>
      </x:c>
      <x:c r="C274" t="str">
        <x:v>Germany</x:v>
      </x:c>
      <x:c r="D274" t="str">
        <x:v>Small Business</x:v>
      </x:c>
      <x:c r="E274" t="str">
        <x:v>Verified</x:v>
      </x:c>
    </x:row>
    <x:row r="275">
      <x:c r="A275" t="n">
        <x:v>274</x:v>
      </x:c>
      <x:c r="B275" s="16" t="n">
        <x:v>45775</x:v>
      </x:c>
      <x:c r="C275" t="str">
        <x:v>India</x:v>
      </x:c>
      <x:c r="D275" t="str">
        <x:v>Retail</x:v>
      </x:c>
      <x:c r="E275" t="str">
        <x:v>Pending</x:v>
      </x:c>
    </x:row>
    <x:row r="276">
      <x:c r="A276" t="n">
        <x:v>275</x:v>
      </x:c>
      <x:c r="B276" s="16" t="n">
        <x:v>45814</x:v>
      </x:c>
      <x:c r="C276" t="str">
        <x:v>UAE</x:v>
      </x:c>
      <x:c r="D276" t="str">
        <x:v>Affluent</x:v>
      </x:c>
      <x:c r="E276" t="str">
        <x:v>Verified</x:v>
      </x:c>
    </x:row>
    <x:row r="277">
      <x:c r="A277" t="n">
        <x:v>276</x:v>
      </x:c>
      <x:c r="B277" s="16" t="n">
        <x:v>45823</x:v>
      </x:c>
      <x:c r="C277" t="str">
        <x:v>Singapore</x:v>
      </x:c>
      <x:c r="D277" t="str">
        <x:v>Retail</x:v>
      </x:c>
      <x:c r="E277" t="str">
        <x:v>Verified</x:v>
      </x:c>
    </x:row>
    <x:row r="278">
      <x:c r="A278" t="n">
        <x:v>277</x:v>
      </x:c>
      <x:c r="B278" s="16" t="n">
        <x:v>46086</x:v>
      </x:c>
      <x:c r="C278" t="str">
        <x:v>India</x:v>
      </x:c>
      <x:c r="D278" t="str">
        <x:v>Affluent</x:v>
      </x:c>
      <x:c r="E278" t="str">
        <x:v>Verified</x:v>
      </x:c>
    </x:row>
    <x:row r="279">
      <x:c r="A279" t="n">
        <x:v>278</x:v>
      </x:c>
      <x:c r="B279" s="16" t="n">
        <x:v>45821</x:v>
      </x:c>
      <x:c r="C279" t="str">
        <x:v>United Kingdom</x:v>
      </x:c>
      <x:c r="D279" t="str">
        <x:v>Freelancer</x:v>
      </x:c>
      <x:c r="E279" t="str">
        <x:v>Verified</x:v>
      </x:c>
    </x:row>
    <x:row r="280">
      <x:c r="A280" t="n">
        <x:v>279</x:v>
      </x:c>
      <x:c r="B280" s="16" t="n">
        <x:v>45917</x:v>
      </x:c>
      <x:c r="C280" t="str">
        <x:v>India</x:v>
      </x:c>
      <x:c r="D280" t="str">
        <x:v>Retail</x:v>
      </x:c>
      <x:c r="E280" t="str">
        <x:v>Verified</x:v>
      </x:c>
    </x:row>
    <x:row r="281">
      <x:c r="A281" t="n">
        <x:v>280</x:v>
      </x:c>
      <x:c r="B281" s="16" t="n">
        <x:v>45973</x:v>
      </x:c>
      <x:c r="C281" t="str">
        <x:v>Singapore</x:v>
      </x:c>
      <x:c r="D281" t="str">
        <x:v>Freelancer</x:v>
      </x:c>
      <x:c r="E281" t="str">
        <x:v>Verified</x:v>
      </x:c>
    </x:row>
    <x:row r="282">
      <x:c r="A282" t="n">
        <x:v>281</x:v>
      </x:c>
      <x:c r="B282" s="16" t="n">
        <x:v>45915</x:v>
      </x:c>
      <x:c r="C282" t="str">
        <x:v>India</x:v>
      </x:c>
      <x:c r="D282" t="str">
        <x:v>Freelancer</x:v>
      </x:c>
      <x:c r="E282" t="str">
        <x:v>Verified</x:v>
      </x:c>
    </x:row>
    <x:row r="283">
      <x:c r="A283" t="n">
        <x:v>282</x:v>
      </x:c>
      <x:c r="B283" s="16" t="n">
        <x:v>45923</x:v>
      </x:c>
      <x:c r="C283" t="str">
        <x:v>United Kingdom</x:v>
      </x:c>
      <x:c r="D283" t="str">
        <x:v>Retail</x:v>
      </x:c>
      <x:c r="E283" t="str">
        <x:v>Verified</x:v>
      </x:c>
    </x:row>
    <x:row r="284">
      <x:c r="A284" t="n">
        <x:v>283</x:v>
      </x:c>
      <x:c r="B284" s="16" t="n">
        <x:v>45985</x:v>
      </x:c>
      <x:c r="C284" t="str">
        <x:v>UAE</x:v>
      </x:c>
      <x:c r="D284" t="str">
        <x:v>Retail</x:v>
      </x:c>
      <x:c r="E284" t="str">
        <x:v>Verified</x:v>
      </x:c>
    </x:row>
    <x:row r="285">
      <x:c r="A285" t="n">
        <x:v>284</x:v>
      </x:c>
      <x:c r="B285" s="16" t="n">
        <x:v>45983</x:v>
      </x:c>
      <x:c r="C285" t="str">
        <x:v>United Kingdom</x:v>
      </x:c>
      <x:c r="D285" t="str">
        <x:v>Retail</x:v>
      </x:c>
      <x:c r="E285" t="str">
        <x:v>Verified</x:v>
      </x:c>
    </x:row>
    <x:row r="286">
      <x:c r="A286" t="n">
        <x:v>285</x:v>
      </x:c>
      <x:c r="B286" s="16" t="n">
        <x:v>46106</x:v>
      </x:c>
      <x:c r="C286" t="str">
        <x:v>UAE</x:v>
      </x:c>
      <x:c r="D286" t="str">
        <x:v>Small Business</x:v>
      </x:c>
      <x:c r="E286" t="str">
        <x:v>Verified</x:v>
      </x:c>
    </x:row>
    <x:row r="287">
      <x:c r="A287" t="n">
        <x:v>286</x:v>
      </x:c>
      <x:c r="B287" s="16" t="n">
        <x:v>45795</x:v>
      </x:c>
      <x:c r="C287" t="str">
        <x:v>United Kingdom</x:v>
      </x:c>
      <x:c r="D287" t="str">
        <x:v>Retail</x:v>
      </x:c>
      <x:c r="E287" t="str">
        <x:v>Verified</x:v>
      </x:c>
    </x:row>
    <x:row r="288">
      <x:c r="A288" t="n">
        <x:v>287</x:v>
      </x:c>
      <x:c r="B288" s="16" t="n">
        <x:v>45879</x:v>
      </x:c>
      <x:c r="C288" t="str">
        <x:v>India</x:v>
      </x:c>
      <x:c r="D288" t="str">
        <x:v>Freelancer</x:v>
      </x:c>
      <x:c r="E288" t="str">
        <x:v>Verified</x:v>
      </x:c>
    </x:row>
    <x:row r="289">
      <x:c r="A289" t="n">
        <x:v>288</x:v>
      </x:c>
      <x:c r="B289" s="16" t="n">
        <x:v>45985</x:v>
      </x:c>
      <x:c r="C289" t="str">
        <x:v>Germany</x:v>
      </x:c>
      <x:c r="D289" t="str">
        <x:v>Retail</x:v>
      </x:c>
      <x:c r="E289" t="str">
        <x:v>Verified</x:v>
      </x:c>
    </x:row>
    <x:row r="290">
      <x:c r="A290" t="n">
        <x:v>289</x:v>
      </x:c>
      <x:c r="B290" s="16" t="n">
        <x:v>45891</x:v>
      </x:c>
      <x:c r="C290" t="str">
        <x:v>Singapore</x:v>
      </x:c>
      <x:c r="D290" t="str">
        <x:v>Retail</x:v>
      </x:c>
      <x:c r="E290" t="str">
        <x:v>Verified</x:v>
      </x:c>
    </x:row>
    <x:row r="291">
      <x:c r="A291" t="n">
        <x:v>290</x:v>
      </x:c>
      <x:c r="B291" s="16" t="n">
        <x:v>45937</x:v>
      </x:c>
      <x:c r="C291" t="str">
        <x:v>United Kingdom</x:v>
      </x:c>
      <x:c r="D291" t="str">
        <x:v>Retail</x:v>
      </x:c>
      <x:c r="E291" t="str">
        <x:v>Verified</x:v>
      </x:c>
    </x:row>
    <x:row r="292">
      <x:c r="A292" t="n">
        <x:v>291</x:v>
      </x:c>
      <x:c r="B292" s="16" t="n">
        <x:v>45748</x:v>
      </x:c>
      <x:c r="C292" t="str">
        <x:v>United Kingdom</x:v>
      </x:c>
      <x:c r="D292" t="str">
        <x:v>Small Business</x:v>
      </x:c>
      <x:c r="E292" t="str">
        <x:v>Verified</x:v>
      </x:c>
    </x:row>
    <x:row r="293">
      <x:c r="A293" t="n">
        <x:v>292</x:v>
      </x:c>
      <x:c r="B293" s="16" t="n">
        <x:v>45786</x:v>
      </x:c>
      <x:c r="C293" t="str">
        <x:v>UAE</x:v>
      </x:c>
      <x:c r="D293" t="str">
        <x:v>Student</x:v>
      </x:c>
      <x:c r="E293" t="str">
        <x:v>Verified</x:v>
      </x:c>
    </x:row>
    <x:row r="294">
      <x:c r="A294" t="n">
        <x:v>293</x:v>
      </x:c>
      <x:c r="B294" s="16" t="n">
        <x:v>45836</x:v>
      </x:c>
      <x:c r="C294" t="str">
        <x:v>UAE</x:v>
      </x:c>
      <x:c r="D294" t="str">
        <x:v>Freelancer</x:v>
      </x:c>
      <x:c r="E294" t="str">
        <x:v>Verified</x:v>
      </x:c>
    </x:row>
    <x:row r="295">
      <x:c r="A295" t="n">
        <x:v>294</x:v>
      </x:c>
      <x:c r="B295" s="16" t="n">
        <x:v>45714</x:v>
      </x:c>
      <x:c r="C295" t="str">
        <x:v>Germany</x:v>
      </x:c>
      <x:c r="D295" t="str">
        <x:v>Retail</x:v>
      </x:c>
      <x:c r="E295" t="str">
        <x:v>Verified</x:v>
      </x:c>
    </x:row>
    <x:row r="296">
      <x:c r="A296" t="n">
        <x:v>295</x:v>
      </x:c>
      <x:c r="B296" s="16" t="n">
        <x:v>45826</x:v>
      </x:c>
      <x:c r="C296" t="str">
        <x:v>India</x:v>
      </x:c>
      <x:c r="D296" t="str">
        <x:v>Retail</x:v>
      </x:c>
      <x:c r="E296" t="str">
        <x:v>Verified</x:v>
      </x:c>
    </x:row>
    <x:row r="297">
      <x:c r="A297" t="n">
        <x:v>296</x:v>
      </x:c>
      <x:c r="B297" s="16" t="n">
        <x:v>45671</x:v>
      </x:c>
      <x:c r="C297" t="str">
        <x:v>UAE</x:v>
      </x:c>
      <x:c r="D297" t="str">
        <x:v>Retail</x:v>
      </x:c>
      <x:c r="E297" t="str">
        <x:v>Verified</x:v>
      </x:c>
    </x:row>
    <x:row r="298">
      <x:c r="A298" t="n">
        <x:v>297</x:v>
      </x:c>
      <x:c r="B298" s="16" t="n">
        <x:v>45699</x:v>
      </x:c>
      <x:c r="C298" t="str">
        <x:v>Germany</x:v>
      </x:c>
      <x:c r="D298" t="str">
        <x:v>Freelancer</x:v>
      </x:c>
      <x:c r="E298" t="str">
        <x:v>Verified</x:v>
      </x:c>
    </x:row>
    <x:row r="299">
      <x:c r="A299" t="n">
        <x:v>298</x:v>
      </x:c>
      <x:c r="B299" s="16" t="n">
        <x:v>46081</x:v>
      </x:c>
      <x:c r="C299" t="str">
        <x:v>UAE</x:v>
      </x:c>
      <x:c r="D299" t="str">
        <x:v>Freelancer</x:v>
      </x:c>
      <x:c r="E299" t="str">
        <x:v>Verified</x:v>
      </x:c>
    </x:row>
    <x:row r="300">
      <x:c r="A300" t="n">
        <x:v>299</x:v>
      </x:c>
      <x:c r="B300" s="16" t="n">
        <x:v>45953</x:v>
      </x:c>
      <x:c r="C300" t="str">
        <x:v>India</x:v>
      </x:c>
      <x:c r="D300" t="str">
        <x:v>Affluent</x:v>
      </x:c>
      <x:c r="E300" t="str">
        <x:v>Verified</x:v>
      </x:c>
    </x:row>
    <x:row r="301">
      <x:c r="A301" t="n">
        <x:v>300</x:v>
      </x:c>
      <x:c r="B301" s="16" t="n">
        <x:v>46038</x:v>
      </x:c>
      <x:c r="C301" t="str">
        <x:v>United Kingdom</x:v>
      </x:c>
      <x:c r="D301" t="str">
        <x:v>Student</x:v>
      </x:c>
      <x:c r="E301" t="str">
        <x:v>Verified</x:v>
      </x:c>
    </x:row>
    <x:row r="302">
      <x:c r="A302" t="n">
        <x:v>301</x:v>
      </x:c>
      <x:c r="B302" s="16" t="n">
        <x:v>46092</x:v>
      </x:c>
      <x:c r="C302" t="str">
        <x:v>India</x:v>
      </x:c>
      <x:c r="D302" t="str">
        <x:v>Freelancer</x:v>
      </x:c>
      <x:c r="E302" t="str">
        <x:v>Verified</x:v>
      </x:c>
    </x:row>
    <x:row r="303">
      <x:c r="A303" t="n">
        <x:v>302</x:v>
      </x:c>
      <x:c r="B303" s="16" t="n">
        <x:v>45787</x:v>
      </x:c>
      <x:c r="C303" t="str">
        <x:v>UAE</x:v>
      </x:c>
      <x:c r="D303" t="str">
        <x:v>Small Business</x:v>
      </x:c>
      <x:c r="E303" t="str">
        <x:v>Verified</x:v>
      </x:c>
    </x:row>
    <x:row r="304">
      <x:c r="A304" t="n">
        <x:v>303</x:v>
      </x:c>
      <x:c r="B304" s="16" t="n">
        <x:v>45765</x:v>
      </x:c>
      <x:c r="C304" t="str">
        <x:v>Germany</x:v>
      </x:c>
      <x:c r="D304" t="str">
        <x:v>Small Business</x:v>
      </x:c>
      <x:c r="E304" t="str">
        <x:v>Verified</x:v>
      </x:c>
    </x:row>
    <x:row r="305">
      <x:c r="A305" t="n">
        <x:v>304</x:v>
      </x:c>
      <x:c r="B305" s="16" t="n">
        <x:v>45984</x:v>
      </x:c>
      <x:c r="C305" t="str">
        <x:v>Singapore</x:v>
      </x:c>
      <x:c r="D305" t="str">
        <x:v>Small Business</x:v>
      </x:c>
      <x:c r="E305" t="str">
        <x:v>Verified</x:v>
      </x:c>
    </x:row>
    <x:row r="306">
      <x:c r="A306" t="n">
        <x:v>305</x:v>
      </x:c>
      <x:c r="B306" s="16" t="n">
        <x:v>45785</x:v>
      </x:c>
      <x:c r="C306" t="str">
        <x:v>United Kingdom</x:v>
      </x:c>
      <x:c r="D306" t="str">
        <x:v>Freelancer</x:v>
      </x:c>
      <x:c r="E306" t="str">
        <x:v>Verified</x:v>
      </x:c>
    </x:row>
    <x:row r="307">
      <x:c r="A307" t="n">
        <x:v>306</x:v>
      </x:c>
      <x:c r="B307" s="16" t="n">
        <x:v>45693</x:v>
      </x:c>
      <x:c r="C307" t="str">
        <x:v>United Kingdom</x:v>
      </x:c>
      <x:c r="D307" t="str">
        <x:v>Student</x:v>
      </x:c>
      <x:c r="E307" t="str">
        <x:v>Verified</x:v>
      </x:c>
    </x:row>
    <x:row r="308">
      <x:c r="A308" t="n">
        <x:v>307</x:v>
      </x:c>
      <x:c r="B308" s="16" t="n">
        <x:v>45853</x:v>
      </x:c>
      <x:c r="C308" t="str">
        <x:v>UAE</x:v>
      </x:c>
      <x:c r="D308" t="str">
        <x:v>Affluent</x:v>
      </x:c>
      <x:c r="E308" t="str">
        <x:v>Verified</x:v>
      </x:c>
    </x:row>
    <x:row r="309">
      <x:c r="A309" t="n">
        <x:v>308</x:v>
      </x:c>
      <x:c r="B309" s="16" t="n">
        <x:v>45884</x:v>
      </x:c>
      <x:c r="C309" t="str">
        <x:v>UAE</x:v>
      </x:c>
      <x:c r="D309" t="str">
        <x:v>Student</x:v>
      </x:c>
      <x:c r="E309" t="str">
        <x:v>Verified</x:v>
      </x:c>
    </x:row>
    <x:row r="310">
      <x:c r="A310" t="n">
        <x:v>309</x:v>
      </x:c>
      <x:c r="B310" s="16" t="n">
        <x:v>46042</x:v>
      </x:c>
      <x:c r="C310" t="str">
        <x:v>UAE</x:v>
      </x:c>
      <x:c r="D310" t="str">
        <x:v>Freelancer</x:v>
      </x:c>
      <x:c r="E310" t="str">
        <x:v>Verified</x:v>
      </x:c>
    </x:row>
    <x:row r="311">
      <x:c r="A311" t="n">
        <x:v>310</x:v>
      </x:c>
      <x:c r="B311" s="16" t="n">
        <x:v>45680</x:v>
      </x:c>
      <x:c r="C311" t="str">
        <x:v>Germany</x:v>
      </x:c>
      <x:c r="D311" t="str">
        <x:v>Retail</x:v>
      </x:c>
      <x:c r="E311" t="str">
        <x:v>Verified</x:v>
      </x:c>
    </x:row>
    <x:row r="312">
      <x:c r="A312" t="n">
        <x:v>311</x:v>
      </x:c>
      <x:c r="B312" s="16" t="n">
        <x:v>45882</x:v>
      </x:c>
      <x:c r="C312" t="str">
        <x:v>Singapore</x:v>
      </x:c>
      <x:c r="D312" t="str">
        <x:v>Retail</x:v>
      </x:c>
      <x:c r="E312" t="str">
        <x:v>Verified</x:v>
      </x:c>
    </x:row>
    <x:row r="313">
      <x:c r="A313" t="n">
        <x:v>312</x:v>
      </x:c>
      <x:c r="B313" s="16" t="n">
        <x:v>45794</x:v>
      </x:c>
      <x:c r="C313" t="str">
        <x:v>United Kingdom</x:v>
      </x:c>
      <x:c r="D313" t="str">
        <x:v>Small Business</x:v>
      </x:c>
      <x:c r="E313" t="str">
        <x:v>Verified</x:v>
      </x:c>
    </x:row>
    <x:row r="314">
      <x:c r="A314" t="n">
        <x:v>313</x:v>
      </x:c>
      <x:c r="B314" s="16" t="n">
        <x:v>45938</x:v>
      </x:c>
      <x:c r="C314" t="str">
        <x:v>United Kingdom</x:v>
      </x:c>
      <x:c r="D314" t="str">
        <x:v>Affluent</x:v>
      </x:c>
      <x:c r="E314" t="str">
        <x:v>Verified</x:v>
      </x:c>
    </x:row>
    <x:row r="315">
      <x:c r="A315" t="n">
        <x:v>314</x:v>
      </x:c>
      <x:c r="B315" s="16" t="n">
        <x:v>45871</x:v>
      </x:c>
      <x:c r="C315" t="str">
        <x:v>India</x:v>
      </x:c>
      <x:c r="D315" t="str">
        <x:v>Retail</x:v>
      </x:c>
      <x:c r="E315" t="str">
        <x:v>Verified</x:v>
      </x:c>
    </x:row>
    <x:row r="316">
      <x:c r="A316" t="n">
        <x:v>315</x:v>
      </x:c>
      <x:c r="B316" s="16" t="n">
        <x:v>45785</x:v>
      </x:c>
      <x:c r="C316" t="str">
        <x:v>UAE</x:v>
      </x:c>
      <x:c r="D316" t="str">
        <x:v>Retail</x:v>
      </x:c>
      <x:c r="E316" t="str">
        <x:v>Verified</x:v>
      </x:c>
    </x:row>
    <x:row r="317">
      <x:c r="A317" t="n">
        <x:v>316</x:v>
      </x:c>
      <x:c r="B317" s="16" t="n">
        <x:v>45842</x:v>
      </x:c>
      <x:c r="C317" t="str">
        <x:v>India</x:v>
      </x:c>
      <x:c r="D317" t="str">
        <x:v>Affluent</x:v>
      </x:c>
      <x:c r="E317" t="str">
        <x:v>Verified</x:v>
      </x:c>
    </x:row>
    <x:row r="318">
      <x:c r="A318" t="n">
        <x:v>317</x:v>
      </x:c>
      <x:c r="B318" s="16" t="n">
        <x:v>45839</x:v>
      </x:c>
      <x:c r="C318" t="str">
        <x:v>UAE</x:v>
      </x:c>
      <x:c r="D318" t="str">
        <x:v>Retail</x:v>
      </x:c>
      <x:c r="E318" t="str">
        <x:v>Verified</x:v>
      </x:c>
    </x:row>
    <x:row r="319">
      <x:c r="A319" t="n">
        <x:v>318</x:v>
      </x:c>
      <x:c r="B319" s="16" t="n">
        <x:v>45672</x:v>
      </x:c>
      <x:c r="C319" t="str">
        <x:v>India</x:v>
      </x:c>
      <x:c r="D319" t="str">
        <x:v>Small Business</x:v>
      </x:c>
      <x:c r="E319" t="str">
        <x:v>Verified</x:v>
      </x:c>
    </x:row>
    <x:row r="320">
      <x:c r="A320" t="n">
        <x:v>319</x:v>
      </x:c>
      <x:c r="B320" s="16" t="n">
        <x:v>45847</x:v>
      </x:c>
      <x:c r="C320" t="str">
        <x:v>United Kingdom</x:v>
      </x:c>
      <x:c r="D320" t="str">
        <x:v>Small Business</x:v>
      </x:c>
      <x:c r="E320" t="str">
        <x:v>Verified</x:v>
      </x:c>
    </x:row>
    <x:row r="321">
      <x:c r="A321" t="n">
        <x:v>320</x:v>
      </x:c>
      <x:c r="B321" s="16" t="n">
        <x:v>45713</x:v>
      </x:c>
      <x:c r="C321" t="str">
        <x:v>Singapore</x:v>
      </x:c>
      <x:c r="D321" t="str">
        <x:v>Retail</x:v>
      </x:c>
      <x:c r="E321" t="str">
        <x:v>Verified</x:v>
      </x:c>
    </x:row>
    <x:row r="322">
      <x:c r="A322" t="n">
        <x:v>321</x:v>
      </x:c>
      <x:c r="B322" s="16" t="n">
        <x:v>45829</x:v>
      </x:c>
      <x:c r="C322" t="str">
        <x:v>India</x:v>
      </x:c>
      <x:c r="D322" t="str">
        <x:v>Retail</x:v>
      </x:c>
      <x:c r="E322" t="str">
        <x:v>Verified</x:v>
      </x:c>
    </x:row>
    <x:row r="323">
      <x:c r="A323" t="n">
        <x:v>322</x:v>
      </x:c>
      <x:c r="B323" s="16" t="n">
        <x:v>46058</x:v>
      </x:c>
      <x:c r="C323" t="str">
        <x:v>United Kingdom</x:v>
      </x:c>
      <x:c r="D323" t="str">
        <x:v>Retail</x:v>
      </x:c>
      <x:c r="E323" t="str">
        <x:v>Verified</x:v>
      </x:c>
    </x:row>
    <x:row r="324">
      <x:c r="A324" t="n">
        <x:v>323</x:v>
      </x:c>
      <x:c r="B324" s="16" t="n">
        <x:v>45689</x:v>
      </x:c>
      <x:c r="C324" t="str">
        <x:v>India</x:v>
      </x:c>
      <x:c r="D324" t="str">
        <x:v>Retail</x:v>
      </x:c>
      <x:c r="E324" t="str">
        <x:v>Verified</x:v>
      </x:c>
    </x:row>
    <x:row r="325">
      <x:c r="A325" t="n">
        <x:v>324</x:v>
      </x:c>
      <x:c r="B325" s="16" t="n">
        <x:v>45899</x:v>
      </x:c>
      <x:c r="C325" t="str">
        <x:v>India</x:v>
      </x:c>
      <x:c r="D325" t="str">
        <x:v>Retail</x:v>
      </x:c>
      <x:c r="E325" t="str">
        <x:v>Verified</x:v>
      </x:c>
    </x:row>
    <x:row r="326">
      <x:c r="A326" t="n">
        <x:v>325</x:v>
      </x:c>
      <x:c r="B326" s="16" t="n">
        <x:v>45914</x:v>
      </x:c>
      <x:c r="C326" t="str">
        <x:v>United Kingdom</x:v>
      </x:c>
      <x:c r="D326" t="str">
        <x:v>Retail</x:v>
      </x:c>
      <x:c r="E326" t="str">
        <x:v>Verified</x:v>
      </x:c>
    </x:row>
    <x:row r="327">
      <x:c r="A327" t="n">
        <x:v>326</x:v>
      </x:c>
      <x:c r="B327" s="16" t="n">
        <x:v>45802</x:v>
      </x:c>
      <x:c r="C327" t="str">
        <x:v>India</x:v>
      </x:c>
      <x:c r="D327" t="str">
        <x:v>Retail</x:v>
      </x:c>
      <x:c r="E327" t="str">
        <x:v>Verified</x:v>
      </x:c>
    </x:row>
    <x:row r="328">
      <x:c r="A328" t="n">
        <x:v>327</x:v>
      </x:c>
      <x:c r="B328" s="16" t="n">
        <x:v>46090</x:v>
      </x:c>
      <x:c r="C328" t="str">
        <x:v>India</x:v>
      </x:c>
      <x:c r="D328" t="str">
        <x:v>Affluent</x:v>
      </x:c>
      <x:c r="E328" t="str">
        <x:v>Verified</x:v>
      </x:c>
    </x:row>
    <x:row r="329">
      <x:c r="A329" t="n">
        <x:v>328</x:v>
      </x:c>
      <x:c r="B329" s="16" t="n">
        <x:v>45816</x:v>
      </x:c>
      <x:c r="C329" t="str">
        <x:v>UAE</x:v>
      </x:c>
      <x:c r="D329" t="str">
        <x:v>Retail</x:v>
      </x:c>
      <x:c r="E329" t="str">
        <x:v>Verified</x:v>
      </x:c>
    </x:row>
    <x:row r="330">
      <x:c r="A330" t="n">
        <x:v>329</x:v>
      </x:c>
      <x:c r="B330" s="16" t="n">
        <x:v>45988</x:v>
      </x:c>
      <x:c r="C330" t="str">
        <x:v>India</x:v>
      </x:c>
      <x:c r="D330" t="str">
        <x:v>Small Business</x:v>
      </x:c>
      <x:c r="E330" t="str">
        <x:v>Verified</x:v>
      </x:c>
    </x:row>
    <x:row r="331">
      <x:c r="A331" t="n">
        <x:v>330</x:v>
      </x:c>
      <x:c r="B331" s="16" t="n">
        <x:v>46075</x:v>
      </x:c>
      <x:c r="C331" t="str">
        <x:v>Singapore</x:v>
      </x:c>
      <x:c r="D331" t="str">
        <x:v>Retail</x:v>
      </x:c>
      <x:c r="E331" t="str">
        <x:v>Verified</x:v>
      </x:c>
    </x:row>
    <x:row r="332">
      <x:c r="A332" t="n">
        <x:v>331</x:v>
      </x:c>
      <x:c r="B332" s="16" t="n">
        <x:v>45881</x:v>
      </x:c>
      <x:c r="C332" t="str">
        <x:v>UAE</x:v>
      </x:c>
      <x:c r="D332" t="str">
        <x:v>Small Business</x:v>
      </x:c>
      <x:c r="E332" t="str">
        <x:v>Verified</x:v>
      </x:c>
    </x:row>
    <x:row r="333">
      <x:c r="A333" t="n">
        <x:v>332</x:v>
      </x:c>
      <x:c r="B333" s="16" t="n">
        <x:v>46017</x:v>
      </x:c>
      <x:c r="C333" t="str">
        <x:v>India</x:v>
      </x:c>
      <x:c r="D333" t="str">
        <x:v>Freelancer</x:v>
      </x:c>
      <x:c r="E333" t="str">
        <x:v>Verified</x:v>
      </x:c>
    </x:row>
    <x:row r="334">
      <x:c r="A334" t="n">
        <x:v>333</x:v>
      </x:c>
      <x:c r="B334" s="16" t="n">
        <x:v>45729</x:v>
      </x:c>
      <x:c r="C334" t="str">
        <x:v>India</x:v>
      </x:c>
      <x:c r="D334" t="str">
        <x:v>Student</x:v>
      </x:c>
      <x:c r="E334" t="str">
        <x:v>Verified</x:v>
      </x:c>
    </x:row>
    <x:row r="335">
      <x:c r="A335" t="n">
        <x:v>334</x:v>
      </x:c>
      <x:c r="B335" s="16" t="n">
        <x:v>45950</x:v>
      </x:c>
      <x:c r="C335" t="str">
        <x:v>Singapore</x:v>
      </x:c>
      <x:c r="D335" t="str">
        <x:v>Retail</x:v>
      </x:c>
      <x:c r="E335" t="str">
        <x:v>Verified</x:v>
      </x:c>
    </x:row>
    <x:row r="336">
      <x:c r="A336" t="n">
        <x:v>335</x:v>
      </x:c>
      <x:c r="B336" s="16" t="n">
        <x:v>45741</x:v>
      </x:c>
      <x:c r="C336" t="str">
        <x:v>United Kingdom</x:v>
      </x:c>
      <x:c r="D336" t="str">
        <x:v>Freelancer</x:v>
      </x:c>
      <x:c r="E336" t="str">
        <x:v>Verified</x:v>
      </x:c>
    </x:row>
    <x:row r="337">
      <x:c r="A337" t="n">
        <x:v>336</x:v>
      </x:c>
      <x:c r="B337" s="16" t="n">
        <x:v>45720</x:v>
      </x:c>
      <x:c r="C337" t="str">
        <x:v>UAE</x:v>
      </x:c>
      <x:c r="D337" t="str">
        <x:v>Small Business</x:v>
      </x:c>
      <x:c r="E337" t="str">
        <x:v>Verified</x:v>
      </x:c>
    </x:row>
    <x:row r="338">
      <x:c r="A338" t="n">
        <x:v>337</x:v>
      </x:c>
      <x:c r="B338" s="16" t="n">
        <x:v>45675</x:v>
      </x:c>
      <x:c r="C338" t="str">
        <x:v>United Kingdom</x:v>
      </x:c>
      <x:c r="D338" t="str">
        <x:v>Freelancer</x:v>
      </x:c>
      <x:c r="E338" t="str">
        <x:v>Verified</x:v>
      </x:c>
    </x:row>
    <x:row r="339">
      <x:c r="A339" t="n">
        <x:v>338</x:v>
      </x:c>
      <x:c r="B339" s="16" t="n">
        <x:v>45947</x:v>
      </x:c>
      <x:c r="C339" t="str">
        <x:v>United Kingdom</x:v>
      </x:c>
      <x:c r="D339" t="str">
        <x:v>Affluent</x:v>
      </x:c>
      <x:c r="E339" t="str">
        <x:v>Pending</x:v>
      </x:c>
    </x:row>
    <x:row r="340">
      <x:c r="A340" t="n">
        <x:v>339</x:v>
      </x:c>
      <x:c r="B340" s="16" t="n">
        <x:v>45781</x:v>
      </x:c>
      <x:c r="C340" t="str">
        <x:v>India</x:v>
      </x:c>
      <x:c r="D340" t="str">
        <x:v>Student</x:v>
      </x:c>
      <x:c r="E340" t="str">
        <x:v>Verified</x:v>
      </x:c>
    </x:row>
    <x:row r="341">
      <x:c r="A341" t="n">
        <x:v>340</x:v>
      </x:c>
      <x:c r="B341" s="16" t="n">
        <x:v>45788</x:v>
      </x:c>
      <x:c r="C341" t="str">
        <x:v>Germany</x:v>
      </x:c>
      <x:c r="D341" t="str">
        <x:v>Affluent</x:v>
      </x:c>
      <x:c r="E341" t="str">
        <x:v>Verified</x:v>
      </x:c>
    </x:row>
    <x:row r="342">
      <x:c r="A342" t="n">
        <x:v>341</x:v>
      </x:c>
      <x:c r="B342" s="16" t="n">
        <x:v>45710</x:v>
      </x:c>
      <x:c r="C342" t="str">
        <x:v>India</x:v>
      </x:c>
      <x:c r="D342" t="str">
        <x:v>Freelancer</x:v>
      </x:c>
      <x:c r="E342" t="str">
        <x:v>Verified</x:v>
      </x:c>
    </x:row>
    <x:row r="343">
      <x:c r="A343" t="n">
        <x:v>342</x:v>
      </x:c>
      <x:c r="B343" s="16" t="n">
        <x:v>45809</x:v>
      </x:c>
      <x:c r="C343" t="str">
        <x:v>United Kingdom</x:v>
      </x:c>
      <x:c r="D343" t="str">
        <x:v>Retail</x:v>
      </x:c>
      <x:c r="E343" t="str">
        <x:v>Verified</x:v>
      </x:c>
    </x:row>
    <x:row r="344">
      <x:c r="A344" t="n">
        <x:v>343</x:v>
      </x:c>
      <x:c r="B344" s="16" t="n">
        <x:v>45773</x:v>
      </x:c>
      <x:c r="C344" t="str">
        <x:v>India</x:v>
      </x:c>
      <x:c r="D344" t="str">
        <x:v>Retail</x:v>
      </x:c>
      <x:c r="E344" t="str">
        <x:v>Verified</x:v>
      </x:c>
    </x:row>
    <x:row r="345">
      <x:c r="A345" t="n">
        <x:v>344</x:v>
      </x:c>
      <x:c r="B345" s="16" t="n">
        <x:v>45852</x:v>
      </x:c>
      <x:c r="C345" t="str">
        <x:v>United Kingdom</x:v>
      </x:c>
      <x:c r="D345" t="str">
        <x:v>Student</x:v>
      </x:c>
      <x:c r="E345" t="str">
        <x:v>Verified</x:v>
      </x:c>
    </x:row>
    <x:row r="346">
      <x:c r="A346" t="n">
        <x:v>345</x:v>
      </x:c>
      <x:c r="B346" s="16" t="n">
        <x:v>45934</x:v>
      </x:c>
      <x:c r="C346" t="str">
        <x:v>United Kingdom</x:v>
      </x:c>
      <x:c r="D346" t="str">
        <x:v>Small Business</x:v>
      </x:c>
      <x:c r="E346" t="str">
        <x:v>Verified</x:v>
      </x:c>
    </x:row>
    <x:row r="347">
      <x:c r="A347" t="n">
        <x:v>346</x:v>
      </x:c>
      <x:c r="B347" s="16" t="n">
        <x:v>45957</x:v>
      </x:c>
      <x:c r="C347" t="str">
        <x:v>Singapore</x:v>
      </x:c>
      <x:c r="D347" t="str">
        <x:v>Freelancer</x:v>
      </x:c>
      <x:c r="E347" t="str">
        <x:v>Verified</x:v>
      </x:c>
    </x:row>
    <x:row r="348">
      <x:c r="A348" t="n">
        <x:v>347</x:v>
      </x:c>
      <x:c r="B348" s="16" t="n">
        <x:v>45753</x:v>
      </x:c>
      <x:c r="C348" t="str">
        <x:v>Germany</x:v>
      </x:c>
      <x:c r="D348" t="str">
        <x:v>Retail</x:v>
      </x:c>
      <x:c r="E348" t="str">
        <x:v>Verified</x:v>
      </x:c>
    </x:row>
    <x:row r="349">
      <x:c r="A349" t="n">
        <x:v>348</x:v>
      </x:c>
      <x:c r="B349" s="16" t="n">
        <x:v>45905</x:v>
      </x:c>
      <x:c r="C349" t="str">
        <x:v>Singapore</x:v>
      </x:c>
      <x:c r="D349" t="str">
        <x:v>Freelancer</x:v>
      </x:c>
      <x:c r="E349" t="str">
        <x:v>Verified</x:v>
      </x:c>
    </x:row>
    <x:row r="350">
      <x:c r="A350" t="n">
        <x:v>349</x:v>
      </x:c>
      <x:c r="B350" s="16" t="n">
        <x:v>45894</x:v>
      </x:c>
      <x:c r="C350" t="str">
        <x:v>India</x:v>
      </x:c>
      <x:c r="D350" t="str">
        <x:v>Freelancer</x:v>
      </x:c>
      <x:c r="E350" t="str">
        <x:v>Verified</x:v>
      </x:c>
    </x:row>
    <x:row r="351">
      <x:c r="A351" t="n">
        <x:v>350</x:v>
      </x:c>
      <x:c r="B351" s="16" t="n">
        <x:v>45840</x:v>
      </x:c>
      <x:c r="C351" t="str">
        <x:v>United Kingdom</x:v>
      </x:c>
      <x:c r="D351" t="str">
        <x:v>Freelancer</x:v>
      </x:c>
      <x:c r="E351" t="str">
        <x:v>Verified</x:v>
      </x:c>
    </x:row>
    <x:row r="352">
      <x:c r="A352" t="n">
        <x:v>351</x:v>
      </x:c>
      <x:c r="B352" s="16" t="n">
        <x:v>45677</x:v>
      </x:c>
      <x:c r="C352" t="str">
        <x:v>United Kingdom</x:v>
      </x:c>
      <x:c r="D352" t="str">
        <x:v>Retail</x:v>
      </x:c>
      <x:c r="E352" t="str">
        <x:v>Verified</x:v>
      </x:c>
    </x:row>
    <x:row r="353">
      <x:c r="A353" t="n">
        <x:v>352</x:v>
      </x:c>
      <x:c r="B353" s="16" t="n">
        <x:v>45830</x:v>
      </x:c>
      <x:c r="C353" t="str">
        <x:v>India</x:v>
      </x:c>
      <x:c r="D353" t="str">
        <x:v>Retail</x:v>
      </x:c>
      <x:c r="E353" t="str">
        <x:v>Verified</x:v>
      </x:c>
    </x:row>
    <x:row r="354">
      <x:c r="A354" t="n">
        <x:v>353</x:v>
      </x:c>
      <x:c r="B354" s="16" t="n">
        <x:v>46046</x:v>
      </x:c>
      <x:c r="C354" t="str">
        <x:v>United Kingdom</x:v>
      </x:c>
      <x:c r="D354" t="str">
        <x:v>Retail</x:v>
      </x:c>
      <x:c r="E354" t="str">
        <x:v>Verified</x:v>
      </x:c>
    </x:row>
    <x:row r="355">
      <x:c r="A355" t="n">
        <x:v>354</x:v>
      </x:c>
      <x:c r="B355" s="16" t="n">
        <x:v>46035</x:v>
      </x:c>
      <x:c r="C355" t="str">
        <x:v>United Kingdom</x:v>
      </x:c>
      <x:c r="D355" t="str">
        <x:v>Affluent</x:v>
      </x:c>
      <x:c r="E355" t="str">
        <x:v>Verified</x:v>
      </x:c>
    </x:row>
    <x:row r="356">
      <x:c r="A356" t="n">
        <x:v>355</x:v>
      </x:c>
      <x:c r="B356" s="16" t="n">
        <x:v>45825</x:v>
      </x:c>
      <x:c r="C356" t="str">
        <x:v>United Kingdom</x:v>
      </x:c>
      <x:c r="D356" t="str">
        <x:v>Small Business</x:v>
      </x:c>
      <x:c r="E356" t="str">
        <x:v>Verified</x:v>
      </x:c>
    </x:row>
    <x:row r="357">
      <x:c r="A357" t="n">
        <x:v>356</x:v>
      </x:c>
      <x:c r="B357" s="16" t="n">
        <x:v>46065</x:v>
      </x:c>
      <x:c r="C357" t="str">
        <x:v>UAE</x:v>
      </x:c>
      <x:c r="D357" t="str">
        <x:v>Retail</x:v>
      </x:c>
      <x:c r="E357" t="str">
        <x:v>Verified</x:v>
      </x:c>
    </x:row>
    <x:row r="358">
      <x:c r="A358" t="n">
        <x:v>357</x:v>
      </x:c>
      <x:c r="B358" s="16" t="n">
        <x:v>46022</x:v>
      </x:c>
      <x:c r="C358" t="str">
        <x:v>UAE</x:v>
      </x:c>
      <x:c r="D358" t="str">
        <x:v>Retail</x:v>
      </x:c>
      <x:c r="E358" t="str">
        <x:v>Pending</x:v>
      </x:c>
    </x:row>
    <x:row r="359">
      <x:c r="A359" t="n">
        <x:v>358</x:v>
      </x:c>
      <x:c r="B359" s="16" t="n">
        <x:v>45898</x:v>
      </x:c>
      <x:c r="C359" t="str">
        <x:v>UAE</x:v>
      </x:c>
      <x:c r="D359" t="str">
        <x:v>Affluent</x:v>
      </x:c>
      <x:c r="E359" t="str">
        <x:v>Verified</x:v>
      </x:c>
    </x:row>
    <x:row r="360">
      <x:c r="A360" t="n">
        <x:v>359</x:v>
      </x:c>
      <x:c r="B360" s="16" t="n">
        <x:v>45956</x:v>
      </x:c>
      <x:c r="C360" t="str">
        <x:v>United Kingdom</x:v>
      </x:c>
      <x:c r="D360" t="str">
        <x:v>Retail</x:v>
      </x:c>
      <x:c r="E360" t="str">
        <x:v>Verified</x:v>
      </x:c>
    </x:row>
    <x:row r="361">
      <x:c r="A361" t="n">
        <x:v>360</x:v>
      </x:c>
      <x:c r="B361" s="16" t="n">
        <x:v>45786</x:v>
      </x:c>
      <x:c r="C361" t="str">
        <x:v>India</x:v>
      </x:c>
      <x:c r="D361" t="str">
        <x:v>Student</x:v>
      </x:c>
      <x:c r="E361" t="str">
        <x:v>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9" customHeight="1">
      <x:c r="A1" s="12" t="str">
        <x:v>account_id</x:v>
      </x:c>
      <x:c r="B1" s="12" t="str">
        <x:v>customer_id</x:v>
      </x:c>
      <x:c r="C1" s="12" t="str">
        <x:v>account_type</x:v>
      </x:c>
      <x:c r="D1" s="12" t="str">
        <x:v>opened_date</x:v>
      </x:c>
    </x:row>
    <x:row r="2">
      <x:c r="A2" t="n">
        <x:v>10001</x:v>
      </x:c>
      <x:c r="B2" t="n">
        <x:v>1</x:v>
      </x:c>
      <x:c r="C2" t="str">
        <x:v>Standard</x:v>
      </x:c>
      <x:c r="D2" s="16" t="n">
        <x:v>45899</x:v>
      </x:c>
    </x:row>
    <x:row r="3">
      <x:c r="A3" t="n">
        <x:v>10002</x:v>
      </x:c>
      <x:c r="B3" t="n">
        <x:v>2</x:v>
      </x:c>
      <x:c r="C3" t="str">
        <x:v>Standard</x:v>
      </x:c>
      <x:c r="D3" s="16" t="n">
        <x:v>45907</x:v>
      </x:c>
    </x:row>
    <x:row r="4">
      <x:c r="A4" t="n">
        <x:v>10003</x:v>
      </x:c>
      <x:c r="B4" t="n">
        <x:v>3</x:v>
      </x:c>
      <x:c r="C4" t="str">
        <x:v>Premium</x:v>
      </x:c>
      <x:c r="D4" s="16" t="n">
        <x:v>45925</x:v>
      </x:c>
    </x:row>
    <x:row r="5">
      <x:c r="A5" t="n">
        <x:v>10004</x:v>
      </x:c>
      <x:c r="B5" t="n">
        <x:v>4</x:v>
      </x:c>
      <x:c r="C5" t="str">
        <x:v>Standard</x:v>
      </x:c>
      <x:c r="D5" s="16" t="n">
        <x:v>46101</x:v>
      </x:c>
    </x:row>
    <x:row r="6">
      <x:c r="A6" t="n">
        <x:v>10005</x:v>
      </x:c>
      <x:c r="B6" t="n">
        <x:v>5</x:v>
      </x:c>
      <x:c r="C6" t="str">
        <x:v>Standard</x:v>
      </x:c>
      <x:c r="D6" s="16" t="n">
        <x:v>45862</x:v>
      </x:c>
    </x:row>
    <x:row r="7">
      <x:c r="A7" t="n">
        <x:v>10006</x:v>
      </x:c>
      <x:c r="B7" t="n">
        <x:v>6</x:v>
      </x:c>
      <x:c r="C7" t="str">
        <x:v>Standard</x:v>
      </x:c>
      <x:c r="D7" s="16" t="n">
        <x:v>45805</x:v>
      </x:c>
    </x:row>
    <x:row r="8">
      <x:c r="A8" t="n">
        <x:v>10007</x:v>
      </x:c>
      <x:c r="B8" t="n">
        <x:v>7</x:v>
      </x:c>
      <x:c r="C8" t="str">
        <x:v>Standard</x:v>
      </x:c>
      <x:c r="D8" s="16" t="n">
        <x:v>45897</x:v>
      </x:c>
    </x:row>
    <x:row r="9">
      <x:c r="A9" t="n">
        <x:v>10008</x:v>
      </x:c>
      <x:c r="B9" t="n">
        <x:v>8</x:v>
      </x:c>
      <x:c r="C9" t="str">
        <x:v>Premium</x:v>
      </x:c>
      <x:c r="D9" s="16" t="n">
        <x:v>45853</x:v>
      </x:c>
    </x:row>
    <x:row r="10">
      <x:c r="A10" t="n">
        <x:v>10009</x:v>
      </x:c>
      <x:c r="B10" t="n">
        <x:v>9</x:v>
      </x:c>
      <x:c r="C10" t="str">
        <x:v>Standard</x:v>
      </x:c>
      <x:c r="D10" s="16" t="n">
        <x:v>45684</x:v>
      </x:c>
    </x:row>
    <x:row r="11">
      <x:c r="A11" t="n">
        <x:v>10010</x:v>
      </x:c>
      <x:c r="B11" t="n">
        <x:v>10</x:v>
      </x:c>
      <x:c r="C11" t="str">
        <x:v>Standard</x:v>
      </x:c>
      <x:c r="D11" s="16" t="n">
        <x:v>45677</x:v>
      </x:c>
    </x:row>
    <x:row r="12">
      <x:c r="A12" t="n">
        <x:v>10011</x:v>
      </x:c>
      <x:c r="B12" t="n">
        <x:v>11</x:v>
      </x:c>
      <x:c r="C12" t="str">
        <x:v>Standard</x:v>
      </x:c>
      <x:c r="D12" s="16" t="n">
        <x:v>45659</x:v>
      </x:c>
    </x:row>
    <x:row r="13">
      <x:c r="A13" t="n">
        <x:v>10012</x:v>
      </x:c>
      <x:c r="B13" t="n">
        <x:v>12</x:v>
      </x:c>
      <x:c r="C13" t="str">
        <x:v>Premium</x:v>
      </x:c>
      <x:c r="D13" s="16" t="n">
        <x:v>45681</x:v>
      </x:c>
    </x:row>
    <x:row r="14">
      <x:c r="A14" t="n">
        <x:v>10013</x:v>
      </x:c>
      <x:c r="B14" t="n">
        <x:v>13</x:v>
      </x:c>
      <x:c r="C14" t="str">
        <x:v>Premium</x:v>
      </x:c>
      <x:c r="D14" s="16" t="n">
        <x:v>45790</x:v>
      </x:c>
    </x:row>
    <x:row r="15">
      <x:c r="A15" t="n">
        <x:v>10014</x:v>
      </x:c>
      <x:c r="B15" t="n">
        <x:v>14</x:v>
      </x:c>
      <x:c r="C15" t="str">
        <x:v>Premium</x:v>
      </x:c>
      <x:c r="D15" s="16" t="n">
        <x:v>45699</x:v>
      </x:c>
    </x:row>
    <x:row r="16">
      <x:c r="A16" t="n">
        <x:v>10015</x:v>
      </x:c>
      <x:c r="B16" t="n">
        <x:v>15</x:v>
      </x:c>
      <x:c r="C16" t="str">
        <x:v>Business</x:v>
      </x:c>
      <x:c r="D16" s="16" t="n">
        <x:v>45800</x:v>
      </x:c>
    </x:row>
    <x:row r="17">
      <x:c r="A17" t="n">
        <x:v>10016</x:v>
      </x:c>
      <x:c r="B17" t="n">
        <x:v>16</x:v>
      </x:c>
      <x:c r="C17" t="str">
        <x:v>Premium</x:v>
      </x:c>
      <x:c r="D17" s="16" t="n">
        <x:v>45737</x:v>
      </x:c>
    </x:row>
    <x:row r="18">
      <x:c r="A18" t="n">
        <x:v>10017</x:v>
      </x:c>
      <x:c r="B18" t="n">
        <x:v>17</x:v>
      </x:c>
      <x:c r="C18" t="str">
        <x:v>Premium</x:v>
      </x:c>
      <x:c r="D18" s="16" t="n">
        <x:v>46015</x:v>
      </x:c>
    </x:row>
    <x:row r="19">
      <x:c r="A19" t="n">
        <x:v>10018</x:v>
      </x:c>
      <x:c r="B19" t="n">
        <x:v>18</x:v>
      </x:c>
      <x:c r="C19" t="str">
        <x:v>Standard</x:v>
      </x:c>
      <x:c r="D19" s="16" t="n">
        <x:v>45990</x:v>
      </x:c>
    </x:row>
    <x:row r="20">
      <x:c r="A20" t="n">
        <x:v>10019</x:v>
      </x:c>
      <x:c r="B20" t="n">
        <x:v>19</x:v>
      </x:c>
      <x:c r="C20" t="str">
        <x:v>Standard</x:v>
      </x:c>
      <x:c r="D20" s="16" t="n">
        <x:v>45779</x:v>
      </x:c>
    </x:row>
    <x:row r="21">
      <x:c r="A21" t="n">
        <x:v>10020</x:v>
      </x:c>
      <x:c r="B21" t="n">
        <x:v>20</x:v>
      </x:c>
      <x:c r="C21" t="str">
        <x:v>Business</x:v>
      </x:c>
      <x:c r="D21" s="16" t="n">
        <x:v>45977</x:v>
      </x:c>
    </x:row>
    <x:row r="22">
      <x:c r="A22" t="n">
        <x:v>10021</x:v>
      </x:c>
      <x:c r="B22" t="n">
        <x:v>21</x:v>
      </x:c>
      <x:c r="C22" t="str">
        <x:v>Business</x:v>
      </x:c>
      <x:c r="D22" s="16" t="n">
        <x:v>45901</x:v>
      </x:c>
    </x:row>
    <x:row r="23">
      <x:c r="A23" t="n">
        <x:v>10022</x:v>
      </x:c>
      <x:c r="B23" t="n">
        <x:v>22</x:v>
      </x:c>
      <x:c r="C23" t="str">
        <x:v>Standard</x:v>
      </x:c>
      <x:c r="D23" s="16" t="n">
        <x:v>45862</x:v>
      </x:c>
    </x:row>
    <x:row r="24">
      <x:c r="A24" t="n">
        <x:v>10023</x:v>
      </x:c>
      <x:c r="B24" t="n">
        <x:v>23</x:v>
      </x:c>
      <x:c r="C24" t="str">
        <x:v>Business</x:v>
      </x:c>
      <x:c r="D24" s="16" t="n">
        <x:v>46050</x:v>
      </x:c>
    </x:row>
    <x:row r="25">
      <x:c r="A25" t="n">
        <x:v>10024</x:v>
      </x:c>
      <x:c r="B25" t="n">
        <x:v>24</x:v>
      </x:c>
      <x:c r="C25" t="str">
        <x:v>Business</x:v>
      </x:c>
      <x:c r="D25" s="16" t="n">
        <x:v>45759</x:v>
      </x:c>
    </x:row>
    <x:row r="26">
      <x:c r="A26" t="n">
        <x:v>10025</x:v>
      </x:c>
      <x:c r="B26" t="n">
        <x:v>25</x:v>
      </x:c>
      <x:c r="C26" t="str">
        <x:v>Standard</x:v>
      </x:c>
      <x:c r="D26" s="16" t="n">
        <x:v>45769</x:v>
      </x:c>
    </x:row>
    <x:row r="27">
      <x:c r="A27" t="n">
        <x:v>10026</x:v>
      </x:c>
      <x:c r="B27" t="n">
        <x:v>26</x:v>
      </x:c>
      <x:c r="C27" t="str">
        <x:v>Premium</x:v>
      </x:c>
      <x:c r="D27" s="16" t="n">
        <x:v>45720</x:v>
      </x:c>
    </x:row>
    <x:row r="28">
      <x:c r="A28" t="n">
        <x:v>10027</x:v>
      </x:c>
      <x:c r="B28" t="n">
        <x:v>27</x:v>
      </x:c>
      <x:c r="C28" t="str">
        <x:v>Standard</x:v>
      </x:c>
      <x:c r="D28" s="16" t="n">
        <x:v>45663</x:v>
      </x:c>
    </x:row>
    <x:row r="29">
      <x:c r="A29" t="n">
        <x:v>10028</x:v>
      </x:c>
      <x:c r="B29" t="n">
        <x:v>28</x:v>
      </x:c>
      <x:c r="C29" t="str">
        <x:v>Standard</x:v>
      </x:c>
      <x:c r="D29" s="16" t="n">
        <x:v>45772</x:v>
      </x:c>
    </x:row>
    <x:row r="30">
      <x:c r="A30" t="n">
        <x:v>10029</x:v>
      </x:c>
      <x:c r="B30" t="n">
        <x:v>29</x:v>
      </x:c>
      <x:c r="C30" t="str">
        <x:v>Standard</x:v>
      </x:c>
      <x:c r="D30" s="16" t="n">
        <x:v>45930</x:v>
      </x:c>
    </x:row>
    <x:row r="31">
      <x:c r="A31" t="n">
        <x:v>10030</x:v>
      </x:c>
      <x:c r="B31" t="n">
        <x:v>30</x:v>
      </x:c>
      <x:c r="C31" t="str">
        <x:v>Business</x:v>
      </x:c>
      <x:c r="D31" s="16" t="n">
        <x:v>45712</x:v>
      </x:c>
    </x:row>
    <x:row r="32">
      <x:c r="A32" t="n">
        <x:v>10031</x:v>
      </x:c>
      <x:c r="B32" t="n">
        <x:v>31</x:v>
      </x:c>
      <x:c r="C32" t="str">
        <x:v>Standard</x:v>
      </x:c>
      <x:c r="D32" s="16" t="n">
        <x:v>45668</x:v>
      </x:c>
    </x:row>
    <x:row r="33">
      <x:c r="A33" t="n">
        <x:v>10032</x:v>
      </x:c>
      <x:c r="B33" t="n">
        <x:v>32</x:v>
      </x:c>
      <x:c r="C33" t="str">
        <x:v>Standard</x:v>
      </x:c>
      <x:c r="D33" s="16" t="n">
        <x:v>45770</x:v>
      </x:c>
    </x:row>
    <x:row r="34">
      <x:c r="A34" t="n">
        <x:v>10033</x:v>
      </x:c>
      <x:c r="B34" t="n">
        <x:v>33</x:v>
      </x:c>
      <x:c r="C34" t="str">
        <x:v>Premium</x:v>
      </x:c>
      <x:c r="D34" s="16" t="n">
        <x:v>45819</x:v>
      </x:c>
    </x:row>
    <x:row r="35">
      <x:c r="A35" t="n">
        <x:v>10034</x:v>
      </x:c>
      <x:c r="B35" t="n">
        <x:v>34</x:v>
      </x:c>
      <x:c r="C35" t="str">
        <x:v>Premium</x:v>
      </x:c>
      <x:c r="D35" s="16" t="n">
        <x:v>45952</x:v>
      </x:c>
    </x:row>
    <x:row r="36">
      <x:c r="A36" t="n">
        <x:v>10035</x:v>
      </x:c>
      <x:c r="B36" t="n">
        <x:v>35</x:v>
      </x:c>
      <x:c r="C36" t="str">
        <x:v>Business</x:v>
      </x:c>
      <x:c r="D36" s="16" t="n">
        <x:v>46010</x:v>
      </x:c>
    </x:row>
    <x:row r="37">
      <x:c r="A37" t="n">
        <x:v>10036</x:v>
      </x:c>
      <x:c r="B37" t="n">
        <x:v>36</x:v>
      </x:c>
      <x:c r="C37" t="str">
        <x:v>Standard</x:v>
      </x:c>
      <x:c r="D37" s="16" t="n">
        <x:v>45997</x:v>
      </x:c>
    </x:row>
    <x:row r="38">
      <x:c r="A38" t="n">
        <x:v>10037</x:v>
      </x:c>
      <x:c r="B38" t="n">
        <x:v>37</x:v>
      </x:c>
      <x:c r="C38" t="str">
        <x:v>Premium</x:v>
      </x:c>
      <x:c r="D38" s="16" t="n">
        <x:v>45813</x:v>
      </x:c>
    </x:row>
    <x:row r="39">
      <x:c r="A39" t="n">
        <x:v>10038</x:v>
      </x:c>
      <x:c r="B39" t="n">
        <x:v>38</x:v>
      </x:c>
      <x:c r="C39" t="str">
        <x:v>Standard</x:v>
      </x:c>
      <x:c r="D39" s="16" t="n">
        <x:v>45901</x:v>
      </x:c>
    </x:row>
    <x:row r="40">
      <x:c r="A40" t="n">
        <x:v>10039</x:v>
      </x:c>
      <x:c r="B40" t="n">
        <x:v>39</x:v>
      </x:c>
      <x:c r="C40" t="str">
        <x:v>Standard</x:v>
      </x:c>
      <x:c r="D40" s="16" t="n">
        <x:v>45964</x:v>
      </x:c>
    </x:row>
    <x:row r="41">
      <x:c r="A41" t="n">
        <x:v>10040</x:v>
      </x:c>
      <x:c r="B41" t="n">
        <x:v>40</x:v>
      </x:c>
      <x:c r="C41" t="str">
        <x:v>Standard</x:v>
      </x:c>
      <x:c r="D41" s="16" t="n">
        <x:v>45844</x:v>
      </x:c>
    </x:row>
    <x:row r="42">
      <x:c r="A42" t="n">
        <x:v>10041</x:v>
      </x:c>
      <x:c r="B42" t="n">
        <x:v>41</x:v>
      </x:c>
      <x:c r="C42" t="str">
        <x:v>Business</x:v>
      </x:c>
      <x:c r="D42" s="16" t="n">
        <x:v>46031</x:v>
      </x:c>
    </x:row>
    <x:row r="43">
      <x:c r="A43" t="n">
        <x:v>10042</x:v>
      </x:c>
      <x:c r="B43" t="n">
        <x:v>42</x:v>
      </x:c>
      <x:c r="C43" t="str">
        <x:v>Premium</x:v>
      </x:c>
      <x:c r="D43" s="16" t="n">
        <x:v>45659</x:v>
      </x:c>
    </x:row>
    <x:row r="44">
      <x:c r="A44" t="n">
        <x:v>10043</x:v>
      </x:c>
      <x:c r="B44" t="n">
        <x:v>43</x:v>
      </x:c>
      <x:c r="C44" t="str">
        <x:v>Premium</x:v>
      </x:c>
      <x:c r="D44" s="16" t="n">
        <x:v>46096</x:v>
      </x:c>
    </x:row>
    <x:row r="45">
      <x:c r="A45" t="n">
        <x:v>10044</x:v>
      </x:c>
      <x:c r="B45" t="n">
        <x:v>44</x:v>
      </x:c>
      <x:c r="C45" t="str">
        <x:v>Standard</x:v>
      </x:c>
      <x:c r="D45" s="16" t="n">
        <x:v>46039</x:v>
      </x:c>
    </x:row>
    <x:row r="46">
      <x:c r="A46" t="n">
        <x:v>10045</x:v>
      </x:c>
      <x:c r="B46" t="n">
        <x:v>45</x:v>
      </x:c>
      <x:c r="C46" t="str">
        <x:v>Standard</x:v>
      </x:c>
      <x:c r="D46" s="16" t="n">
        <x:v>45971</x:v>
      </x:c>
    </x:row>
    <x:row r="47">
      <x:c r="A47" t="n">
        <x:v>10046</x:v>
      </x:c>
      <x:c r="B47" t="n">
        <x:v>46</x:v>
      </x:c>
      <x:c r="C47" t="str">
        <x:v>Standard</x:v>
      </x:c>
      <x:c r="D47" s="16" t="n">
        <x:v>45848</x:v>
      </x:c>
    </x:row>
    <x:row r="48">
      <x:c r="A48" t="n">
        <x:v>10047</x:v>
      </x:c>
      <x:c r="B48" t="n">
        <x:v>47</x:v>
      </x:c>
      <x:c r="C48" t="str">
        <x:v>Premium</x:v>
      </x:c>
      <x:c r="D48" s="16" t="n">
        <x:v>45995</x:v>
      </x:c>
    </x:row>
    <x:row r="49">
      <x:c r="A49" t="n">
        <x:v>10048</x:v>
      </x:c>
      <x:c r="B49" t="n">
        <x:v>48</x:v>
      </x:c>
      <x:c r="C49" t="str">
        <x:v>Business</x:v>
      </x:c>
      <x:c r="D49" s="16" t="n">
        <x:v>46015</x:v>
      </x:c>
    </x:row>
    <x:row r="50">
      <x:c r="A50" t="n">
        <x:v>10049</x:v>
      </x:c>
      <x:c r="B50" t="n">
        <x:v>49</x:v>
      </x:c>
      <x:c r="C50" t="str">
        <x:v>Standard</x:v>
      </x:c>
      <x:c r="D50" s="16" t="n">
        <x:v>45796</x:v>
      </x:c>
    </x:row>
    <x:row r="51">
      <x:c r="A51" t="n">
        <x:v>10050</x:v>
      </x:c>
      <x:c r="B51" t="n">
        <x:v>50</x:v>
      </x:c>
      <x:c r="C51" t="str">
        <x:v>Standard</x:v>
      </x:c>
      <x:c r="D51" s="16" t="n">
        <x:v>46027</x:v>
      </x:c>
    </x:row>
    <x:row r="52">
      <x:c r="A52" t="n">
        <x:v>10051</x:v>
      </x:c>
      <x:c r="B52" t="n">
        <x:v>51</x:v>
      </x:c>
      <x:c r="C52" t="str">
        <x:v>Standard</x:v>
      </x:c>
      <x:c r="D52" s="16" t="n">
        <x:v>46072</x:v>
      </x:c>
    </x:row>
    <x:row r="53">
      <x:c r="A53" t="n">
        <x:v>10052</x:v>
      </x:c>
      <x:c r="B53" t="n">
        <x:v>52</x:v>
      </x:c>
      <x:c r="C53" t="str">
        <x:v>Business</x:v>
      </x:c>
      <x:c r="D53" s="16" t="n">
        <x:v>45846</x:v>
      </x:c>
    </x:row>
    <x:row r="54">
      <x:c r="A54" t="n">
        <x:v>10053</x:v>
      </x:c>
      <x:c r="B54" t="n">
        <x:v>53</x:v>
      </x:c>
      <x:c r="C54" t="str">
        <x:v>Premium</x:v>
      </x:c>
      <x:c r="D54" s="16" t="n">
        <x:v>45708</x:v>
      </x:c>
    </x:row>
    <x:row r="55">
      <x:c r="A55" t="n">
        <x:v>10054</x:v>
      </x:c>
      <x:c r="B55" t="n">
        <x:v>54</x:v>
      </x:c>
      <x:c r="C55" t="str">
        <x:v>Standard</x:v>
      </x:c>
      <x:c r="D55" s="16" t="n">
        <x:v>45740</x:v>
      </x:c>
    </x:row>
    <x:row r="56">
      <x:c r="A56" t="n">
        <x:v>10055</x:v>
      </x:c>
      <x:c r="B56" t="n">
        <x:v>55</x:v>
      </x:c>
      <x:c r="C56" t="str">
        <x:v>Standard</x:v>
      </x:c>
      <x:c r="D56" s="16" t="n">
        <x:v>46090</x:v>
      </x:c>
    </x:row>
    <x:row r="57">
      <x:c r="A57" t="n">
        <x:v>10056</x:v>
      </x:c>
      <x:c r="B57" t="n">
        <x:v>56</x:v>
      </x:c>
      <x:c r="C57" t="str">
        <x:v>Premium</x:v>
      </x:c>
      <x:c r="D57" s="16" t="n">
        <x:v>45954</x:v>
      </x:c>
    </x:row>
    <x:row r="58">
      <x:c r="A58" t="n">
        <x:v>10057</x:v>
      </x:c>
      <x:c r="B58" t="n">
        <x:v>57</x:v>
      </x:c>
      <x:c r="C58" t="str">
        <x:v>Standard</x:v>
      </x:c>
      <x:c r="D58" s="16" t="n">
        <x:v>45960</x:v>
      </x:c>
    </x:row>
    <x:row r="59">
      <x:c r="A59" t="n">
        <x:v>10058</x:v>
      </x:c>
      <x:c r="B59" t="n">
        <x:v>58</x:v>
      </x:c>
      <x:c r="C59" t="str">
        <x:v>Standard</x:v>
      </x:c>
      <x:c r="D59" s="16" t="n">
        <x:v>45827</x:v>
      </x:c>
    </x:row>
    <x:row r="60">
      <x:c r="A60" t="n">
        <x:v>10059</x:v>
      </x:c>
      <x:c r="B60" t="n">
        <x:v>59</x:v>
      </x:c>
      <x:c r="C60" t="str">
        <x:v>Premium</x:v>
      </x:c>
      <x:c r="D60" s="16" t="n">
        <x:v>45957</x:v>
      </x:c>
    </x:row>
    <x:row r="61">
      <x:c r="A61" t="n">
        <x:v>10060</x:v>
      </x:c>
      <x:c r="B61" t="n">
        <x:v>60</x:v>
      </x:c>
      <x:c r="C61" t="str">
        <x:v>Standard</x:v>
      </x:c>
      <x:c r="D61" s="16" t="n">
        <x:v>45893</x:v>
      </x:c>
    </x:row>
    <x:row r="62">
      <x:c r="A62" t="n">
        <x:v>10061</x:v>
      </x:c>
      <x:c r="B62" t="n">
        <x:v>61</x:v>
      </x:c>
      <x:c r="C62" t="str">
        <x:v>Premium</x:v>
      </x:c>
      <x:c r="D62" s="16" t="n">
        <x:v>45678</x:v>
      </x:c>
    </x:row>
    <x:row r="63">
      <x:c r="A63" t="n">
        <x:v>10062</x:v>
      </x:c>
      <x:c r="B63" t="n">
        <x:v>62</x:v>
      </x:c>
      <x:c r="C63" t="str">
        <x:v>Standard</x:v>
      </x:c>
      <x:c r="D63" s="16" t="n">
        <x:v>45822</x:v>
      </x:c>
    </x:row>
    <x:row r="64">
      <x:c r="A64" t="n">
        <x:v>10063</x:v>
      </x:c>
      <x:c r="B64" t="n">
        <x:v>63</x:v>
      </x:c>
      <x:c r="C64" t="str">
        <x:v>Premium</x:v>
      </x:c>
      <x:c r="D64" s="16" t="n">
        <x:v>45972</x:v>
      </x:c>
    </x:row>
    <x:row r="65">
      <x:c r="A65" t="n">
        <x:v>10064</x:v>
      </x:c>
      <x:c r="B65" t="n">
        <x:v>64</x:v>
      </x:c>
      <x:c r="C65" t="str">
        <x:v>Standard</x:v>
      </x:c>
      <x:c r="D65" s="16" t="n">
        <x:v>45721</x:v>
      </x:c>
    </x:row>
    <x:row r="66">
      <x:c r="A66" t="n">
        <x:v>10065</x:v>
      </x:c>
      <x:c r="B66" t="n">
        <x:v>65</x:v>
      </x:c>
      <x:c r="C66" t="str">
        <x:v>Premium</x:v>
      </x:c>
      <x:c r="D66" s="16" t="n">
        <x:v>45836</x:v>
      </x:c>
    </x:row>
    <x:row r="67">
      <x:c r="A67" t="n">
        <x:v>10066</x:v>
      </x:c>
      <x:c r="B67" t="n">
        <x:v>66</x:v>
      </x:c>
      <x:c r="C67" t="str">
        <x:v>Standard</x:v>
      </x:c>
      <x:c r="D67" s="16" t="n">
        <x:v>45963</x:v>
      </x:c>
    </x:row>
    <x:row r="68">
      <x:c r="A68" t="n">
        <x:v>10067</x:v>
      </x:c>
      <x:c r="B68" t="n">
        <x:v>67</x:v>
      </x:c>
      <x:c r="C68" t="str">
        <x:v>Standard</x:v>
      </x:c>
      <x:c r="D68" s="16" t="n">
        <x:v>45995</x:v>
      </x:c>
    </x:row>
    <x:row r="69">
      <x:c r="A69" t="n">
        <x:v>10068</x:v>
      </x:c>
      <x:c r="B69" t="n">
        <x:v>68</x:v>
      </x:c>
      <x:c r="C69" t="str">
        <x:v>Standard</x:v>
      </x:c>
      <x:c r="D69" s="16" t="n">
        <x:v>45949</x:v>
      </x:c>
    </x:row>
    <x:row r="70">
      <x:c r="A70" t="n">
        <x:v>10069</x:v>
      </x:c>
      <x:c r="B70" t="n">
        <x:v>69</x:v>
      </x:c>
      <x:c r="C70" t="str">
        <x:v>Standard</x:v>
      </x:c>
      <x:c r="D70" s="16" t="n">
        <x:v>45930</x:v>
      </x:c>
    </x:row>
    <x:row r="71">
      <x:c r="A71" t="n">
        <x:v>10070</x:v>
      </x:c>
      <x:c r="B71" t="n">
        <x:v>70</x:v>
      </x:c>
      <x:c r="C71" t="str">
        <x:v>Standard</x:v>
      </x:c>
      <x:c r="D71" s="16" t="n">
        <x:v>46015</x:v>
      </x:c>
    </x:row>
    <x:row r="72">
      <x:c r="A72" t="n">
        <x:v>10071</x:v>
      </x:c>
      <x:c r="B72" t="n">
        <x:v>71</x:v>
      </x:c>
      <x:c r="C72" t="str">
        <x:v>Standard</x:v>
      </x:c>
      <x:c r="D72" s="16" t="n">
        <x:v>46083</x:v>
      </x:c>
    </x:row>
    <x:row r="73">
      <x:c r="A73" t="n">
        <x:v>10072</x:v>
      </x:c>
      <x:c r="B73" t="n">
        <x:v>72</x:v>
      </x:c>
      <x:c r="C73" t="str">
        <x:v>Premium</x:v>
      </x:c>
      <x:c r="D73" s="16" t="n">
        <x:v>46013</x:v>
      </x:c>
    </x:row>
    <x:row r="74">
      <x:c r="A74" t="n">
        <x:v>10073</x:v>
      </x:c>
      <x:c r="B74" t="n">
        <x:v>73</x:v>
      </x:c>
      <x:c r="C74" t="str">
        <x:v>Business</x:v>
      </x:c>
      <x:c r="D74" s="16" t="n">
        <x:v>45980</x:v>
      </x:c>
    </x:row>
    <x:row r="75">
      <x:c r="A75" t="n">
        <x:v>10074</x:v>
      </x:c>
      <x:c r="B75" t="n">
        <x:v>74</x:v>
      </x:c>
      <x:c r="C75" t="str">
        <x:v>Standard</x:v>
      </x:c>
      <x:c r="D75" s="16" t="n">
        <x:v>45930</x:v>
      </x:c>
    </x:row>
    <x:row r="76">
      <x:c r="A76" t="n">
        <x:v>10075</x:v>
      </x:c>
      <x:c r="B76" t="n">
        <x:v>75</x:v>
      </x:c>
      <x:c r="C76" t="str">
        <x:v>Business</x:v>
      </x:c>
      <x:c r="D76" s="16" t="n">
        <x:v>45805</x:v>
      </x:c>
    </x:row>
    <x:row r="77">
      <x:c r="A77" t="n">
        <x:v>10076</x:v>
      </x:c>
      <x:c r="B77" t="n">
        <x:v>76</x:v>
      </x:c>
      <x:c r="C77" t="str">
        <x:v>Standard</x:v>
      </x:c>
      <x:c r="D77" s="16" t="n">
        <x:v>45766</x:v>
      </x:c>
    </x:row>
    <x:row r="78">
      <x:c r="A78" t="n">
        <x:v>10077</x:v>
      </x:c>
      <x:c r="B78" t="n">
        <x:v>77</x:v>
      </x:c>
      <x:c r="C78" t="str">
        <x:v>Standard</x:v>
      </x:c>
      <x:c r="D78" s="16" t="n">
        <x:v>46079</x:v>
      </x:c>
    </x:row>
    <x:row r="79">
      <x:c r="A79" t="n">
        <x:v>10078</x:v>
      </x:c>
      <x:c r="B79" t="n">
        <x:v>78</x:v>
      </x:c>
      <x:c r="C79" t="str">
        <x:v>Business</x:v>
      </x:c>
      <x:c r="D79" s="16" t="n">
        <x:v>46069</x:v>
      </x:c>
    </x:row>
    <x:row r="80">
      <x:c r="A80" t="n">
        <x:v>10079</x:v>
      </x:c>
      <x:c r="B80" t="n">
        <x:v>79</x:v>
      </x:c>
      <x:c r="C80" t="str">
        <x:v>Standard</x:v>
      </x:c>
      <x:c r="D80" s="16" t="n">
        <x:v>45757</x:v>
      </x:c>
    </x:row>
    <x:row r="81">
      <x:c r="A81" t="n">
        <x:v>10080</x:v>
      </x:c>
      <x:c r="B81" t="n">
        <x:v>80</x:v>
      </x:c>
      <x:c r="C81" t="str">
        <x:v>Standard</x:v>
      </x:c>
      <x:c r="D81" s="16" t="n">
        <x:v>45760</x:v>
      </x:c>
    </x:row>
    <x:row r="82">
      <x:c r="A82" t="n">
        <x:v>10081</x:v>
      </x:c>
      <x:c r="B82" t="n">
        <x:v>81</x:v>
      </x:c>
      <x:c r="C82" t="str">
        <x:v>Standard</x:v>
      </x:c>
      <x:c r="D82" s="16" t="n">
        <x:v>45742</x:v>
      </x:c>
    </x:row>
    <x:row r="83">
      <x:c r="A83" t="n">
        <x:v>10082</x:v>
      </x:c>
      <x:c r="B83" t="n">
        <x:v>82</x:v>
      </x:c>
      <x:c r="C83" t="str">
        <x:v>Standard</x:v>
      </x:c>
      <x:c r="D83" s="16" t="n">
        <x:v>45668</x:v>
      </x:c>
    </x:row>
    <x:row r="84">
      <x:c r="A84" t="n">
        <x:v>10083</x:v>
      </x:c>
      <x:c r="B84" t="n">
        <x:v>83</x:v>
      </x:c>
      <x:c r="C84" t="str">
        <x:v>Standard</x:v>
      </x:c>
      <x:c r="D84" s="16" t="n">
        <x:v>45905</x:v>
      </x:c>
    </x:row>
    <x:row r="85">
      <x:c r="A85" t="n">
        <x:v>10084</x:v>
      </x:c>
      <x:c r="B85" t="n">
        <x:v>84</x:v>
      </x:c>
      <x:c r="C85" t="str">
        <x:v>Business</x:v>
      </x:c>
      <x:c r="D85" s="16" t="n">
        <x:v>45938</x:v>
      </x:c>
    </x:row>
    <x:row r="86">
      <x:c r="A86" t="n">
        <x:v>10085</x:v>
      </x:c>
      <x:c r="B86" t="n">
        <x:v>85</x:v>
      </x:c>
      <x:c r="C86" t="str">
        <x:v>Premium</x:v>
      </x:c>
      <x:c r="D86" s="16" t="n">
        <x:v>45867</x:v>
      </x:c>
    </x:row>
    <x:row r="87">
      <x:c r="A87" t="n">
        <x:v>10086</x:v>
      </x:c>
      <x:c r="B87" t="n">
        <x:v>86</x:v>
      </x:c>
      <x:c r="C87" t="str">
        <x:v>Standard</x:v>
      </x:c>
      <x:c r="D87" s="16" t="n">
        <x:v>45712</x:v>
      </x:c>
    </x:row>
    <x:row r="88">
      <x:c r="A88" t="n">
        <x:v>10087</x:v>
      </x:c>
      <x:c r="B88" t="n">
        <x:v>87</x:v>
      </x:c>
      <x:c r="C88" t="str">
        <x:v>Standard</x:v>
      </x:c>
      <x:c r="D88" s="16" t="n">
        <x:v>45962</x:v>
      </x:c>
    </x:row>
    <x:row r="89">
      <x:c r="A89" t="n">
        <x:v>10088</x:v>
      </x:c>
      <x:c r="B89" t="n">
        <x:v>88</x:v>
      </x:c>
      <x:c r="C89" t="str">
        <x:v>Standard</x:v>
      </x:c>
      <x:c r="D89" s="16" t="n">
        <x:v>46080</x:v>
      </x:c>
    </x:row>
    <x:row r="90">
      <x:c r="A90" t="n">
        <x:v>10089</x:v>
      </x:c>
      <x:c r="B90" t="n">
        <x:v>89</x:v>
      </x:c>
      <x:c r="C90" t="str">
        <x:v>Standard</x:v>
      </x:c>
      <x:c r="D90" s="16" t="n">
        <x:v>45757</x:v>
      </x:c>
    </x:row>
    <x:row r="91">
      <x:c r="A91" t="n">
        <x:v>10090</x:v>
      </x:c>
      <x:c r="B91" t="n">
        <x:v>90</x:v>
      </x:c>
      <x:c r="C91" t="str">
        <x:v>Standard</x:v>
      </x:c>
      <x:c r="D91" s="16" t="n">
        <x:v>46002</x:v>
      </x:c>
    </x:row>
    <x:row r="92">
      <x:c r="A92" t="n">
        <x:v>10091</x:v>
      </x:c>
      <x:c r="B92" t="n">
        <x:v>91</x:v>
      </x:c>
      <x:c r="C92" t="str">
        <x:v>Standard</x:v>
      </x:c>
      <x:c r="D92" s="16" t="n">
        <x:v>45867</x:v>
      </x:c>
    </x:row>
    <x:row r="93">
      <x:c r="A93" t="n">
        <x:v>10092</x:v>
      </x:c>
      <x:c r="B93" t="n">
        <x:v>92</x:v>
      </x:c>
      <x:c r="C93" t="str">
        <x:v>Standard</x:v>
      </x:c>
      <x:c r="D93" s="16" t="n">
        <x:v>45832</x:v>
      </x:c>
    </x:row>
    <x:row r="94">
      <x:c r="A94" t="n">
        <x:v>10093</x:v>
      </x:c>
      <x:c r="B94" t="n">
        <x:v>93</x:v>
      </x:c>
      <x:c r="C94" t="str">
        <x:v>Premium</x:v>
      </x:c>
      <x:c r="D94" s="16" t="n">
        <x:v>45856</x:v>
      </x:c>
    </x:row>
    <x:row r="95">
      <x:c r="A95" t="n">
        <x:v>10094</x:v>
      </x:c>
      <x:c r="B95" t="n">
        <x:v>94</x:v>
      </x:c>
      <x:c r="C95" t="str">
        <x:v>Premium</x:v>
      </x:c>
      <x:c r="D95" s="16" t="n">
        <x:v>45771</x:v>
      </x:c>
    </x:row>
    <x:row r="96">
      <x:c r="A96" t="n">
        <x:v>10095</x:v>
      </x:c>
      <x:c r="B96" t="n">
        <x:v>95</x:v>
      </x:c>
      <x:c r="C96" t="str">
        <x:v>Standard</x:v>
      </x:c>
      <x:c r="D96" s="16" t="n">
        <x:v>45782</x:v>
      </x:c>
    </x:row>
    <x:row r="97">
      <x:c r="A97" t="n">
        <x:v>10096</x:v>
      </x:c>
      <x:c r="B97" t="n">
        <x:v>96</x:v>
      </x:c>
      <x:c r="C97" t="str">
        <x:v>Premium</x:v>
      </x:c>
      <x:c r="D97" s="16" t="n">
        <x:v>45933</x:v>
      </x:c>
    </x:row>
    <x:row r="98">
      <x:c r="A98" t="n">
        <x:v>10097</x:v>
      </x:c>
      <x:c r="B98" t="n">
        <x:v>97</x:v>
      </x:c>
      <x:c r="C98" t="str">
        <x:v>Standard</x:v>
      </x:c>
      <x:c r="D98" s="16" t="n">
        <x:v>45863</x:v>
      </x:c>
    </x:row>
    <x:row r="99">
      <x:c r="A99" t="n">
        <x:v>10098</x:v>
      </x:c>
      <x:c r="B99" t="n">
        <x:v>98</x:v>
      </x:c>
      <x:c r="C99" t="str">
        <x:v>Standard</x:v>
      </x:c>
      <x:c r="D99" s="16" t="n">
        <x:v>45732</x:v>
      </x:c>
    </x:row>
    <x:row r="100">
      <x:c r="A100" t="n">
        <x:v>10099</x:v>
      </x:c>
      <x:c r="B100" t="n">
        <x:v>99</x:v>
      </x:c>
      <x:c r="C100" t="str">
        <x:v>Standard</x:v>
      </x:c>
      <x:c r="D100" s="16" t="n">
        <x:v>46091</x:v>
      </x:c>
    </x:row>
    <x:row r="101">
      <x:c r="A101" t="n">
        <x:v>10100</x:v>
      </x:c>
      <x:c r="B101" t="n">
        <x:v>100</x:v>
      </x:c>
      <x:c r="C101" t="str">
        <x:v>Premium</x:v>
      </x:c>
      <x:c r="D101" s="16" t="n">
        <x:v>46102</x:v>
      </x:c>
    </x:row>
    <x:row r="102">
      <x:c r="A102" t="n">
        <x:v>10101</x:v>
      </x:c>
      <x:c r="B102" t="n">
        <x:v>101</x:v>
      </x:c>
      <x:c r="C102" t="str">
        <x:v>Standard</x:v>
      </x:c>
      <x:c r="D102" s="16" t="n">
        <x:v>45691</x:v>
      </x:c>
    </x:row>
    <x:row r="103">
      <x:c r="A103" t="n">
        <x:v>10102</x:v>
      </x:c>
      <x:c r="B103" t="n">
        <x:v>102</x:v>
      </x:c>
      <x:c r="C103" t="str">
        <x:v>Premium</x:v>
      </x:c>
      <x:c r="D103" s="16" t="n">
        <x:v>46100</x:v>
      </x:c>
    </x:row>
    <x:row r="104">
      <x:c r="A104" t="n">
        <x:v>10103</x:v>
      </x:c>
      <x:c r="B104" t="n">
        <x:v>103</x:v>
      </x:c>
      <x:c r="C104" t="str">
        <x:v>Premium</x:v>
      </x:c>
      <x:c r="D104" s="16" t="n">
        <x:v>45923</x:v>
      </x:c>
    </x:row>
    <x:row r="105">
      <x:c r="A105" t="n">
        <x:v>10104</x:v>
      </x:c>
      <x:c r="B105" t="n">
        <x:v>104</x:v>
      </x:c>
      <x:c r="C105" t="str">
        <x:v>Standard</x:v>
      </x:c>
      <x:c r="D105" s="16" t="n">
        <x:v>45741</x:v>
      </x:c>
    </x:row>
    <x:row r="106">
      <x:c r="A106" t="n">
        <x:v>10105</x:v>
      </x:c>
      <x:c r="B106" t="n">
        <x:v>105</x:v>
      </x:c>
      <x:c r="C106" t="str">
        <x:v>Standard</x:v>
      </x:c>
      <x:c r="D106" s="16" t="n">
        <x:v>45658</x:v>
      </x:c>
    </x:row>
    <x:row r="107">
      <x:c r="A107" t="n">
        <x:v>10106</x:v>
      </x:c>
      <x:c r="B107" t="n">
        <x:v>106</x:v>
      </x:c>
      <x:c r="C107" t="str">
        <x:v>Premium</x:v>
      </x:c>
      <x:c r="D107" s="16" t="n">
        <x:v>45675</x:v>
      </x:c>
    </x:row>
    <x:row r="108">
      <x:c r="A108" t="n">
        <x:v>10107</x:v>
      </x:c>
      <x:c r="B108" t="n">
        <x:v>107</x:v>
      </x:c>
      <x:c r="C108" t="str">
        <x:v>Standard</x:v>
      </x:c>
      <x:c r="D108" s="16" t="n">
        <x:v>45847</x:v>
      </x:c>
    </x:row>
    <x:row r="109">
      <x:c r="A109" t="n">
        <x:v>10108</x:v>
      </x:c>
      <x:c r="B109" t="n">
        <x:v>108</x:v>
      </x:c>
      <x:c r="C109" t="str">
        <x:v>Premium</x:v>
      </x:c>
      <x:c r="D109" s="16" t="n">
        <x:v>46038</x:v>
      </x:c>
    </x:row>
    <x:row r="110">
      <x:c r="A110" t="n">
        <x:v>10109</x:v>
      </x:c>
      <x:c r="B110" t="n">
        <x:v>109</x:v>
      </x:c>
      <x:c r="C110" t="str">
        <x:v>Standard</x:v>
      </x:c>
      <x:c r="D110" s="16" t="n">
        <x:v>45873</x:v>
      </x:c>
    </x:row>
    <x:row r="111">
      <x:c r="A111" t="n">
        <x:v>10110</x:v>
      </x:c>
      <x:c r="B111" t="n">
        <x:v>110</x:v>
      </x:c>
      <x:c r="C111" t="str">
        <x:v>Standard</x:v>
      </x:c>
      <x:c r="D111" s="16" t="n">
        <x:v>45725</x:v>
      </x:c>
    </x:row>
    <x:row r="112">
      <x:c r="A112" t="n">
        <x:v>10111</x:v>
      </x:c>
      <x:c r="B112" t="n">
        <x:v>111</x:v>
      </x:c>
      <x:c r="C112" t="str">
        <x:v>Standard</x:v>
      </x:c>
      <x:c r="D112" s="16" t="n">
        <x:v>46047</x:v>
      </x:c>
    </x:row>
    <x:row r="113">
      <x:c r="A113" t="n">
        <x:v>10112</x:v>
      </x:c>
      <x:c r="B113" t="n">
        <x:v>112</x:v>
      </x:c>
      <x:c r="C113" t="str">
        <x:v>Standard</x:v>
      </x:c>
      <x:c r="D113" s="16" t="n">
        <x:v>45708</x:v>
      </x:c>
    </x:row>
    <x:row r="114">
      <x:c r="A114" t="n">
        <x:v>10113</x:v>
      </x:c>
      <x:c r="B114" t="n">
        <x:v>113</x:v>
      </x:c>
      <x:c r="C114" t="str">
        <x:v>Standard</x:v>
      </x:c>
      <x:c r="D114" s="16" t="n">
        <x:v>46019</x:v>
      </x:c>
    </x:row>
    <x:row r="115">
      <x:c r="A115" t="n">
        <x:v>10114</x:v>
      </x:c>
      <x:c r="B115" t="n">
        <x:v>114</x:v>
      </x:c>
      <x:c r="C115" t="str">
        <x:v>Business</x:v>
      </x:c>
      <x:c r="D115" s="16" t="n">
        <x:v>45884</x:v>
      </x:c>
    </x:row>
    <x:row r="116">
      <x:c r="A116" t="n">
        <x:v>10115</x:v>
      </x:c>
      <x:c r="B116" t="n">
        <x:v>115</x:v>
      </x:c>
      <x:c r="C116" t="str">
        <x:v>Standard</x:v>
      </x:c>
      <x:c r="D116" s="16" t="n">
        <x:v>46095</x:v>
      </x:c>
    </x:row>
    <x:row r="117">
      <x:c r="A117" t="n">
        <x:v>10116</x:v>
      </x:c>
      <x:c r="B117" t="n">
        <x:v>116</x:v>
      </x:c>
      <x:c r="C117" t="str">
        <x:v>Business</x:v>
      </x:c>
      <x:c r="D117" s="16" t="n">
        <x:v>46079</x:v>
      </x:c>
    </x:row>
    <x:row r="118">
      <x:c r="A118" t="n">
        <x:v>10117</x:v>
      </x:c>
      <x:c r="B118" t="n">
        <x:v>117</x:v>
      </x:c>
      <x:c r="C118" t="str">
        <x:v>Business</x:v>
      </x:c>
      <x:c r="D118" s="16" t="n">
        <x:v>45745</x:v>
      </x:c>
    </x:row>
    <x:row r="119">
      <x:c r="A119" t="n">
        <x:v>10118</x:v>
      </x:c>
      <x:c r="B119" t="n">
        <x:v>118</x:v>
      </x:c>
      <x:c r="C119" t="str">
        <x:v>Standard</x:v>
      </x:c>
      <x:c r="D119" s="16" t="n">
        <x:v>46089</x:v>
      </x:c>
    </x:row>
    <x:row r="120">
      <x:c r="A120" t="n">
        <x:v>10119</x:v>
      </x:c>
      <x:c r="B120" t="n">
        <x:v>119</x:v>
      </x:c>
      <x:c r="C120" t="str">
        <x:v>Premium</x:v>
      </x:c>
      <x:c r="D120" s="16" t="n">
        <x:v>46062</x:v>
      </x:c>
    </x:row>
    <x:row r="121">
      <x:c r="A121" t="n">
        <x:v>10120</x:v>
      </x:c>
      <x:c r="B121" t="n">
        <x:v>120</x:v>
      </x:c>
      <x:c r="C121" t="str">
        <x:v>Premium</x:v>
      </x:c>
      <x:c r="D121" s="16" t="n">
        <x:v>45870</x:v>
      </x:c>
    </x:row>
    <x:row r="122">
      <x:c r="A122" t="n">
        <x:v>10121</x:v>
      </x:c>
      <x:c r="B122" t="n">
        <x:v>121</x:v>
      </x:c>
      <x:c r="C122" t="str">
        <x:v>Standard</x:v>
      </x:c>
      <x:c r="D122" s="16" t="n">
        <x:v>45777</x:v>
      </x:c>
    </x:row>
    <x:row r="123">
      <x:c r="A123" t="n">
        <x:v>10122</x:v>
      </x:c>
      <x:c r="B123" t="n">
        <x:v>122</x:v>
      </x:c>
      <x:c r="C123" t="str">
        <x:v>Standard</x:v>
      </x:c>
      <x:c r="D123" s="16" t="n">
        <x:v>46102</x:v>
      </x:c>
    </x:row>
    <x:row r="124">
      <x:c r="A124" t="n">
        <x:v>10123</x:v>
      </x:c>
      <x:c r="B124" t="n">
        <x:v>123</x:v>
      </x:c>
      <x:c r="C124" t="str">
        <x:v>Standard</x:v>
      </x:c>
      <x:c r="D124" s="16" t="n">
        <x:v>45975</x:v>
      </x:c>
    </x:row>
    <x:row r="125">
      <x:c r="A125" t="n">
        <x:v>10124</x:v>
      </x:c>
      <x:c r="B125" t="n">
        <x:v>124</x:v>
      </x:c>
      <x:c r="C125" t="str">
        <x:v>Standard</x:v>
      </x:c>
      <x:c r="D125" s="16" t="n">
        <x:v>45684</x:v>
      </x:c>
    </x:row>
    <x:row r="126">
      <x:c r="A126" t="n">
        <x:v>10125</x:v>
      </x:c>
      <x:c r="B126" t="n">
        <x:v>125</x:v>
      </x:c>
      <x:c r="C126" t="str">
        <x:v>Business</x:v>
      </x:c>
      <x:c r="D126" s="16" t="n">
        <x:v>45830</x:v>
      </x:c>
    </x:row>
    <x:row r="127">
      <x:c r="A127" t="n">
        <x:v>10126</x:v>
      </x:c>
      <x:c r="B127" t="n">
        <x:v>126</x:v>
      </x:c>
      <x:c r="C127" t="str">
        <x:v>Standard</x:v>
      </x:c>
      <x:c r="D127" s="16" t="n">
        <x:v>45689</x:v>
      </x:c>
    </x:row>
    <x:row r="128">
      <x:c r="A128" t="n">
        <x:v>10127</x:v>
      </x:c>
      <x:c r="B128" t="n">
        <x:v>127</x:v>
      </x:c>
      <x:c r="C128" t="str">
        <x:v>Premium</x:v>
      </x:c>
      <x:c r="D128" s="16" t="n">
        <x:v>45664</x:v>
      </x:c>
    </x:row>
    <x:row r="129">
      <x:c r="A129" t="n">
        <x:v>10128</x:v>
      </x:c>
      <x:c r="B129" t="n">
        <x:v>128</x:v>
      </x:c>
      <x:c r="C129" t="str">
        <x:v>Standard</x:v>
      </x:c>
      <x:c r="D129" s="16" t="n">
        <x:v>45866</x:v>
      </x:c>
    </x:row>
    <x:row r="130">
      <x:c r="A130" t="n">
        <x:v>10129</x:v>
      </x:c>
      <x:c r="B130" t="n">
        <x:v>129</x:v>
      </x:c>
      <x:c r="C130" t="str">
        <x:v>Standard</x:v>
      </x:c>
      <x:c r="D130" s="16" t="n">
        <x:v>45695</x:v>
      </x:c>
    </x:row>
    <x:row r="131">
      <x:c r="A131" t="n">
        <x:v>10130</x:v>
      </x:c>
      <x:c r="B131" t="n">
        <x:v>130</x:v>
      </x:c>
      <x:c r="C131" t="str">
        <x:v>Premium</x:v>
      </x:c>
      <x:c r="D131" s="16" t="n">
        <x:v>45842</x:v>
      </x:c>
    </x:row>
    <x:row r="132">
      <x:c r="A132" t="n">
        <x:v>10131</x:v>
      </x:c>
      <x:c r="B132" t="n">
        <x:v>131</x:v>
      </x:c>
      <x:c r="C132" t="str">
        <x:v>Premium</x:v>
      </x:c>
      <x:c r="D132" s="16" t="n">
        <x:v>45815</x:v>
      </x:c>
    </x:row>
    <x:row r="133">
      <x:c r="A133" t="n">
        <x:v>10132</x:v>
      </x:c>
      <x:c r="B133" t="n">
        <x:v>132</x:v>
      </x:c>
      <x:c r="C133" t="str">
        <x:v>Premium</x:v>
      </x:c>
      <x:c r="D133" s="16" t="n">
        <x:v>45960</x:v>
      </x:c>
    </x:row>
    <x:row r="134">
      <x:c r="A134" t="n">
        <x:v>10133</x:v>
      </x:c>
      <x:c r="B134" t="n">
        <x:v>133</x:v>
      </x:c>
      <x:c r="C134" t="str">
        <x:v>Business</x:v>
      </x:c>
      <x:c r="D134" s="16" t="n">
        <x:v>46050</x:v>
      </x:c>
    </x:row>
    <x:row r="135">
      <x:c r="A135" t="n">
        <x:v>10134</x:v>
      </x:c>
      <x:c r="B135" t="n">
        <x:v>134</x:v>
      </x:c>
      <x:c r="C135" t="str">
        <x:v>Standard</x:v>
      </x:c>
      <x:c r="D135" s="16" t="n">
        <x:v>46044</x:v>
      </x:c>
    </x:row>
    <x:row r="136">
      <x:c r="A136" t="n">
        <x:v>10135</x:v>
      </x:c>
      <x:c r="B136" t="n">
        <x:v>135</x:v>
      </x:c>
      <x:c r="C136" t="str">
        <x:v>Standard</x:v>
      </x:c>
      <x:c r="D136" s="16" t="n">
        <x:v>45712</x:v>
      </x:c>
    </x:row>
    <x:row r="137">
      <x:c r="A137" t="n">
        <x:v>10136</x:v>
      </x:c>
      <x:c r="B137" t="n">
        <x:v>136</x:v>
      </x:c>
      <x:c r="C137" t="str">
        <x:v>Standard</x:v>
      </x:c>
      <x:c r="D137" s="16" t="n">
        <x:v>45730</x:v>
      </x:c>
    </x:row>
    <x:row r="138">
      <x:c r="A138" t="n">
        <x:v>10137</x:v>
      </x:c>
      <x:c r="B138" t="n">
        <x:v>137</x:v>
      </x:c>
      <x:c r="C138" t="str">
        <x:v>Premium</x:v>
      </x:c>
      <x:c r="D138" s="16" t="n">
        <x:v>45834</x:v>
      </x:c>
    </x:row>
    <x:row r="139">
      <x:c r="A139" t="n">
        <x:v>10138</x:v>
      </x:c>
      <x:c r="B139" t="n">
        <x:v>138</x:v>
      </x:c>
      <x:c r="C139" t="str">
        <x:v>Standard</x:v>
      </x:c>
      <x:c r="D139" s="16" t="n">
        <x:v>45743</x:v>
      </x:c>
    </x:row>
    <x:row r="140">
      <x:c r="A140" t="n">
        <x:v>10139</x:v>
      </x:c>
      <x:c r="B140" t="n">
        <x:v>139</x:v>
      </x:c>
      <x:c r="C140" t="str">
        <x:v>Standard</x:v>
      </x:c>
      <x:c r="D140" s="16" t="n">
        <x:v>45770</x:v>
      </x:c>
    </x:row>
    <x:row r="141">
      <x:c r="A141" t="n">
        <x:v>10140</x:v>
      </x:c>
      <x:c r="B141" t="n">
        <x:v>140</x:v>
      </x:c>
      <x:c r="C141" t="str">
        <x:v>Standard</x:v>
      </x:c>
      <x:c r="D141" s="16" t="n">
        <x:v>45798</x:v>
      </x:c>
    </x:row>
    <x:row r="142">
      <x:c r="A142" t="n">
        <x:v>10141</x:v>
      </x:c>
      <x:c r="B142" t="n">
        <x:v>141</x:v>
      </x:c>
      <x:c r="C142" t="str">
        <x:v>Premium</x:v>
      </x:c>
      <x:c r="D142" s="16" t="n">
        <x:v>46054</x:v>
      </x:c>
    </x:row>
    <x:row r="143">
      <x:c r="A143" t="n">
        <x:v>10142</x:v>
      </x:c>
      <x:c r="B143" t="n">
        <x:v>142</x:v>
      </x:c>
      <x:c r="C143" t="str">
        <x:v>Business</x:v>
      </x:c>
      <x:c r="D143" s="16" t="n">
        <x:v>45889</x:v>
      </x:c>
    </x:row>
    <x:row r="144">
      <x:c r="A144" t="n">
        <x:v>10143</x:v>
      </x:c>
      <x:c r="B144" t="n">
        <x:v>143</x:v>
      </x:c>
      <x:c r="C144" t="str">
        <x:v>Business</x:v>
      </x:c>
      <x:c r="D144" s="16" t="n">
        <x:v>46101</x:v>
      </x:c>
    </x:row>
    <x:row r="145">
      <x:c r="A145" t="n">
        <x:v>10144</x:v>
      </x:c>
      <x:c r="B145" t="n">
        <x:v>144</x:v>
      </x:c>
      <x:c r="C145" t="str">
        <x:v>Premium</x:v>
      </x:c>
      <x:c r="D145" s="16" t="n">
        <x:v>45755</x:v>
      </x:c>
    </x:row>
    <x:row r="146">
      <x:c r="A146" t="n">
        <x:v>10145</x:v>
      </x:c>
      <x:c r="B146" t="n">
        <x:v>145</x:v>
      </x:c>
      <x:c r="C146" t="str">
        <x:v>Premium</x:v>
      </x:c>
      <x:c r="D146" s="16" t="n">
        <x:v>45878</x:v>
      </x:c>
    </x:row>
    <x:row r="147">
      <x:c r="A147" t="n">
        <x:v>10146</x:v>
      </x:c>
      <x:c r="B147" t="n">
        <x:v>146</x:v>
      </x:c>
      <x:c r="C147" t="str">
        <x:v>Standard</x:v>
      </x:c>
      <x:c r="D147" s="16" t="n">
        <x:v>45805</x:v>
      </x:c>
    </x:row>
    <x:row r="148">
      <x:c r="A148" t="n">
        <x:v>10147</x:v>
      </x:c>
      <x:c r="B148" t="n">
        <x:v>147</x:v>
      </x:c>
      <x:c r="C148" t="str">
        <x:v>Premium</x:v>
      </x:c>
      <x:c r="D148" s="16" t="n">
        <x:v>45978</x:v>
      </x:c>
    </x:row>
    <x:row r="149">
      <x:c r="A149" t="n">
        <x:v>10148</x:v>
      </x:c>
      <x:c r="B149" t="n">
        <x:v>148</x:v>
      </x:c>
      <x:c r="C149" t="str">
        <x:v>Premium</x:v>
      </x:c>
      <x:c r="D149" s="16" t="n">
        <x:v>45805</x:v>
      </x:c>
    </x:row>
    <x:row r="150">
      <x:c r="A150" t="n">
        <x:v>10149</x:v>
      </x:c>
      <x:c r="B150" t="n">
        <x:v>149</x:v>
      </x:c>
      <x:c r="C150" t="str">
        <x:v>Business</x:v>
      </x:c>
      <x:c r="D150" s="16" t="n">
        <x:v>45695</x:v>
      </x:c>
    </x:row>
    <x:row r="151">
      <x:c r="A151" t="n">
        <x:v>10150</x:v>
      </x:c>
      <x:c r="B151" t="n">
        <x:v>150</x:v>
      </x:c>
      <x:c r="C151" t="str">
        <x:v>Standard</x:v>
      </x:c>
      <x:c r="D151" s="16" t="n">
        <x:v>45978</x:v>
      </x:c>
    </x:row>
    <x:row r="152">
      <x:c r="A152" t="n">
        <x:v>10151</x:v>
      </x:c>
      <x:c r="B152" t="n">
        <x:v>151</x:v>
      </x:c>
      <x:c r="C152" t="str">
        <x:v>Standard</x:v>
      </x:c>
      <x:c r="D152" s="16" t="n">
        <x:v>45839</x:v>
      </x:c>
    </x:row>
    <x:row r="153">
      <x:c r="A153" t="n">
        <x:v>10152</x:v>
      </x:c>
      <x:c r="B153" t="n">
        <x:v>152</x:v>
      </x:c>
      <x:c r="C153" t="str">
        <x:v>Premium</x:v>
      </x:c>
      <x:c r="D153" s="16" t="n">
        <x:v>45772</x:v>
      </x:c>
    </x:row>
    <x:row r="154">
      <x:c r="A154" t="n">
        <x:v>10153</x:v>
      </x:c>
      <x:c r="B154" t="n">
        <x:v>153</x:v>
      </x:c>
      <x:c r="C154" t="str">
        <x:v>Standard</x:v>
      </x:c>
      <x:c r="D154" s="16" t="n">
        <x:v>45870</x:v>
      </x:c>
    </x:row>
    <x:row r="155">
      <x:c r="A155" t="n">
        <x:v>10154</x:v>
      </x:c>
      <x:c r="B155" t="n">
        <x:v>154</x:v>
      </x:c>
      <x:c r="C155" t="str">
        <x:v>Premium</x:v>
      </x:c>
      <x:c r="D155" s="16" t="n">
        <x:v>45696</x:v>
      </x:c>
    </x:row>
    <x:row r="156">
      <x:c r="A156" t="n">
        <x:v>10155</x:v>
      </x:c>
      <x:c r="B156" t="n">
        <x:v>155</x:v>
      </x:c>
      <x:c r="C156" t="str">
        <x:v>Standard</x:v>
      </x:c>
      <x:c r="D156" s="16" t="n">
        <x:v>45791</x:v>
      </x:c>
    </x:row>
    <x:row r="157">
      <x:c r="A157" t="n">
        <x:v>10156</x:v>
      </x:c>
      <x:c r="B157" t="n">
        <x:v>156</x:v>
      </x:c>
      <x:c r="C157" t="str">
        <x:v>Standard</x:v>
      </x:c>
      <x:c r="D157" s="16" t="n">
        <x:v>45707</x:v>
      </x:c>
    </x:row>
    <x:row r="158">
      <x:c r="A158" t="n">
        <x:v>10157</x:v>
      </x:c>
      <x:c r="B158" t="n">
        <x:v>157</x:v>
      </x:c>
      <x:c r="C158" t="str">
        <x:v>Premium</x:v>
      </x:c>
      <x:c r="D158" s="16" t="n">
        <x:v>45916</x:v>
      </x:c>
    </x:row>
    <x:row r="159">
      <x:c r="A159" t="n">
        <x:v>10158</x:v>
      </x:c>
      <x:c r="B159" t="n">
        <x:v>158</x:v>
      </x:c>
      <x:c r="C159" t="str">
        <x:v>Standard</x:v>
      </x:c>
      <x:c r="D159" s="16" t="n">
        <x:v>45746</x:v>
      </x:c>
    </x:row>
    <x:row r="160">
      <x:c r="A160" t="n">
        <x:v>10159</x:v>
      </x:c>
      <x:c r="B160" t="n">
        <x:v>159</x:v>
      </x:c>
      <x:c r="C160" t="str">
        <x:v>Standard</x:v>
      </x:c>
      <x:c r="D160" s="16" t="n">
        <x:v>45866</x:v>
      </x:c>
    </x:row>
    <x:row r="161">
      <x:c r="A161" t="n">
        <x:v>10160</x:v>
      </x:c>
      <x:c r="B161" t="n">
        <x:v>160</x:v>
      </x:c>
      <x:c r="C161" t="str">
        <x:v>Premium</x:v>
      </x:c>
      <x:c r="D161" s="16" t="n">
        <x:v>45936</x:v>
      </x:c>
    </x:row>
    <x:row r="162">
      <x:c r="A162" t="n">
        <x:v>10161</x:v>
      </x:c>
      <x:c r="B162" t="n">
        <x:v>161</x:v>
      </x:c>
      <x:c r="C162" t="str">
        <x:v>Premium</x:v>
      </x:c>
      <x:c r="D162" s="16" t="n">
        <x:v>46064</x:v>
      </x:c>
    </x:row>
    <x:row r="163">
      <x:c r="A163" t="n">
        <x:v>10162</x:v>
      </x:c>
      <x:c r="B163" t="n">
        <x:v>162</x:v>
      </x:c>
      <x:c r="C163" t="str">
        <x:v>Premium</x:v>
      </x:c>
      <x:c r="D163" s="16" t="n">
        <x:v>46078</x:v>
      </x:c>
    </x:row>
    <x:row r="164">
      <x:c r="A164" t="n">
        <x:v>10163</x:v>
      </x:c>
      <x:c r="B164" t="n">
        <x:v>163</x:v>
      </x:c>
      <x:c r="C164" t="str">
        <x:v>Business</x:v>
      </x:c>
      <x:c r="D164" s="16" t="n">
        <x:v>45687</x:v>
      </x:c>
    </x:row>
    <x:row r="165">
      <x:c r="A165" t="n">
        <x:v>10164</x:v>
      </x:c>
      <x:c r="B165" t="n">
        <x:v>164</x:v>
      </x:c>
      <x:c r="C165" t="str">
        <x:v>Standard</x:v>
      </x:c>
      <x:c r="D165" s="16" t="n">
        <x:v>45839</x:v>
      </x:c>
    </x:row>
    <x:row r="166">
      <x:c r="A166" t="n">
        <x:v>10165</x:v>
      </x:c>
      <x:c r="B166" t="n">
        <x:v>165</x:v>
      </x:c>
      <x:c r="C166" t="str">
        <x:v>Premium</x:v>
      </x:c>
      <x:c r="D166" s="16" t="n">
        <x:v>46065</x:v>
      </x:c>
    </x:row>
    <x:row r="167">
      <x:c r="A167" t="n">
        <x:v>10166</x:v>
      </x:c>
      <x:c r="B167" t="n">
        <x:v>166</x:v>
      </x:c>
      <x:c r="C167" t="str">
        <x:v>Premium</x:v>
      </x:c>
      <x:c r="D167" s="16" t="n">
        <x:v>45950</x:v>
      </x:c>
    </x:row>
    <x:row r="168">
      <x:c r="A168" t="n">
        <x:v>10167</x:v>
      </x:c>
      <x:c r="B168" t="n">
        <x:v>167</x:v>
      </x:c>
      <x:c r="C168" t="str">
        <x:v>Premium</x:v>
      </x:c>
      <x:c r="D168" s="16" t="n">
        <x:v>46000</x:v>
      </x:c>
    </x:row>
    <x:row r="169">
      <x:c r="A169" t="n">
        <x:v>10168</x:v>
      </x:c>
      <x:c r="B169" t="n">
        <x:v>168</x:v>
      </x:c>
      <x:c r="C169" t="str">
        <x:v>Business</x:v>
      </x:c>
      <x:c r="D169" s="16" t="n">
        <x:v>45927</x:v>
      </x:c>
    </x:row>
    <x:row r="170">
      <x:c r="A170" t="n">
        <x:v>10169</x:v>
      </x:c>
      <x:c r="B170" t="n">
        <x:v>169</x:v>
      </x:c>
      <x:c r="C170" t="str">
        <x:v>Premium</x:v>
      </x:c>
      <x:c r="D170" s="16" t="n">
        <x:v>45753</x:v>
      </x:c>
    </x:row>
    <x:row r="171">
      <x:c r="A171" t="n">
        <x:v>10170</x:v>
      </x:c>
      <x:c r="B171" t="n">
        <x:v>170</x:v>
      </x:c>
      <x:c r="C171" t="str">
        <x:v>Standard</x:v>
      </x:c>
      <x:c r="D171" s="16" t="n">
        <x:v>45834</x:v>
      </x:c>
    </x:row>
    <x:row r="172">
      <x:c r="A172" t="n">
        <x:v>10171</x:v>
      </x:c>
      <x:c r="B172" t="n">
        <x:v>171</x:v>
      </x:c>
      <x:c r="C172" t="str">
        <x:v>Standard</x:v>
      </x:c>
      <x:c r="D172" s="16" t="n">
        <x:v>46019</x:v>
      </x:c>
    </x:row>
    <x:row r="173">
      <x:c r="A173" t="n">
        <x:v>10172</x:v>
      </x:c>
      <x:c r="B173" t="n">
        <x:v>172</x:v>
      </x:c>
      <x:c r="C173" t="str">
        <x:v>Premium</x:v>
      </x:c>
      <x:c r="D173" s="16" t="n">
        <x:v>45896</x:v>
      </x:c>
    </x:row>
    <x:row r="174">
      <x:c r="A174" t="n">
        <x:v>10173</x:v>
      </x:c>
      <x:c r="B174" t="n">
        <x:v>173</x:v>
      </x:c>
      <x:c r="C174" t="str">
        <x:v>Premium</x:v>
      </x:c>
      <x:c r="D174" s="16" t="n">
        <x:v>45929</x:v>
      </x:c>
    </x:row>
    <x:row r="175">
      <x:c r="A175" t="n">
        <x:v>10174</x:v>
      </x:c>
      <x:c r="B175" t="n">
        <x:v>174</x:v>
      </x:c>
      <x:c r="C175" t="str">
        <x:v>Standard</x:v>
      </x:c>
      <x:c r="D175" s="16" t="n">
        <x:v>45994</x:v>
      </x:c>
    </x:row>
    <x:row r="176">
      <x:c r="A176" t="n">
        <x:v>10175</x:v>
      </x:c>
      <x:c r="B176" t="n">
        <x:v>175</x:v>
      </x:c>
      <x:c r="C176" t="str">
        <x:v>Standard</x:v>
      </x:c>
      <x:c r="D176" s="16" t="n">
        <x:v>45735</x:v>
      </x:c>
    </x:row>
    <x:row r="177">
      <x:c r="A177" t="n">
        <x:v>10176</x:v>
      </x:c>
      <x:c r="B177" t="n">
        <x:v>176</x:v>
      </x:c>
      <x:c r="C177" t="str">
        <x:v>Standard</x:v>
      </x:c>
      <x:c r="D177" s="16" t="n">
        <x:v>45892</x:v>
      </x:c>
    </x:row>
    <x:row r="178">
      <x:c r="A178" t="n">
        <x:v>10177</x:v>
      </x:c>
      <x:c r="B178" t="n">
        <x:v>177</x:v>
      </x:c>
      <x:c r="C178" t="str">
        <x:v>Standard</x:v>
      </x:c>
      <x:c r="D178" s="16" t="n">
        <x:v>45794</x:v>
      </x:c>
    </x:row>
    <x:row r="179">
      <x:c r="A179" t="n">
        <x:v>10178</x:v>
      </x:c>
      <x:c r="B179" t="n">
        <x:v>178</x:v>
      </x:c>
      <x:c r="C179" t="str">
        <x:v>Standard</x:v>
      </x:c>
      <x:c r="D179" s="16" t="n">
        <x:v>45819</x:v>
      </x:c>
    </x:row>
    <x:row r="180">
      <x:c r="A180" t="n">
        <x:v>10179</x:v>
      </x:c>
      <x:c r="B180" t="n">
        <x:v>179</x:v>
      </x:c>
      <x:c r="C180" t="str">
        <x:v>Standard</x:v>
      </x:c>
      <x:c r="D180" s="16" t="n">
        <x:v>45840</x:v>
      </x:c>
    </x:row>
    <x:row r="181">
      <x:c r="A181" t="n">
        <x:v>10180</x:v>
      </x:c>
      <x:c r="B181" t="n">
        <x:v>180</x:v>
      </x:c>
      <x:c r="C181" t="str">
        <x:v>Premium</x:v>
      </x:c>
      <x:c r="D181" s="16" t="n">
        <x:v>45799</x:v>
      </x:c>
    </x:row>
    <x:row r="182">
      <x:c r="A182" t="n">
        <x:v>10181</x:v>
      </x:c>
      <x:c r="B182" t="n">
        <x:v>181</x:v>
      </x:c>
      <x:c r="C182" t="str">
        <x:v>Business</x:v>
      </x:c>
      <x:c r="D182" s="16" t="n">
        <x:v>45913</x:v>
      </x:c>
    </x:row>
    <x:row r="183">
      <x:c r="A183" t="n">
        <x:v>10182</x:v>
      </x:c>
      <x:c r="B183" t="n">
        <x:v>182</x:v>
      </x:c>
      <x:c r="C183" t="str">
        <x:v>Standard</x:v>
      </x:c>
      <x:c r="D183" s="16" t="n">
        <x:v>45955</x:v>
      </x:c>
    </x:row>
    <x:row r="184">
      <x:c r="A184" t="n">
        <x:v>10183</x:v>
      </x:c>
      <x:c r="B184" t="n">
        <x:v>183</x:v>
      </x:c>
      <x:c r="C184" t="str">
        <x:v>Standard</x:v>
      </x:c>
      <x:c r="D184" s="16" t="n">
        <x:v>45674</x:v>
      </x:c>
    </x:row>
    <x:row r="185">
      <x:c r="A185" t="n">
        <x:v>10184</x:v>
      </x:c>
      <x:c r="B185" t="n">
        <x:v>184</x:v>
      </x:c>
      <x:c r="C185" t="str">
        <x:v>Premium</x:v>
      </x:c>
      <x:c r="D185" s="16" t="n">
        <x:v>45791</x:v>
      </x:c>
    </x:row>
    <x:row r="186">
      <x:c r="A186" t="n">
        <x:v>10185</x:v>
      </x:c>
      <x:c r="B186" t="n">
        <x:v>185</x:v>
      </x:c>
      <x:c r="C186" t="str">
        <x:v>Premium</x:v>
      </x:c>
      <x:c r="D186" s="16" t="n">
        <x:v>45890</x:v>
      </x:c>
    </x:row>
    <x:row r="187">
      <x:c r="A187" t="n">
        <x:v>10186</x:v>
      </x:c>
      <x:c r="B187" t="n">
        <x:v>186</x:v>
      </x:c>
      <x:c r="C187" t="str">
        <x:v>Standard</x:v>
      </x:c>
      <x:c r="D187" s="16" t="n">
        <x:v>46033</x:v>
      </x:c>
    </x:row>
    <x:row r="188">
      <x:c r="A188" t="n">
        <x:v>10187</x:v>
      </x:c>
      <x:c r="B188" t="n">
        <x:v>187</x:v>
      </x:c>
      <x:c r="C188" t="str">
        <x:v>Standard</x:v>
      </x:c>
      <x:c r="D188" s="16" t="n">
        <x:v>45714</x:v>
      </x:c>
    </x:row>
    <x:row r="189">
      <x:c r="A189" t="n">
        <x:v>10188</x:v>
      </x:c>
      <x:c r="B189" t="n">
        <x:v>188</x:v>
      </x:c>
      <x:c r="C189" t="str">
        <x:v>Standard</x:v>
      </x:c>
      <x:c r="D189" s="16" t="n">
        <x:v>45695</x:v>
      </x:c>
    </x:row>
    <x:row r="190">
      <x:c r="A190" t="n">
        <x:v>10189</x:v>
      </x:c>
      <x:c r="B190" t="n">
        <x:v>189</x:v>
      </x:c>
      <x:c r="C190" t="str">
        <x:v>Standard</x:v>
      </x:c>
      <x:c r="D190" s="16" t="n">
        <x:v>45941</x:v>
      </x:c>
    </x:row>
    <x:row r="191">
      <x:c r="A191" t="n">
        <x:v>10190</x:v>
      </x:c>
      <x:c r="B191" t="n">
        <x:v>190</x:v>
      </x:c>
      <x:c r="C191" t="str">
        <x:v>Standard</x:v>
      </x:c>
      <x:c r="D191" s="16" t="n">
        <x:v>45909</x:v>
      </x:c>
    </x:row>
    <x:row r="192">
      <x:c r="A192" t="n">
        <x:v>10191</x:v>
      </x:c>
      <x:c r="B192" t="n">
        <x:v>191</x:v>
      </x:c>
      <x:c r="C192" t="str">
        <x:v>Premium</x:v>
      </x:c>
      <x:c r="D192" s="16" t="n">
        <x:v>46052</x:v>
      </x:c>
    </x:row>
    <x:row r="193">
      <x:c r="A193" t="n">
        <x:v>10192</x:v>
      </x:c>
      <x:c r="B193" t="n">
        <x:v>192</x:v>
      </x:c>
      <x:c r="C193" t="str">
        <x:v>Standard</x:v>
      </x:c>
      <x:c r="D193" s="16" t="n">
        <x:v>45678</x:v>
      </x:c>
    </x:row>
    <x:row r="194">
      <x:c r="A194" t="n">
        <x:v>10193</x:v>
      </x:c>
      <x:c r="B194" t="n">
        <x:v>193</x:v>
      </x:c>
      <x:c r="C194" t="str">
        <x:v>Standard</x:v>
      </x:c>
      <x:c r="D194" s="16" t="n">
        <x:v>45854</x:v>
      </x:c>
    </x:row>
    <x:row r="195">
      <x:c r="A195" t="n">
        <x:v>10194</x:v>
      </x:c>
      <x:c r="B195" t="n">
        <x:v>194</x:v>
      </x:c>
      <x:c r="C195" t="str">
        <x:v>Standard</x:v>
      </x:c>
      <x:c r="D195" s="16" t="n">
        <x:v>46074</x:v>
      </x:c>
    </x:row>
    <x:row r="196">
      <x:c r="A196" t="n">
        <x:v>10195</x:v>
      </x:c>
      <x:c r="B196" t="n">
        <x:v>195</x:v>
      </x:c>
      <x:c r="C196" t="str">
        <x:v>Premium</x:v>
      </x:c>
      <x:c r="D196" s="16" t="n">
        <x:v>46036</x:v>
      </x:c>
    </x:row>
    <x:row r="197">
      <x:c r="A197" t="n">
        <x:v>10196</x:v>
      </x:c>
      <x:c r="B197" t="n">
        <x:v>196</x:v>
      </x:c>
      <x:c r="C197" t="str">
        <x:v>Premium</x:v>
      </x:c>
      <x:c r="D197" s="16" t="n">
        <x:v>45663</x:v>
      </x:c>
    </x:row>
    <x:row r="198">
      <x:c r="A198" t="n">
        <x:v>10197</x:v>
      </x:c>
      <x:c r="B198" t="n">
        <x:v>197</x:v>
      </x:c>
      <x:c r="C198" t="str">
        <x:v>Premium</x:v>
      </x:c>
      <x:c r="D198" s="16" t="n">
        <x:v>46105</x:v>
      </x:c>
    </x:row>
    <x:row r="199">
      <x:c r="A199" t="n">
        <x:v>10198</x:v>
      </x:c>
      <x:c r="B199" t="n">
        <x:v>198</x:v>
      </x:c>
      <x:c r="C199" t="str">
        <x:v>Business</x:v>
      </x:c>
      <x:c r="D199" s="16" t="n">
        <x:v>45820</x:v>
      </x:c>
    </x:row>
    <x:row r="200">
      <x:c r="A200" t="n">
        <x:v>10199</x:v>
      </x:c>
      <x:c r="B200" t="n">
        <x:v>199</x:v>
      </x:c>
      <x:c r="C200" t="str">
        <x:v>Premium</x:v>
      </x:c>
      <x:c r="D200" s="16" t="n">
        <x:v>45685</x:v>
      </x:c>
    </x:row>
    <x:row r="201">
      <x:c r="A201" t="n">
        <x:v>10200</x:v>
      </x:c>
      <x:c r="B201" t="n">
        <x:v>200</x:v>
      </x:c>
      <x:c r="C201" t="str">
        <x:v>Standard</x:v>
      </x:c>
      <x:c r="D201" s="16" t="n">
        <x:v>45970</x:v>
      </x:c>
    </x:row>
    <x:row r="202">
      <x:c r="A202" t="n">
        <x:v>10201</x:v>
      </x:c>
      <x:c r="B202" t="n">
        <x:v>201</x:v>
      </x:c>
      <x:c r="C202" t="str">
        <x:v>Standard</x:v>
      </x:c>
      <x:c r="D202" s="16" t="n">
        <x:v>45887</x:v>
      </x:c>
    </x:row>
    <x:row r="203">
      <x:c r="A203" t="n">
        <x:v>10202</x:v>
      </x:c>
      <x:c r="B203" t="n">
        <x:v>202</x:v>
      </x:c>
      <x:c r="C203" t="str">
        <x:v>Premium</x:v>
      </x:c>
      <x:c r="D203" s="16" t="n">
        <x:v>45942</x:v>
      </x:c>
    </x:row>
    <x:row r="204">
      <x:c r="A204" t="n">
        <x:v>10203</x:v>
      </x:c>
      <x:c r="B204" t="n">
        <x:v>203</x:v>
      </x:c>
      <x:c r="C204" t="str">
        <x:v>Business</x:v>
      </x:c>
      <x:c r="D204" s="16" t="n">
        <x:v>46059</x:v>
      </x:c>
    </x:row>
    <x:row r="205">
      <x:c r="A205" t="n">
        <x:v>10204</x:v>
      </x:c>
      <x:c r="B205" t="n">
        <x:v>204</x:v>
      </x:c>
      <x:c r="C205" t="str">
        <x:v>Standard</x:v>
      </x:c>
      <x:c r="D205" s="16" t="n">
        <x:v>45961</x:v>
      </x:c>
    </x:row>
    <x:row r="206">
      <x:c r="A206" t="n">
        <x:v>10205</x:v>
      </x:c>
      <x:c r="B206" t="n">
        <x:v>205</x:v>
      </x:c>
      <x:c r="C206" t="str">
        <x:v>Premium</x:v>
      </x:c>
      <x:c r="D206" s="16" t="n">
        <x:v>46056</x:v>
      </x:c>
    </x:row>
    <x:row r="207">
      <x:c r="A207" t="n">
        <x:v>10206</x:v>
      </x:c>
      <x:c r="B207" t="n">
        <x:v>206</x:v>
      </x:c>
      <x:c r="C207" t="str">
        <x:v>Premium</x:v>
      </x:c>
      <x:c r="D207" s="16" t="n">
        <x:v>45931</x:v>
      </x:c>
    </x:row>
    <x:row r="208">
      <x:c r="A208" t="n">
        <x:v>10207</x:v>
      </x:c>
      <x:c r="B208" t="n">
        <x:v>207</x:v>
      </x:c>
      <x:c r="C208" t="str">
        <x:v>Business</x:v>
      </x:c>
      <x:c r="D208" s="16" t="n">
        <x:v>45858</x:v>
      </x:c>
    </x:row>
    <x:row r="209">
      <x:c r="A209" t="n">
        <x:v>10208</x:v>
      </x:c>
      <x:c r="B209" t="n">
        <x:v>208</x:v>
      </x:c>
      <x:c r="C209" t="str">
        <x:v>Standard</x:v>
      </x:c>
      <x:c r="D209" s="16" t="n">
        <x:v>45947</x:v>
      </x:c>
    </x:row>
    <x:row r="210">
      <x:c r="A210" t="n">
        <x:v>10209</x:v>
      </x:c>
      <x:c r="B210" t="n">
        <x:v>209</x:v>
      </x:c>
      <x:c r="C210" t="str">
        <x:v>Standard</x:v>
      </x:c>
      <x:c r="D210" s="16" t="n">
        <x:v>46100</x:v>
      </x:c>
    </x:row>
    <x:row r="211">
      <x:c r="A211" t="n">
        <x:v>10210</x:v>
      </x:c>
      <x:c r="B211" t="n">
        <x:v>210</x:v>
      </x:c>
      <x:c r="C211" t="str">
        <x:v>Premium</x:v>
      </x:c>
      <x:c r="D211" s="16" t="n">
        <x:v>46101</x:v>
      </x:c>
    </x:row>
    <x:row r="212">
      <x:c r="A212" t="n">
        <x:v>10211</x:v>
      </x:c>
      <x:c r="B212" t="n">
        <x:v>211</x:v>
      </x:c>
      <x:c r="C212" t="str">
        <x:v>Standard</x:v>
      </x:c>
      <x:c r="D212" s="16" t="n">
        <x:v>45822</x:v>
      </x:c>
    </x:row>
    <x:row r="213">
      <x:c r="A213" t="n">
        <x:v>10212</x:v>
      </x:c>
      <x:c r="B213" t="n">
        <x:v>212</x:v>
      </x:c>
      <x:c r="C213" t="str">
        <x:v>Standard</x:v>
      </x:c>
      <x:c r="D213" s="16" t="n">
        <x:v>45799</x:v>
      </x:c>
    </x:row>
    <x:row r="214">
      <x:c r="A214" t="n">
        <x:v>10213</x:v>
      </x:c>
      <x:c r="B214" t="n">
        <x:v>213</x:v>
      </x:c>
      <x:c r="C214" t="str">
        <x:v>Business</x:v>
      </x:c>
      <x:c r="D214" s="16" t="n">
        <x:v>46050</x:v>
      </x:c>
    </x:row>
    <x:row r="215">
      <x:c r="A215" t="n">
        <x:v>10214</x:v>
      </x:c>
      <x:c r="B215" t="n">
        <x:v>214</x:v>
      </x:c>
      <x:c r="C215" t="str">
        <x:v>Standard</x:v>
      </x:c>
      <x:c r="D215" s="16" t="n">
        <x:v>45920</x:v>
      </x:c>
    </x:row>
    <x:row r="216">
      <x:c r="A216" t="n">
        <x:v>10215</x:v>
      </x:c>
      <x:c r="B216" t="n">
        <x:v>215</x:v>
      </x:c>
      <x:c r="C216" t="str">
        <x:v>Premium</x:v>
      </x:c>
      <x:c r="D216" s="16" t="n">
        <x:v>46084</x:v>
      </x:c>
    </x:row>
    <x:row r="217">
      <x:c r="A217" t="n">
        <x:v>10216</x:v>
      </x:c>
      <x:c r="B217" t="n">
        <x:v>216</x:v>
      </x:c>
      <x:c r="C217" t="str">
        <x:v>Premium</x:v>
      </x:c>
      <x:c r="D217" s="16" t="n">
        <x:v>45841</x:v>
      </x:c>
    </x:row>
    <x:row r="218">
      <x:c r="A218" t="n">
        <x:v>10217</x:v>
      </x:c>
      <x:c r="B218" t="n">
        <x:v>217</x:v>
      </x:c>
      <x:c r="C218" t="str">
        <x:v>Standard</x:v>
      </x:c>
      <x:c r="D218" s="16" t="n">
        <x:v>45951</x:v>
      </x:c>
    </x:row>
    <x:row r="219">
      <x:c r="A219" t="n">
        <x:v>10218</x:v>
      </x:c>
      <x:c r="B219" t="n">
        <x:v>218</x:v>
      </x:c>
      <x:c r="C219" t="str">
        <x:v>Premium</x:v>
      </x:c>
      <x:c r="D219" s="16" t="n">
        <x:v>45674</x:v>
      </x:c>
    </x:row>
    <x:row r="220">
      <x:c r="A220" t="n">
        <x:v>10219</x:v>
      </x:c>
      <x:c r="B220" t="n">
        <x:v>219</x:v>
      </x:c>
      <x:c r="C220" t="str">
        <x:v>Standard</x:v>
      </x:c>
      <x:c r="D220" s="16" t="n">
        <x:v>46030</x:v>
      </x:c>
    </x:row>
    <x:row r="221">
      <x:c r="A221" t="n">
        <x:v>10220</x:v>
      </x:c>
      <x:c r="B221" t="n">
        <x:v>220</x:v>
      </x:c>
      <x:c r="C221" t="str">
        <x:v>Standard</x:v>
      </x:c>
      <x:c r="D221" s="16" t="n">
        <x:v>45703</x:v>
      </x:c>
    </x:row>
    <x:row r="222">
      <x:c r="A222" t="n">
        <x:v>10221</x:v>
      </x:c>
      <x:c r="B222" t="n">
        <x:v>221</x:v>
      </x:c>
      <x:c r="C222" t="str">
        <x:v>Standard</x:v>
      </x:c>
      <x:c r="D222" s="16" t="n">
        <x:v>45794</x:v>
      </x:c>
    </x:row>
    <x:row r="223">
      <x:c r="A223" t="n">
        <x:v>10222</x:v>
      </x:c>
      <x:c r="B223" t="n">
        <x:v>222</x:v>
      </x:c>
      <x:c r="C223" t="str">
        <x:v>Standard</x:v>
      </x:c>
      <x:c r="D223" s="16" t="n">
        <x:v>45951</x:v>
      </x:c>
    </x:row>
    <x:row r="224">
      <x:c r="A224" t="n">
        <x:v>10223</x:v>
      </x:c>
      <x:c r="B224" t="n">
        <x:v>223</x:v>
      </x:c>
      <x:c r="C224" t="str">
        <x:v>Standard</x:v>
      </x:c>
      <x:c r="D224" s="16" t="n">
        <x:v>45777</x:v>
      </x:c>
    </x:row>
    <x:row r="225">
      <x:c r="A225" t="n">
        <x:v>10224</x:v>
      </x:c>
      <x:c r="B225" t="n">
        <x:v>224</x:v>
      </x:c>
      <x:c r="C225" t="str">
        <x:v>Standard</x:v>
      </x:c>
      <x:c r="D225" s="16" t="n">
        <x:v>45852</x:v>
      </x:c>
    </x:row>
    <x:row r="226">
      <x:c r="A226" t="n">
        <x:v>10225</x:v>
      </x:c>
      <x:c r="B226" t="n">
        <x:v>225</x:v>
      </x:c>
      <x:c r="C226" t="str">
        <x:v>Premium</x:v>
      </x:c>
      <x:c r="D226" s="16" t="n">
        <x:v>45725</x:v>
      </x:c>
    </x:row>
    <x:row r="227">
      <x:c r="A227" t="n">
        <x:v>10226</x:v>
      </x:c>
      <x:c r="B227" t="n">
        <x:v>226</x:v>
      </x:c>
      <x:c r="C227" t="str">
        <x:v>Standard</x:v>
      </x:c>
      <x:c r="D227" s="16" t="n">
        <x:v>45745</x:v>
      </x:c>
    </x:row>
    <x:row r="228">
      <x:c r="A228" t="n">
        <x:v>10227</x:v>
      </x:c>
      <x:c r="B228" t="n">
        <x:v>227</x:v>
      </x:c>
      <x:c r="C228" t="str">
        <x:v>Standard</x:v>
      </x:c>
      <x:c r="D228" s="16" t="n">
        <x:v>46054</x:v>
      </x:c>
    </x:row>
    <x:row r="229">
      <x:c r="A229" t="n">
        <x:v>10228</x:v>
      </x:c>
      <x:c r="B229" t="n">
        <x:v>228</x:v>
      </x:c>
      <x:c r="C229" t="str">
        <x:v>Premium</x:v>
      </x:c>
      <x:c r="D229" s="16" t="n">
        <x:v>46106</x:v>
      </x:c>
    </x:row>
    <x:row r="230">
      <x:c r="A230" t="n">
        <x:v>10229</x:v>
      </x:c>
      <x:c r="B230" t="n">
        <x:v>229</x:v>
      </x:c>
      <x:c r="C230" t="str">
        <x:v>Premium</x:v>
      </x:c>
      <x:c r="D230" s="16" t="n">
        <x:v>45872</x:v>
      </x:c>
    </x:row>
    <x:row r="231">
      <x:c r="A231" t="n">
        <x:v>10230</x:v>
      </x:c>
      <x:c r="B231" t="n">
        <x:v>230</x:v>
      </x:c>
      <x:c r="C231" t="str">
        <x:v>Premium</x:v>
      </x:c>
      <x:c r="D231" s="16" t="n">
        <x:v>45698</x:v>
      </x:c>
    </x:row>
    <x:row r="232">
      <x:c r="A232" t="n">
        <x:v>10231</x:v>
      </x:c>
      <x:c r="B232" t="n">
        <x:v>231</x:v>
      </x:c>
      <x:c r="C232" t="str">
        <x:v>Premium</x:v>
      </x:c>
      <x:c r="D232" s="16" t="n">
        <x:v>45680</x:v>
      </x:c>
    </x:row>
    <x:row r="233">
      <x:c r="A233" t="n">
        <x:v>10232</x:v>
      </x:c>
      <x:c r="B233" t="n">
        <x:v>232</x:v>
      </x:c>
      <x:c r="C233" t="str">
        <x:v>Premium</x:v>
      </x:c>
      <x:c r="D233" s="16" t="n">
        <x:v>46044</x:v>
      </x:c>
    </x:row>
    <x:row r="234">
      <x:c r="A234" t="n">
        <x:v>10233</x:v>
      </x:c>
      <x:c r="B234" t="n">
        <x:v>233</x:v>
      </x:c>
      <x:c r="C234" t="str">
        <x:v>Premium</x:v>
      </x:c>
      <x:c r="D234" s="16" t="n">
        <x:v>45968</x:v>
      </x:c>
    </x:row>
    <x:row r="235">
      <x:c r="A235" t="n">
        <x:v>10234</x:v>
      </x:c>
      <x:c r="B235" t="n">
        <x:v>234</x:v>
      </x:c>
      <x:c r="C235" t="str">
        <x:v>Standard</x:v>
      </x:c>
      <x:c r="D235" s="16" t="n">
        <x:v>46054</x:v>
      </x:c>
    </x:row>
    <x:row r="236">
      <x:c r="A236" t="n">
        <x:v>10235</x:v>
      </x:c>
      <x:c r="B236" t="n">
        <x:v>235</x:v>
      </x:c>
      <x:c r="C236" t="str">
        <x:v>Standard</x:v>
      </x:c>
      <x:c r="D236" s="16" t="n">
        <x:v>45669</x:v>
      </x:c>
    </x:row>
    <x:row r="237">
      <x:c r="A237" t="n">
        <x:v>10236</x:v>
      </x:c>
      <x:c r="B237" t="n">
        <x:v>236</x:v>
      </x:c>
      <x:c r="C237" t="str">
        <x:v>Business</x:v>
      </x:c>
      <x:c r="D237" s="16" t="n">
        <x:v>46073</x:v>
      </x:c>
    </x:row>
    <x:row r="238">
      <x:c r="A238" t="n">
        <x:v>10237</x:v>
      </x:c>
      <x:c r="B238" t="n">
        <x:v>237</x:v>
      </x:c>
      <x:c r="C238" t="str">
        <x:v>Premium</x:v>
      </x:c>
      <x:c r="D238" s="16" t="n">
        <x:v>46065</x:v>
      </x:c>
    </x:row>
    <x:row r="239">
      <x:c r="A239" t="n">
        <x:v>10238</x:v>
      </x:c>
      <x:c r="B239" t="n">
        <x:v>238</x:v>
      </x:c>
      <x:c r="C239" t="str">
        <x:v>Standard</x:v>
      </x:c>
      <x:c r="D239" s="16" t="n">
        <x:v>46091</x:v>
      </x:c>
    </x:row>
    <x:row r="240">
      <x:c r="A240" t="n">
        <x:v>10239</x:v>
      </x:c>
      <x:c r="B240" t="n">
        <x:v>239</x:v>
      </x:c>
      <x:c r="C240" t="str">
        <x:v>Standard</x:v>
      </x:c>
      <x:c r="D240" s="16" t="n">
        <x:v>45860</x:v>
      </x:c>
    </x:row>
    <x:row r="241">
      <x:c r="A241" t="n">
        <x:v>10240</x:v>
      </x:c>
      <x:c r="B241" t="n">
        <x:v>240</x:v>
      </x:c>
      <x:c r="C241" t="str">
        <x:v>Standard</x:v>
      </x:c>
      <x:c r="D241" s="16" t="n">
        <x:v>45958</x:v>
      </x:c>
    </x:row>
    <x:row r="242">
      <x:c r="A242" t="n">
        <x:v>10241</x:v>
      </x:c>
      <x:c r="B242" t="n">
        <x:v>241</x:v>
      </x:c>
      <x:c r="C242" t="str">
        <x:v>Standard</x:v>
      </x:c>
      <x:c r="D242" s="16" t="n">
        <x:v>45797</x:v>
      </x:c>
    </x:row>
    <x:row r="243">
      <x:c r="A243" t="n">
        <x:v>10242</x:v>
      </x:c>
      <x:c r="B243" t="n">
        <x:v>242</x:v>
      </x:c>
      <x:c r="C243" t="str">
        <x:v>Standard</x:v>
      </x:c>
      <x:c r="D243" s="16" t="n">
        <x:v>45698</x:v>
      </x:c>
    </x:row>
    <x:row r="244">
      <x:c r="A244" t="n">
        <x:v>10243</x:v>
      </x:c>
      <x:c r="B244" t="n">
        <x:v>243</x:v>
      </x:c>
      <x:c r="C244" t="str">
        <x:v>Premium</x:v>
      </x:c>
      <x:c r="D244" s="16" t="n">
        <x:v>45954</x:v>
      </x:c>
    </x:row>
    <x:row r="245">
      <x:c r="A245" t="n">
        <x:v>10244</x:v>
      </x:c>
      <x:c r="B245" t="n">
        <x:v>244</x:v>
      </x:c>
      <x:c r="C245" t="str">
        <x:v>Standard</x:v>
      </x:c>
      <x:c r="D245" s="16" t="n">
        <x:v>46093</x:v>
      </x:c>
    </x:row>
    <x:row r="246">
      <x:c r="A246" t="n">
        <x:v>10245</x:v>
      </x:c>
      <x:c r="B246" t="n">
        <x:v>245</x:v>
      </x:c>
      <x:c r="C246" t="str">
        <x:v>Standard</x:v>
      </x:c>
      <x:c r="D246" s="16" t="n">
        <x:v>45700</x:v>
      </x:c>
    </x:row>
    <x:row r="247">
      <x:c r="A247" t="n">
        <x:v>10246</x:v>
      </x:c>
      <x:c r="B247" t="n">
        <x:v>246</x:v>
      </x:c>
      <x:c r="C247" t="str">
        <x:v>Standard</x:v>
      </x:c>
      <x:c r="D247" s="16" t="n">
        <x:v>45986</x:v>
      </x:c>
    </x:row>
    <x:row r="248">
      <x:c r="A248" t="n">
        <x:v>10247</x:v>
      </x:c>
      <x:c r="B248" t="n">
        <x:v>247</x:v>
      </x:c>
      <x:c r="C248" t="str">
        <x:v>Standard</x:v>
      </x:c>
      <x:c r="D248" s="16" t="n">
        <x:v>45706</x:v>
      </x:c>
    </x:row>
    <x:row r="249">
      <x:c r="A249" t="n">
        <x:v>10248</x:v>
      </x:c>
      <x:c r="B249" t="n">
        <x:v>248</x:v>
      </x:c>
      <x:c r="C249" t="str">
        <x:v>Premium</x:v>
      </x:c>
      <x:c r="D249" s="16" t="n">
        <x:v>46078</x:v>
      </x:c>
    </x:row>
    <x:row r="250">
      <x:c r="A250" t="n">
        <x:v>10249</x:v>
      </x:c>
      <x:c r="B250" t="n">
        <x:v>249</x:v>
      </x:c>
      <x:c r="C250" t="str">
        <x:v>Premium</x:v>
      </x:c>
      <x:c r="D250" s="16" t="n">
        <x:v>45971</x:v>
      </x:c>
    </x:row>
    <x:row r="251">
      <x:c r="A251" t="n">
        <x:v>10250</x:v>
      </x:c>
      <x:c r="B251" t="n">
        <x:v>250</x:v>
      </x:c>
      <x:c r="C251" t="str">
        <x:v>Standard</x:v>
      </x:c>
      <x:c r="D251" s="16" t="n">
        <x:v>45701</x:v>
      </x:c>
    </x:row>
    <x:row r="252">
      <x:c r="A252" t="n">
        <x:v>10251</x:v>
      </x:c>
      <x:c r="B252" t="n">
        <x:v>251</x:v>
      </x:c>
      <x:c r="C252" t="str">
        <x:v>Standard</x:v>
      </x:c>
      <x:c r="D252" s="16" t="n">
        <x:v>45683</x:v>
      </x:c>
    </x:row>
    <x:row r="253">
      <x:c r="A253" t="n">
        <x:v>10252</x:v>
      </x:c>
      <x:c r="B253" t="n">
        <x:v>252</x:v>
      </x:c>
      <x:c r="C253" t="str">
        <x:v>Standard</x:v>
      </x:c>
      <x:c r="D253" s="16" t="n">
        <x:v>45679</x:v>
      </x:c>
    </x:row>
    <x:row r="254">
      <x:c r="A254" t="n">
        <x:v>10253</x:v>
      </x:c>
      <x:c r="B254" t="n">
        <x:v>253</x:v>
      </x:c>
      <x:c r="C254" t="str">
        <x:v>Standard</x:v>
      </x:c>
      <x:c r="D254" s="16" t="n">
        <x:v>46100</x:v>
      </x:c>
    </x:row>
    <x:row r="255">
      <x:c r="A255" t="n">
        <x:v>10254</x:v>
      </x:c>
      <x:c r="B255" t="n">
        <x:v>254</x:v>
      </x:c>
      <x:c r="C255" t="str">
        <x:v>Business</x:v>
      </x:c>
      <x:c r="D255" s="16" t="n">
        <x:v>46093</x:v>
      </x:c>
    </x:row>
    <x:row r="256">
      <x:c r="A256" t="n">
        <x:v>10255</x:v>
      </x:c>
      <x:c r="B256" t="n">
        <x:v>255</x:v>
      </x:c>
      <x:c r="C256" t="str">
        <x:v>Standard</x:v>
      </x:c>
      <x:c r="D256" s="16" t="n">
        <x:v>46005</x:v>
      </x:c>
    </x:row>
    <x:row r="257">
      <x:c r="A257" t="n">
        <x:v>10256</x:v>
      </x:c>
      <x:c r="B257" t="n">
        <x:v>256</x:v>
      </x:c>
      <x:c r="C257" t="str">
        <x:v>Premium</x:v>
      </x:c>
      <x:c r="D257" s="16" t="n">
        <x:v>45851</x:v>
      </x:c>
    </x:row>
    <x:row r="258">
      <x:c r="A258" t="n">
        <x:v>10257</x:v>
      </x:c>
      <x:c r="B258" t="n">
        <x:v>257</x:v>
      </x:c>
      <x:c r="C258" t="str">
        <x:v>Premium</x:v>
      </x:c>
      <x:c r="D258" s="16" t="n">
        <x:v>45890</x:v>
      </x:c>
    </x:row>
    <x:row r="259">
      <x:c r="A259" t="n">
        <x:v>10258</x:v>
      </x:c>
      <x:c r="B259" t="n">
        <x:v>258</x:v>
      </x:c>
      <x:c r="C259" t="str">
        <x:v>Standard</x:v>
      </x:c>
      <x:c r="D259" s="16" t="n">
        <x:v>45797</x:v>
      </x:c>
    </x:row>
    <x:row r="260">
      <x:c r="A260" t="n">
        <x:v>10259</x:v>
      </x:c>
      <x:c r="B260" t="n">
        <x:v>259</x:v>
      </x:c>
      <x:c r="C260" t="str">
        <x:v>Standard</x:v>
      </x:c>
      <x:c r="D260" s="16" t="n">
        <x:v>46033</x:v>
      </x:c>
    </x:row>
    <x:row r="261">
      <x:c r="A261" t="n">
        <x:v>10260</x:v>
      </x:c>
      <x:c r="B261" t="n">
        <x:v>260</x:v>
      </x:c>
      <x:c r="C261" t="str">
        <x:v>Premium</x:v>
      </x:c>
      <x:c r="D261" s="16" t="n">
        <x:v>45868</x:v>
      </x:c>
    </x:row>
    <x:row r="262">
      <x:c r="A262" t="n">
        <x:v>10261</x:v>
      </x:c>
      <x:c r="B262" t="n">
        <x:v>261</x:v>
      </x:c>
      <x:c r="C262" t="str">
        <x:v>Business</x:v>
      </x:c>
      <x:c r="D262" s="16" t="n">
        <x:v>45786</x:v>
      </x:c>
    </x:row>
    <x:row r="263">
      <x:c r="A263" t="n">
        <x:v>10262</x:v>
      </x:c>
      <x:c r="B263" t="n">
        <x:v>262</x:v>
      </x:c>
      <x:c r="C263" t="str">
        <x:v>Premium</x:v>
      </x:c>
      <x:c r="D263" s="16" t="n">
        <x:v>46055</x:v>
      </x:c>
    </x:row>
    <x:row r="264">
      <x:c r="A264" t="n">
        <x:v>10263</x:v>
      </x:c>
      <x:c r="B264" t="n">
        <x:v>263</x:v>
      </x:c>
      <x:c r="C264" t="str">
        <x:v>Standard</x:v>
      </x:c>
      <x:c r="D264" s="16" t="n">
        <x:v>45708</x:v>
      </x:c>
    </x:row>
    <x:row r="265">
      <x:c r="A265" t="n">
        <x:v>10264</x:v>
      </x:c>
      <x:c r="B265" t="n">
        <x:v>264</x:v>
      </x:c>
      <x:c r="C265" t="str">
        <x:v>Standard</x:v>
      </x:c>
      <x:c r="D265" s="16" t="n">
        <x:v>45919</x:v>
      </x:c>
    </x:row>
    <x:row r="266">
      <x:c r="A266" t="n">
        <x:v>10265</x:v>
      </x:c>
      <x:c r="B266" t="n">
        <x:v>265</x:v>
      </x:c>
      <x:c r="C266" t="str">
        <x:v>Standard</x:v>
      </x:c>
      <x:c r="D266" s="16" t="n">
        <x:v>45875</x:v>
      </x:c>
    </x:row>
    <x:row r="267">
      <x:c r="A267" t="n">
        <x:v>10266</x:v>
      </x:c>
      <x:c r="B267" t="n">
        <x:v>266</x:v>
      </x:c>
      <x:c r="C267" t="str">
        <x:v>Standard</x:v>
      </x:c>
      <x:c r="D267" s="16" t="n">
        <x:v>45950</x:v>
      </x:c>
    </x:row>
    <x:row r="268">
      <x:c r="A268" t="n">
        <x:v>10267</x:v>
      </x:c>
      <x:c r="B268" t="n">
        <x:v>267</x:v>
      </x:c>
      <x:c r="C268" t="str">
        <x:v>Standard</x:v>
      </x:c>
      <x:c r="D268" s="16" t="n">
        <x:v>45792</x:v>
      </x:c>
    </x:row>
    <x:row r="269">
      <x:c r="A269" t="n">
        <x:v>10268</x:v>
      </x:c>
      <x:c r="B269" t="n">
        <x:v>268</x:v>
      </x:c>
      <x:c r="C269" t="str">
        <x:v>Standard</x:v>
      </x:c>
      <x:c r="D269" s="16" t="n">
        <x:v>45845</x:v>
      </x:c>
    </x:row>
    <x:row r="270">
      <x:c r="A270" t="n">
        <x:v>10269</x:v>
      </x:c>
      <x:c r="B270" t="n">
        <x:v>269</x:v>
      </x:c>
      <x:c r="C270" t="str">
        <x:v>Premium</x:v>
      </x:c>
      <x:c r="D270" s="16" t="n">
        <x:v>45746</x:v>
      </x:c>
    </x:row>
    <x:row r="271">
      <x:c r="A271" t="n">
        <x:v>10270</x:v>
      </x:c>
      <x:c r="B271" t="n">
        <x:v>270</x:v>
      </x:c>
      <x:c r="C271" t="str">
        <x:v>Standard</x:v>
      </x:c>
      <x:c r="D271" s="16" t="n">
        <x:v>45802</x:v>
      </x:c>
    </x:row>
    <x:row r="272">
      <x:c r="A272" t="n">
        <x:v>10271</x:v>
      </x:c>
      <x:c r="B272" t="n">
        <x:v>271</x:v>
      </x:c>
      <x:c r="C272" t="str">
        <x:v>Standard</x:v>
      </x:c>
      <x:c r="D272" s="16" t="n">
        <x:v>45920</x:v>
      </x:c>
    </x:row>
    <x:row r="273">
      <x:c r="A273" t="n">
        <x:v>10272</x:v>
      </x:c>
      <x:c r="B273" t="n">
        <x:v>272</x:v>
      </x:c>
      <x:c r="C273" t="str">
        <x:v>Premium</x:v>
      </x:c>
      <x:c r="D273" s="16" t="n">
        <x:v>46033</x:v>
      </x:c>
    </x:row>
    <x:row r="274">
      <x:c r="A274" t="n">
        <x:v>10273</x:v>
      </x:c>
      <x:c r="B274" t="n">
        <x:v>273</x:v>
      </x:c>
      <x:c r="C274" t="str">
        <x:v>Standard</x:v>
      </x:c>
      <x:c r="D274" s="16" t="n">
        <x:v>46012</x:v>
      </x:c>
    </x:row>
    <x:row r="275">
      <x:c r="A275" t="n">
        <x:v>10274</x:v>
      </x:c>
      <x:c r="B275" t="n">
        <x:v>274</x:v>
      </x:c>
      <x:c r="C275" t="str">
        <x:v>Standard</x:v>
      </x:c>
      <x:c r="D275" s="16" t="n">
        <x:v>45775</x:v>
      </x:c>
    </x:row>
    <x:row r="276">
      <x:c r="A276" t="n">
        <x:v>10275</x:v>
      </x:c>
      <x:c r="B276" t="n">
        <x:v>275</x:v>
      </x:c>
      <x:c r="C276" t="str">
        <x:v>Standard</x:v>
      </x:c>
      <x:c r="D276" s="16" t="n">
        <x:v>45814</x:v>
      </x:c>
    </x:row>
    <x:row r="277">
      <x:c r="A277" t="n">
        <x:v>10276</x:v>
      </x:c>
      <x:c r="B277" t="n">
        <x:v>276</x:v>
      </x:c>
      <x:c r="C277" t="str">
        <x:v>Premium</x:v>
      </x:c>
      <x:c r="D277" s="16" t="n">
        <x:v>45823</x:v>
      </x:c>
    </x:row>
    <x:row r="278">
      <x:c r="A278" t="n">
        <x:v>10277</x:v>
      </x:c>
      <x:c r="B278" t="n">
        <x:v>277</x:v>
      </x:c>
      <x:c r="C278" t="str">
        <x:v>Standard</x:v>
      </x:c>
      <x:c r="D278" s="16" t="n">
        <x:v>46086</x:v>
      </x:c>
    </x:row>
    <x:row r="279">
      <x:c r="A279" t="n">
        <x:v>10278</x:v>
      </x:c>
      <x:c r="B279" t="n">
        <x:v>278</x:v>
      </x:c>
      <x:c r="C279" t="str">
        <x:v>Premium</x:v>
      </x:c>
      <x:c r="D279" s="16" t="n">
        <x:v>45821</x:v>
      </x:c>
    </x:row>
    <x:row r="280">
      <x:c r="A280" t="n">
        <x:v>10279</x:v>
      </x:c>
      <x:c r="B280" t="n">
        <x:v>279</x:v>
      </x:c>
      <x:c r="C280" t="str">
        <x:v>Standard</x:v>
      </x:c>
      <x:c r="D280" s="16" t="n">
        <x:v>45917</x:v>
      </x:c>
    </x:row>
    <x:row r="281">
      <x:c r="A281" t="n">
        <x:v>10280</x:v>
      </x:c>
      <x:c r="B281" t="n">
        <x:v>280</x:v>
      </x:c>
      <x:c r="C281" t="str">
        <x:v>Standard</x:v>
      </x:c>
      <x:c r="D281" s="16" t="n">
        <x:v>45973</x:v>
      </x:c>
    </x:row>
    <x:row r="282">
      <x:c r="A282" t="n">
        <x:v>10281</x:v>
      </x:c>
      <x:c r="B282" t="n">
        <x:v>281</x:v>
      </x:c>
      <x:c r="C282" t="str">
        <x:v>Standard</x:v>
      </x:c>
      <x:c r="D282" s="16" t="n">
        <x:v>45915</x:v>
      </x:c>
    </x:row>
    <x:row r="283">
      <x:c r="A283" t="n">
        <x:v>10282</x:v>
      </x:c>
      <x:c r="B283" t="n">
        <x:v>282</x:v>
      </x:c>
      <x:c r="C283" t="str">
        <x:v>Premium</x:v>
      </x:c>
      <x:c r="D283" s="16" t="n">
        <x:v>45923</x:v>
      </x:c>
    </x:row>
    <x:row r="284">
      <x:c r="A284" t="n">
        <x:v>10283</x:v>
      </x:c>
      <x:c r="B284" t="n">
        <x:v>283</x:v>
      </x:c>
      <x:c r="C284" t="str">
        <x:v>Standard</x:v>
      </x:c>
      <x:c r="D284" s="16" t="n">
        <x:v>45985</x:v>
      </x:c>
    </x:row>
    <x:row r="285">
      <x:c r="A285" t="n">
        <x:v>10284</x:v>
      </x:c>
      <x:c r="B285" t="n">
        <x:v>284</x:v>
      </x:c>
      <x:c r="C285" t="str">
        <x:v>Standard</x:v>
      </x:c>
      <x:c r="D285" s="16" t="n">
        <x:v>45983</x:v>
      </x:c>
    </x:row>
    <x:row r="286">
      <x:c r="A286" t="n">
        <x:v>10285</x:v>
      </x:c>
      <x:c r="B286" t="n">
        <x:v>285</x:v>
      </x:c>
      <x:c r="C286" t="str">
        <x:v>Premium</x:v>
      </x:c>
      <x:c r="D286" s="16" t="n">
        <x:v>46106</x:v>
      </x:c>
    </x:row>
    <x:row r="287">
      <x:c r="A287" t="n">
        <x:v>10286</x:v>
      </x:c>
      <x:c r="B287" t="n">
        <x:v>286</x:v>
      </x:c>
      <x:c r="C287" t="str">
        <x:v>Business</x:v>
      </x:c>
      <x:c r="D287" s="16" t="n">
        <x:v>45795</x:v>
      </x:c>
    </x:row>
    <x:row r="288">
      <x:c r="A288" t="n">
        <x:v>10287</x:v>
      </x:c>
      <x:c r="B288" t="n">
        <x:v>287</x:v>
      </x:c>
      <x:c r="C288" t="str">
        <x:v>Standard</x:v>
      </x:c>
      <x:c r="D288" s="16" t="n">
        <x:v>45879</x:v>
      </x:c>
    </x:row>
    <x:row r="289">
      <x:c r="A289" t="n">
        <x:v>10288</x:v>
      </x:c>
      <x:c r="B289" t="n">
        <x:v>288</x:v>
      </x:c>
      <x:c r="C289" t="str">
        <x:v>Standard</x:v>
      </x:c>
      <x:c r="D289" s="16" t="n">
        <x:v>45985</x:v>
      </x:c>
    </x:row>
    <x:row r="290">
      <x:c r="A290" t="n">
        <x:v>10289</x:v>
      </x:c>
      <x:c r="B290" t="n">
        <x:v>289</x:v>
      </x:c>
      <x:c r="C290" t="str">
        <x:v>Standard</x:v>
      </x:c>
      <x:c r="D290" s="16" t="n">
        <x:v>45891</x:v>
      </x:c>
    </x:row>
    <x:row r="291">
      <x:c r="A291" t="n">
        <x:v>10290</x:v>
      </x:c>
      <x:c r="B291" t="n">
        <x:v>290</x:v>
      </x:c>
      <x:c r="C291" t="str">
        <x:v>Standard</x:v>
      </x:c>
      <x:c r="D291" s="16" t="n">
        <x:v>45937</x:v>
      </x:c>
    </x:row>
    <x:row r="292">
      <x:c r="A292" t="n">
        <x:v>10291</x:v>
      </x:c>
      <x:c r="B292" t="n">
        <x:v>291</x:v>
      </x:c>
      <x:c r="C292" t="str">
        <x:v>Premium</x:v>
      </x:c>
      <x:c r="D292" s="16" t="n">
        <x:v>45748</x:v>
      </x:c>
    </x:row>
    <x:row r="293">
      <x:c r="A293" t="n">
        <x:v>10292</x:v>
      </x:c>
      <x:c r="B293" t="n">
        <x:v>292</x:v>
      </x:c>
      <x:c r="C293" t="str">
        <x:v>Premium</x:v>
      </x:c>
      <x:c r="D293" s="16" t="n">
        <x:v>45786</x:v>
      </x:c>
    </x:row>
    <x:row r="294">
      <x:c r="A294" t="n">
        <x:v>10293</x:v>
      </x:c>
      <x:c r="B294" t="n">
        <x:v>293</x:v>
      </x:c>
      <x:c r="C294" t="str">
        <x:v>Premium</x:v>
      </x:c>
      <x:c r="D294" s="16" t="n">
        <x:v>45836</x:v>
      </x:c>
    </x:row>
    <x:row r="295">
      <x:c r="A295" t="n">
        <x:v>10294</x:v>
      </x:c>
      <x:c r="B295" t="n">
        <x:v>294</x:v>
      </x:c>
      <x:c r="C295" t="str">
        <x:v>Standard</x:v>
      </x:c>
      <x:c r="D295" s="16" t="n">
        <x:v>45714</x:v>
      </x:c>
    </x:row>
    <x:row r="296">
      <x:c r="A296" t="n">
        <x:v>10295</x:v>
      </x:c>
      <x:c r="B296" t="n">
        <x:v>295</x:v>
      </x:c>
      <x:c r="C296" t="str">
        <x:v>Business</x:v>
      </x:c>
      <x:c r="D296" s="16" t="n">
        <x:v>45826</x:v>
      </x:c>
    </x:row>
    <x:row r="297">
      <x:c r="A297" t="n">
        <x:v>10296</x:v>
      </x:c>
      <x:c r="B297" t="n">
        <x:v>296</x:v>
      </x:c>
      <x:c r="C297" t="str">
        <x:v>Standard</x:v>
      </x:c>
      <x:c r="D297" s="16" t="n">
        <x:v>45671</x:v>
      </x:c>
    </x:row>
    <x:row r="298">
      <x:c r="A298" t="n">
        <x:v>10297</x:v>
      </x:c>
      <x:c r="B298" t="n">
        <x:v>297</x:v>
      </x:c>
      <x:c r="C298" t="str">
        <x:v>Standard</x:v>
      </x:c>
      <x:c r="D298" s="16" t="n">
        <x:v>45699</x:v>
      </x:c>
    </x:row>
    <x:row r="299">
      <x:c r="A299" t="n">
        <x:v>10298</x:v>
      </x:c>
      <x:c r="B299" t="n">
        <x:v>298</x:v>
      </x:c>
      <x:c r="C299" t="str">
        <x:v>Standard</x:v>
      </x:c>
      <x:c r="D299" s="16" t="n">
        <x:v>46081</x:v>
      </x:c>
    </x:row>
    <x:row r="300">
      <x:c r="A300" t="n">
        <x:v>10299</x:v>
      </x:c>
      <x:c r="B300" t="n">
        <x:v>299</x:v>
      </x:c>
      <x:c r="C300" t="str">
        <x:v>Premium</x:v>
      </x:c>
      <x:c r="D300" s="16" t="n">
        <x:v>45953</x:v>
      </x:c>
    </x:row>
    <x:row r="301">
      <x:c r="A301" t="n">
        <x:v>10300</x:v>
      </x:c>
      <x:c r="B301" t="n">
        <x:v>300</x:v>
      </x:c>
      <x:c r="C301" t="str">
        <x:v>Standard</x:v>
      </x:c>
      <x:c r="D301" s="16" t="n">
        <x:v>46038</x:v>
      </x:c>
    </x:row>
    <x:row r="302">
      <x:c r="A302" t="n">
        <x:v>10301</x:v>
      </x:c>
      <x:c r="B302" t="n">
        <x:v>301</x:v>
      </x:c>
      <x:c r="C302" t="str">
        <x:v>Standard</x:v>
      </x:c>
      <x:c r="D302" s="16" t="n">
        <x:v>46092</x:v>
      </x:c>
    </x:row>
    <x:row r="303">
      <x:c r="A303" t="n">
        <x:v>10302</x:v>
      </x:c>
      <x:c r="B303" t="n">
        <x:v>302</x:v>
      </x:c>
      <x:c r="C303" t="str">
        <x:v>Standard</x:v>
      </x:c>
      <x:c r="D303" s="16" t="n">
        <x:v>45787</x:v>
      </x:c>
    </x:row>
    <x:row r="304">
      <x:c r="A304" t="n">
        <x:v>10303</x:v>
      </x:c>
      <x:c r="B304" t="n">
        <x:v>303</x:v>
      </x:c>
      <x:c r="C304" t="str">
        <x:v>Standard</x:v>
      </x:c>
      <x:c r="D304" s="16" t="n">
        <x:v>45765</x:v>
      </x:c>
    </x:row>
    <x:row r="305">
      <x:c r="A305" t="n">
        <x:v>10304</x:v>
      </x:c>
      <x:c r="B305" t="n">
        <x:v>304</x:v>
      </x:c>
      <x:c r="C305" t="str">
        <x:v>Premium</x:v>
      </x:c>
      <x:c r="D305" s="16" t="n">
        <x:v>45984</x:v>
      </x:c>
    </x:row>
    <x:row r="306">
      <x:c r="A306" t="n">
        <x:v>10305</x:v>
      </x:c>
      <x:c r="B306" t="n">
        <x:v>305</x:v>
      </x:c>
      <x:c r="C306" t="str">
        <x:v>Business</x:v>
      </x:c>
      <x:c r="D306" s="16" t="n">
        <x:v>45785</x:v>
      </x:c>
    </x:row>
    <x:row r="307">
      <x:c r="A307" t="n">
        <x:v>10306</x:v>
      </x:c>
      <x:c r="B307" t="n">
        <x:v>306</x:v>
      </x:c>
      <x:c r="C307" t="str">
        <x:v>Standard</x:v>
      </x:c>
      <x:c r="D307" s="16" t="n">
        <x:v>45693</x:v>
      </x:c>
    </x:row>
    <x:row r="308">
      <x:c r="A308" t="n">
        <x:v>10307</x:v>
      </x:c>
      <x:c r="B308" t="n">
        <x:v>307</x:v>
      </x:c>
      <x:c r="C308" t="str">
        <x:v>Premium</x:v>
      </x:c>
      <x:c r="D308" s="16" t="n">
        <x:v>45853</x:v>
      </x:c>
    </x:row>
    <x:row r="309">
      <x:c r="A309" t="n">
        <x:v>10308</x:v>
      </x:c>
      <x:c r="B309" t="n">
        <x:v>308</x:v>
      </x:c>
      <x:c r="C309" t="str">
        <x:v>Premium</x:v>
      </x:c>
      <x:c r="D309" s="16" t="n">
        <x:v>45884</x:v>
      </x:c>
    </x:row>
    <x:row r="310">
      <x:c r="A310" t="n">
        <x:v>10309</x:v>
      </x:c>
      <x:c r="B310" t="n">
        <x:v>309</x:v>
      </x:c>
      <x:c r="C310" t="str">
        <x:v>Standard</x:v>
      </x:c>
      <x:c r="D310" s="16" t="n">
        <x:v>46042</x:v>
      </x:c>
    </x:row>
    <x:row r="311">
      <x:c r="A311" t="n">
        <x:v>10310</x:v>
      </x:c>
      <x:c r="B311" t="n">
        <x:v>310</x:v>
      </x:c>
      <x:c r="C311" t="str">
        <x:v>Standard</x:v>
      </x:c>
      <x:c r="D311" s="16" t="n">
        <x:v>45680</x:v>
      </x:c>
    </x:row>
    <x:row r="312">
      <x:c r="A312" t="n">
        <x:v>10311</x:v>
      </x:c>
      <x:c r="B312" t="n">
        <x:v>311</x:v>
      </x:c>
      <x:c r="C312" t="str">
        <x:v>Standard</x:v>
      </x:c>
      <x:c r="D312" s="16" t="n">
        <x:v>45882</x:v>
      </x:c>
    </x:row>
    <x:row r="313">
      <x:c r="A313" t="n">
        <x:v>10312</x:v>
      </x:c>
      <x:c r="B313" t="n">
        <x:v>312</x:v>
      </x:c>
      <x:c r="C313" t="str">
        <x:v>Premium</x:v>
      </x:c>
      <x:c r="D313" s="16" t="n">
        <x:v>45794</x:v>
      </x:c>
    </x:row>
    <x:row r="314">
      <x:c r="A314" t="n">
        <x:v>10313</x:v>
      </x:c>
      <x:c r="B314" t="n">
        <x:v>313</x:v>
      </x:c>
      <x:c r="C314" t="str">
        <x:v>Standard</x:v>
      </x:c>
      <x:c r="D314" s="16" t="n">
        <x:v>45938</x:v>
      </x:c>
    </x:row>
    <x:row r="315">
      <x:c r="A315" t="n">
        <x:v>10314</x:v>
      </x:c>
      <x:c r="B315" t="n">
        <x:v>314</x:v>
      </x:c>
      <x:c r="C315" t="str">
        <x:v>Premium</x:v>
      </x:c>
      <x:c r="D315" s="16" t="n">
        <x:v>45871</x:v>
      </x:c>
    </x:row>
    <x:row r="316">
      <x:c r="A316" t="n">
        <x:v>10315</x:v>
      </x:c>
      <x:c r="B316" t="n">
        <x:v>315</x:v>
      </x:c>
      <x:c r="C316" t="str">
        <x:v>Premium</x:v>
      </x:c>
      <x:c r="D316" s="16" t="n">
        <x:v>45785</x:v>
      </x:c>
    </x:row>
    <x:row r="317">
      <x:c r="A317" t="n">
        <x:v>10316</x:v>
      </x:c>
      <x:c r="B317" t="n">
        <x:v>316</x:v>
      </x:c>
      <x:c r="C317" t="str">
        <x:v>Standard</x:v>
      </x:c>
      <x:c r="D317" s="16" t="n">
        <x:v>45842</x:v>
      </x:c>
    </x:row>
    <x:row r="318">
      <x:c r="A318" t="n">
        <x:v>10317</x:v>
      </x:c>
      <x:c r="B318" t="n">
        <x:v>317</x:v>
      </x:c>
      <x:c r="C318" t="str">
        <x:v>Premium</x:v>
      </x:c>
      <x:c r="D318" s="16" t="n">
        <x:v>45839</x:v>
      </x:c>
    </x:row>
    <x:row r="319">
      <x:c r="A319" t="n">
        <x:v>10318</x:v>
      </x:c>
      <x:c r="B319" t="n">
        <x:v>318</x:v>
      </x:c>
      <x:c r="C319" t="str">
        <x:v>Standard</x:v>
      </x:c>
      <x:c r="D319" s="16" t="n">
        <x:v>45672</x:v>
      </x:c>
    </x:row>
    <x:row r="320">
      <x:c r="A320" t="n">
        <x:v>10319</x:v>
      </x:c>
      <x:c r="B320" t="n">
        <x:v>319</x:v>
      </x:c>
      <x:c r="C320" t="str">
        <x:v>Standard</x:v>
      </x:c>
      <x:c r="D320" s="16" t="n">
        <x:v>45847</x:v>
      </x:c>
    </x:row>
    <x:row r="321">
      <x:c r="A321" t="n">
        <x:v>10320</x:v>
      </x:c>
      <x:c r="B321" t="n">
        <x:v>320</x:v>
      </x:c>
      <x:c r="C321" t="str">
        <x:v>Premium</x:v>
      </x:c>
      <x:c r="D321" s="16" t="n">
        <x:v>45713</x:v>
      </x:c>
    </x:row>
    <x:row r="322">
      <x:c r="A322" t="n">
        <x:v>10321</x:v>
      </x:c>
      <x:c r="B322" t="n">
        <x:v>321</x:v>
      </x:c>
      <x:c r="C322" t="str">
        <x:v>Premium</x:v>
      </x:c>
      <x:c r="D322" s="16" t="n">
        <x:v>45829</x:v>
      </x:c>
    </x:row>
    <x:row r="323">
      <x:c r="A323" t="n">
        <x:v>10322</x:v>
      </x:c>
      <x:c r="B323" t="n">
        <x:v>322</x:v>
      </x:c>
      <x:c r="C323" t="str">
        <x:v>Standard</x:v>
      </x:c>
      <x:c r="D323" s="16" t="n">
        <x:v>46058</x:v>
      </x:c>
    </x:row>
    <x:row r="324">
      <x:c r="A324" t="n">
        <x:v>10323</x:v>
      </x:c>
      <x:c r="B324" t="n">
        <x:v>323</x:v>
      </x:c>
      <x:c r="C324" t="str">
        <x:v>Standard</x:v>
      </x:c>
      <x:c r="D324" s="16" t="n">
        <x:v>45689</x:v>
      </x:c>
    </x:row>
    <x:row r="325">
      <x:c r="A325" t="n">
        <x:v>10324</x:v>
      </x:c>
      <x:c r="B325" t="n">
        <x:v>324</x:v>
      </x:c>
      <x:c r="C325" t="str">
        <x:v>Standard</x:v>
      </x:c>
      <x:c r="D325" s="16" t="n">
        <x:v>45899</x:v>
      </x:c>
    </x:row>
    <x:row r="326">
      <x:c r="A326" t="n">
        <x:v>10325</x:v>
      </x:c>
      <x:c r="B326" t="n">
        <x:v>325</x:v>
      </x:c>
      <x:c r="C326" t="str">
        <x:v>Standard</x:v>
      </x:c>
      <x:c r="D326" s="16" t="n">
        <x:v>45914</x:v>
      </x:c>
    </x:row>
    <x:row r="327">
      <x:c r="A327" t="n">
        <x:v>10326</x:v>
      </x:c>
      <x:c r="B327" t="n">
        <x:v>326</x:v>
      </x:c>
      <x:c r="C327" t="str">
        <x:v>Business</x:v>
      </x:c>
      <x:c r="D327" s="16" t="n">
        <x:v>45802</x:v>
      </x:c>
    </x:row>
    <x:row r="328">
      <x:c r="A328" t="n">
        <x:v>10327</x:v>
      </x:c>
      <x:c r="B328" t="n">
        <x:v>327</x:v>
      </x:c>
      <x:c r="C328" t="str">
        <x:v>Standard</x:v>
      </x:c>
      <x:c r="D328" s="16" t="n">
        <x:v>46090</x:v>
      </x:c>
    </x:row>
    <x:row r="329">
      <x:c r="A329" t="n">
        <x:v>10328</x:v>
      </x:c>
      <x:c r="B329" t="n">
        <x:v>328</x:v>
      </x:c>
      <x:c r="C329" t="str">
        <x:v>Premium</x:v>
      </x:c>
      <x:c r="D329" s="16" t="n">
        <x:v>45816</x:v>
      </x:c>
    </x:row>
    <x:row r="330">
      <x:c r="A330" t="n">
        <x:v>10329</x:v>
      </x:c>
      <x:c r="B330" t="n">
        <x:v>329</x:v>
      </x:c>
      <x:c r="C330" t="str">
        <x:v>Standard</x:v>
      </x:c>
      <x:c r="D330" s="16" t="n">
        <x:v>45988</x:v>
      </x:c>
    </x:row>
    <x:row r="331">
      <x:c r="A331" t="n">
        <x:v>10330</x:v>
      </x:c>
      <x:c r="B331" t="n">
        <x:v>330</x:v>
      </x:c>
      <x:c r="C331" t="str">
        <x:v>Premium</x:v>
      </x:c>
      <x:c r="D331" s="16" t="n">
        <x:v>46075</x:v>
      </x:c>
    </x:row>
    <x:row r="332">
      <x:c r="A332" t="n">
        <x:v>10331</x:v>
      </x:c>
      <x:c r="B332" t="n">
        <x:v>331</x:v>
      </x:c>
      <x:c r="C332" t="str">
        <x:v>Standard</x:v>
      </x:c>
      <x:c r="D332" s="16" t="n">
        <x:v>45881</x:v>
      </x:c>
    </x:row>
    <x:row r="333">
      <x:c r="A333" t="n">
        <x:v>10332</x:v>
      </x:c>
      <x:c r="B333" t="n">
        <x:v>332</x:v>
      </x:c>
      <x:c r="C333" t="str">
        <x:v>Premium</x:v>
      </x:c>
      <x:c r="D333" s="16" t="n">
        <x:v>46017</x:v>
      </x:c>
    </x:row>
    <x:row r="334">
      <x:c r="A334" t="n">
        <x:v>10333</x:v>
      </x:c>
      <x:c r="B334" t="n">
        <x:v>333</x:v>
      </x:c>
      <x:c r="C334" t="str">
        <x:v>Standard</x:v>
      </x:c>
      <x:c r="D334" s="16" t="n">
        <x:v>45729</x:v>
      </x:c>
    </x:row>
    <x:row r="335">
      <x:c r="A335" t="n">
        <x:v>10334</x:v>
      </x:c>
      <x:c r="B335" t="n">
        <x:v>334</x:v>
      </x:c>
      <x:c r="C335" t="str">
        <x:v>Standard</x:v>
      </x:c>
      <x:c r="D335" s="16" t="n">
        <x:v>45950</x:v>
      </x:c>
    </x:row>
    <x:row r="336">
      <x:c r="A336" t="n">
        <x:v>10335</x:v>
      </x:c>
      <x:c r="B336" t="n">
        <x:v>335</x:v>
      </x:c>
      <x:c r="C336" t="str">
        <x:v>Premium</x:v>
      </x:c>
      <x:c r="D336" s="16" t="n">
        <x:v>45741</x:v>
      </x:c>
    </x:row>
    <x:row r="337">
      <x:c r="A337" t="n">
        <x:v>10336</x:v>
      </x:c>
      <x:c r="B337" t="n">
        <x:v>336</x:v>
      </x:c>
      <x:c r="C337" t="str">
        <x:v>Premium</x:v>
      </x:c>
      <x:c r="D337" s="16" t="n">
        <x:v>45720</x:v>
      </x:c>
    </x:row>
    <x:row r="338">
      <x:c r="A338" t="n">
        <x:v>10337</x:v>
      </x:c>
      <x:c r="B338" t="n">
        <x:v>337</x:v>
      </x:c>
      <x:c r="C338" t="str">
        <x:v>Standard</x:v>
      </x:c>
      <x:c r="D338" s="16" t="n">
        <x:v>45675</x:v>
      </x:c>
    </x:row>
    <x:row r="339">
      <x:c r="A339" t="n">
        <x:v>10338</x:v>
      </x:c>
      <x:c r="B339" t="n">
        <x:v>338</x:v>
      </x:c>
      <x:c r="C339" t="str">
        <x:v>Premium</x:v>
      </x:c>
      <x:c r="D339" s="16" t="n">
        <x:v>45947</x:v>
      </x:c>
    </x:row>
    <x:row r="340">
      <x:c r="A340" t="n">
        <x:v>10339</x:v>
      </x:c>
      <x:c r="B340" t="n">
        <x:v>339</x:v>
      </x:c>
      <x:c r="C340" t="str">
        <x:v>Standard</x:v>
      </x:c>
      <x:c r="D340" s="16" t="n">
        <x:v>45781</x:v>
      </x:c>
    </x:row>
    <x:row r="341">
      <x:c r="A341" t="n">
        <x:v>10340</x:v>
      </x:c>
      <x:c r="B341" t="n">
        <x:v>340</x:v>
      </x:c>
      <x:c r="C341" t="str">
        <x:v>Standard</x:v>
      </x:c>
      <x:c r="D341" s="16" t="n">
        <x:v>45788</x:v>
      </x:c>
    </x:row>
    <x:row r="342">
      <x:c r="A342" t="n">
        <x:v>10341</x:v>
      </x:c>
      <x:c r="B342" t="n">
        <x:v>341</x:v>
      </x:c>
      <x:c r="C342" t="str">
        <x:v>Premium</x:v>
      </x:c>
      <x:c r="D342" s="16" t="n">
        <x:v>45710</x:v>
      </x:c>
    </x:row>
    <x:row r="343">
      <x:c r="A343" t="n">
        <x:v>10342</x:v>
      </x:c>
      <x:c r="B343" t="n">
        <x:v>342</x:v>
      </x:c>
      <x:c r="C343" t="str">
        <x:v>Standard</x:v>
      </x:c>
      <x:c r="D343" s="16" t="n">
        <x:v>45809</x:v>
      </x:c>
    </x:row>
    <x:row r="344">
      <x:c r="A344" t="n">
        <x:v>10343</x:v>
      </x:c>
      <x:c r="B344" t="n">
        <x:v>343</x:v>
      </x:c>
      <x:c r="C344" t="str">
        <x:v>Standard</x:v>
      </x:c>
      <x:c r="D344" s="16" t="n">
        <x:v>45773</x:v>
      </x:c>
    </x:row>
    <x:row r="345">
      <x:c r="A345" t="n">
        <x:v>10344</x:v>
      </x:c>
      <x:c r="B345" t="n">
        <x:v>344</x:v>
      </x:c>
      <x:c r="C345" t="str">
        <x:v>Business</x:v>
      </x:c>
      <x:c r="D345" s="16" t="n">
        <x:v>45852</x:v>
      </x:c>
    </x:row>
    <x:row r="346">
      <x:c r="A346" t="n">
        <x:v>10345</x:v>
      </x:c>
      <x:c r="B346" t="n">
        <x:v>345</x:v>
      </x:c>
      <x:c r="C346" t="str">
        <x:v>Standard</x:v>
      </x:c>
      <x:c r="D346" s="16" t="n">
        <x:v>45934</x:v>
      </x:c>
    </x:row>
    <x:row r="347">
      <x:c r="A347" t="n">
        <x:v>10346</x:v>
      </x:c>
      <x:c r="B347" t="n">
        <x:v>346</x:v>
      </x:c>
      <x:c r="C347" t="str">
        <x:v>Standard</x:v>
      </x:c>
      <x:c r="D347" s="16" t="n">
        <x:v>45957</x:v>
      </x:c>
    </x:row>
    <x:row r="348">
      <x:c r="A348" t="n">
        <x:v>10347</x:v>
      </x:c>
      <x:c r="B348" t="n">
        <x:v>347</x:v>
      </x:c>
      <x:c r="C348" t="str">
        <x:v>Standard</x:v>
      </x:c>
      <x:c r="D348" s="16" t="n">
        <x:v>45753</x:v>
      </x:c>
    </x:row>
    <x:row r="349">
      <x:c r="A349" t="n">
        <x:v>10348</x:v>
      </x:c>
      <x:c r="B349" t="n">
        <x:v>348</x:v>
      </x:c>
      <x:c r="C349" t="str">
        <x:v>Standard</x:v>
      </x:c>
      <x:c r="D349" s="16" t="n">
        <x:v>45905</x:v>
      </x:c>
    </x:row>
    <x:row r="350">
      <x:c r="A350" t="n">
        <x:v>10349</x:v>
      </x:c>
      <x:c r="B350" t="n">
        <x:v>349</x:v>
      </x:c>
      <x:c r="C350" t="str">
        <x:v>Business</x:v>
      </x:c>
      <x:c r="D350" s="16" t="n">
        <x:v>45894</x:v>
      </x:c>
    </x:row>
    <x:row r="351">
      <x:c r="A351" t="n">
        <x:v>10350</x:v>
      </x:c>
      <x:c r="B351" t="n">
        <x:v>350</x:v>
      </x:c>
      <x:c r="C351" t="str">
        <x:v>Business</x:v>
      </x:c>
      <x:c r="D351" s="16" t="n">
        <x:v>45840</x:v>
      </x:c>
    </x:row>
    <x:row r="352">
      <x:c r="A352" t="n">
        <x:v>10351</x:v>
      </x:c>
      <x:c r="B352" t="n">
        <x:v>351</x:v>
      </x:c>
      <x:c r="C352" t="str">
        <x:v>Standard</x:v>
      </x:c>
      <x:c r="D352" s="16" t="n">
        <x:v>45677</x:v>
      </x:c>
    </x:row>
    <x:row r="353">
      <x:c r="A353" t="n">
        <x:v>10352</x:v>
      </x:c>
      <x:c r="B353" t="n">
        <x:v>352</x:v>
      </x:c>
      <x:c r="C353" t="str">
        <x:v>Standard</x:v>
      </x:c>
      <x:c r="D353" s="16" t="n">
        <x:v>45830</x:v>
      </x:c>
    </x:row>
    <x:row r="354">
      <x:c r="A354" t="n">
        <x:v>10353</x:v>
      </x:c>
      <x:c r="B354" t="n">
        <x:v>353</x:v>
      </x:c>
      <x:c r="C354" t="str">
        <x:v>Standard</x:v>
      </x:c>
      <x:c r="D354" s="16" t="n">
        <x:v>46046</x:v>
      </x:c>
    </x:row>
    <x:row r="355">
      <x:c r="A355" t="n">
        <x:v>10354</x:v>
      </x:c>
      <x:c r="B355" t="n">
        <x:v>354</x:v>
      </x:c>
      <x:c r="C355" t="str">
        <x:v>Standard</x:v>
      </x:c>
      <x:c r="D355" s="16" t="n">
        <x:v>46035</x:v>
      </x:c>
    </x:row>
    <x:row r="356">
      <x:c r="A356" t="n">
        <x:v>10355</x:v>
      </x:c>
      <x:c r="B356" t="n">
        <x:v>355</x:v>
      </x:c>
      <x:c r="C356" t="str">
        <x:v>Standard</x:v>
      </x:c>
      <x:c r="D356" s="16" t="n">
        <x:v>45825</x:v>
      </x:c>
    </x:row>
    <x:row r="357">
      <x:c r="A357" t="n">
        <x:v>10356</x:v>
      </x:c>
      <x:c r="B357" t="n">
        <x:v>356</x:v>
      </x:c>
      <x:c r="C357" t="str">
        <x:v>Standard</x:v>
      </x:c>
      <x:c r="D357" s="16" t="n">
        <x:v>46065</x:v>
      </x:c>
    </x:row>
    <x:row r="358">
      <x:c r="A358" t="n">
        <x:v>10357</x:v>
      </x:c>
      <x:c r="B358" t="n">
        <x:v>357</x:v>
      </x:c>
      <x:c r="C358" t="str">
        <x:v>Premium</x:v>
      </x:c>
      <x:c r="D358" s="16" t="n">
        <x:v>46022</x:v>
      </x:c>
    </x:row>
    <x:row r="359">
      <x:c r="A359" t="n">
        <x:v>10358</x:v>
      </x:c>
      <x:c r="B359" t="n">
        <x:v>358</x:v>
      </x:c>
      <x:c r="C359" t="str">
        <x:v>Standard</x:v>
      </x:c>
      <x:c r="D359" s="16" t="n">
        <x:v>45898</x:v>
      </x:c>
    </x:row>
    <x:row r="360">
      <x:c r="A360" t="n">
        <x:v>10359</x:v>
      </x:c>
      <x:c r="B360" t="n">
        <x:v>359</x:v>
      </x:c>
      <x:c r="C360" t="str">
        <x:v>Premium</x:v>
      </x:c>
      <x:c r="D360" s="16" t="n">
        <x:v>45956</x:v>
      </x:c>
    </x:row>
    <x:row r="361">
      <x:c r="A361" t="n">
        <x:v>10360</x:v>
      </x:c>
      <x:c r="B361" t="n">
        <x:v>360</x:v>
      </x:c>
      <x:c r="C361" t="str">
        <x:v>Standard</x:v>
      </x:c>
      <x:c r="D361" s="16" t="n">
        <x:v>45786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2" hidden="0" customWidth="1"/>
    <x:col min="15" max="15" width="17" hidden="0" customWidth="1"/>
  </x:cols>
  <x:sheetData>
    <x:row r="1" ht="29" customHeight="1">
      <x:c r="A1" s="12" t="str">
        <x:v>transaction_id</x:v>
      </x:c>
      <x:c r="B1" s="12" t="str">
        <x:v>account_id</x:v>
      </x:c>
      <x:c r="C1" s="12" t="str">
        <x:v>transaction_date</x:v>
      </x:c>
      <x:c r="D1" s="12" t="str">
        <x:v>transaction_time</x:v>
      </x:c>
      <x:c r="E1" s="12" t="str">
        <x:v>channel</x:v>
      </x:c>
      <x:c r="F1" s="12" t="str">
        <x:v>merchant_category</x:v>
      </x:c>
      <x:c r="G1" s="12" t="str">
        <x:v>amount_usd</x:v>
      </x:c>
      <x:c r="H1" s="12" t="str">
        <x:v>is_cross_border</x:v>
      </x:c>
      <x:c r="I1" s="12" t="str">
        <x:v>is_new_device</x:v>
      </x:c>
      <x:c r="J1" s="12" t="str">
        <x:v>is_high_value</x:v>
      </x:c>
      <x:c r="K1" s="12" t="str">
        <x:v>is_odd_hour</x:v>
      </x:c>
      <x:c r="L1" s="12" t="str">
        <x:v>risk_score</x:v>
      </x:c>
      <x:c r="M1" s="12" t="str">
        <x:v>is_flagged</x:v>
      </x:c>
      <x:c r="N1" s="12" t="str">
        <x:v>transaction_status</x:v>
      </x:c>
      <x:c r="O1" s="12" t="str">
        <x:v>confirmed_fraud</x:v>
      </x:c>
      <x:c r="P1" s="11" t="str">
        <x:v>Risk Band - Excel IF</x:v>
      </x:c>
    </x:row>
    <x:row r="2">
      <x:c r="A2" t="n">
        <x:v>1</x:v>
      </x:c>
      <x:c r="B2" t="n">
        <x:v>10027</x:v>
      </x:c>
      <x:c r="C2" s="16" t="n">
        <x:v>46214</x:v>
      </x:c>
      <x:c r="D2" t="str">
        <x:v>05:38:00</x:v>
      </x:c>
      <x:c r="E2" t="str">
        <x:v>Bank Transfer</x:v>
      </x:c>
      <x:c r="F2" t="str">
        <x:v>Transfer</x:v>
      </x:c>
      <x:c r="G2" s="18" t="n">
        <x:v>40.82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10</x:v>
      </x:c>
      <x:c r="M2" t="n">
        <x:v>0</x:v>
      </x:c>
      <x:c r="N2" t="str">
        <x:v>Declined</x:v>
      </x:c>
      <x:c r="O2" t="n">
        <x:v>0</x:v>
      </x:c>
      <x:c r="P2" t="str">
        <x:f>IF(L2&gt;=75,"High",IF(L2&gt;=55,"Medium","Low"))</x:f>
        <x:v>Low</x:v>
      </x:c>
    </x:row>
    <x:row r="3">
      <x:c r="A3" t="n">
        <x:v>2</x:v>
      </x:c>
      <x:c r="B3" t="n">
        <x:v>10159</x:v>
      </x:c>
      <x:c r="C3" s="16" t="n">
        <x:v>46157</x:v>
      </x:c>
      <x:c r="D3" t="str">
        <x:v>02:47:00</x:v>
      </x:c>
      <x:c r="E3" t="str">
        <x:v>Card</x:v>
      </x:c>
      <x:c r="F3" t="str">
        <x:v>Transfer</x:v>
      </x:c>
      <x:c r="G3" s="18" t="n">
        <x:v>52.97</x:v>
      </x:c>
      <x:c r="H3" t="n">
        <x:v>1</x:v>
      </x:c>
      <x:c r="I3" t="n">
        <x:v>0</x:v>
      </x:c>
      <x:c r="J3" t="n">
        <x:v>0</x:v>
      </x:c>
      <x:c r="K3" t="n">
        <x:v>1</x:v>
      </x:c>
      <x:c r="L3" t="n">
        <x:v>51</x:v>
      </x:c>
      <x:c r="M3" t="n">
        <x:v>0</x:v>
      </x:c>
      <x:c r="N3" t="str">
        <x:v>Approved</x:v>
      </x:c>
      <x:c r="O3" t="n">
        <x:v>0</x:v>
      </x:c>
      <x:c r="P3" t="str">
        <x:f>IF(L3&gt;=75,"High",IF(L3&gt;=55,"Medium","Low"))</x:f>
        <x:v>Low</x:v>
      </x:c>
    </x:row>
    <x:row r="4">
      <x:c r="A4" t="n">
        <x:v>3</x:v>
      </x:c>
      <x:c r="B4" t="n">
        <x:v>10290</x:v>
      </x:c>
      <x:c r="C4" s="16" t="n">
        <x:v>46220</x:v>
      </x:c>
      <x:c r="D4" t="str">
        <x:v>07:38:00</x:v>
      </x:c>
      <x:c r="E4" t="str">
        <x:v>Card</x:v>
      </x:c>
      <x:c r="F4" t="str">
        <x:v>Utilities</x:v>
      </x:c>
      <x:c r="G4" s="18" t="n">
        <x:v>37.89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10</x:v>
      </x:c>
      <x:c r="M4" t="n">
        <x:v>0</x:v>
      </x:c>
      <x:c r="N4" t="str">
        <x:v>Approved</x:v>
      </x:c>
      <x:c r="O4" t="n">
        <x:v>0</x:v>
      </x:c>
      <x:c r="P4" t="str">
        <x:f>IF(L4&gt;=75,"High",IF(L4&gt;=55,"Medium","Low"))</x:f>
        <x:v>Low</x:v>
      </x:c>
    </x:row>
    <x:row r="5">
      <x:c r="A5" t="n">
        <x:v>4</x:v>
      </x:c>
      <x:c r="B5" t="n">
        <x:v>10154</x:v>
      </x:c>
      <x:c r="C5" s="16" t="n">
        <x:v>46269</x:v>
      </x:c>
      <x:c r="D5" t="str">
        <x:v>07:46:00</x:v>
      </x:c>
      <x:c r="E5" t="str">
        <x:v>Card</x:v>
      </x:c>
      <x:c r="F5" t="str">
        <x:v>Utilities</x:v>
      </x:c>
      <x:c r="G5" s="18" t="n">
        <x:v>78.26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10</x:v>
      </x:c>
      <x:c r="M5" t="n">
        <x:v>0</x:v>
      </x:c>
      <x:c r="N5" t="str">
        <x:v>Approved</x:v>
      </x:c>
      <x:c r="O5" t="n">
        <x:v>0</x:v>
      </x:c>
      <x:c r="P5" t="str">
        <x:f>IF(L5&gt;=75,"High",IF(L5&gt;=55,"Medium","Low"))</x:f>
        <x:v>Low</x:v>
      </x:c>
    </x:row>
    <x:row r="6">
      <x:c r="A6" t="n">
        <x:v>5</x:v>
      </x:c>
      <x:c r="B6" t="n">
        <x:v>10360</x:v>
      </x:c>
      <x:c r="C6" s="16" t="n">
        <x:v>46264</x:v>
      </x:c>
      <x:c r="D6" t="str">
        <x:v>18:49:00</x:v>
      </x:c>
      <x:c r="E6" t="str">
        <x:v>Bank Transfer</x:v>
      </x:c>
      <x:c r="F6" t="str">
        <x:v>Retail</x:v>
      </x:c>
      <x:c r="G6" s="18" t="n">
        <x:v>148.27</x:v>
      </x:c>
      <x:c r="H6" t="n">
        <x:v>1</x:v>
      </x:c>
      <x:c r="I6" t="n">
        <x:v>0</x:v>
      </x:c>
      <x:c r="J6" t="n">
        <x:v>0</x:v>
      </x:c>
      <x:c r="K6" t="n">
        <x:v>0</x:v>
      </x:c>
      <x:c r="L6" t="n">
        <x:v>36</x:v>
      </x:c>
      <x:c r="M6" t="n">
        <x:v>0</x:v>
      </x:c>
      <x:c r="N6" t="str">
        <x:v>Approved</x:v>
      </x:c>
      <x:c r="O6" t="n">
        <x:v>0</x:v>
      </x:c>
      <x:c r="P6" t="str">
        <x:f>IF(L6&gt;=75,"High",IF(L6&gt;=55,"Medium","Low"))</x:f>
        <x:v>Low</x:v>
      </x:c>
    </x:row>
    <x:row r="7">
      <x:c r="A7" t="n">
        <x:v>6</x:v>
      </x:c>
      <x:c r="B7" t="n">
        <x:v>10028</x:v>
      </x:c>
      <x:c r="C7" s="16" t="n">
        <x:v>46208</x:v>
      </x:c>
      <x:c r="D7" t="str">
        <x:v>09:35:00</x:v>
      </x:c>
      <x:c r="E7" t="str">
        <x:v>P2P</x:v>
      </x:c>
      <x:c r="F7" t="str">
        <x:v>Transfer</x:v>
      </x:c>
      <x:c r="G7" s="18" t="n">
        <x:v>206.28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10</x:v>
      </x:c>
      <x:c r="M7" t="n">
        <x:v>0</x:v>
      </x:c>
      <x:c r="N7" t="str">
        <x:v>Approved</x:v>
      </x:c>
      <x:c r="O7" t="n">
        <x:v>0</x:v>
      </x:c>
      <x:c r="P7" t="str">
        <x:f>IF(L7&gt;=75,"High",IF(L7&gt;=55,"Medium","Low"))</x:f>
        <x:v>Low</x:v>
      </x:c>
    </x:row>
    <x:row r="8">
      <x:c r="A8" t="n">
        <x:v>7</x:v>
      </x:c>
      <x:c r="B8" t="n">
        <x:v>10161</x:v>
      </x:c>
      <x:c r="C8" s="16" t="n">
        <x:v>46269</x:v>
      </x:c>
      <x:c r="D8" t="str">
        <x:v>19:25:00</x:v>
      </x:c>
      <x:c r="E8" t="str">
        <x:v>Bank Transfer</x:v>
      </x:c>
      <x:c r="F8" t="str">
        <x:v>Subscriptions</x:v>
      </x:c>
      <x:c r="G8" s="18" t="n">
        <x:v>61.86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30</x:v>
      </x:c>
      <x:c r="M8" t="n">
        <x:v>0</x:v>
      </x:c>
      <x:c r="N8" t="str">
        <x:v>Approved</x:v>
      </x:c>
      <x:c r="O8" t="n">
        <x:v>0</x:v>
      </x:c>
      <x:c r="P8" t="str">
        <x:f>IF(L8&gt;=75,"High",IF(L8&gt;=55,"Medium","Low"))</x:f>
        <x:v>Low</x:v>
      </x:c>
    </x:row>
    <x:row r="9">
      <x:c r="A9" t="n">
        <x:v>8</x:v>
      </x:c>
      <x:c r="B9" t="n">
        <x:v>10063</x:v>
      </x:c>
      <x:c r="C9" s="16" t="n">
        <x:v>46118</x:v>
      </x:c>
      <x:c r="D9" t="str">
        <x:v>18:28:00</x:v>
      </x:c>
      <x:c r="E9" t="str">
        <x:v>Card</x:v>
      </x:c>
      <x:c r="F9" t="str">
        <x:v>Travel</x:v>
      </x:c>
      <x:c r="G9" s="18" t="n">
        <x:v>301.63</x:v>
      </x:c>
      <x:c r="H9" t="n">
        <x:v>1</x:v>
      </x:c>
      <x:c r="I9" t="n">
        <x:v>0</x:v>
      </x:c>
      <x:c r="J9" t="n">
        <x:v>0</x:v>
      </x:c>
      <x:c r="K9" t="n">
        <x:v>0</x:v>
      </x:c>
      <x:c r="L9" t="n">
        <x:v>36</x:v>
      </x:c>
      <x:c r="M9" t="n">
        <x:v>0</x:v>
      </x:c>
      <x:c r="N9" t="str">
        <x:v>Approved</x:v>
      </x:c>
      <x:c r="O9" t="n">
        <x:v>0</x:v>
      </x:c>
      <x:c r="P9" t="str">
        <x:f>IF(L9&gt;=75,"High",IF(L9&gt;=55,"Medium","Low"))</x:f>
        <x:v>Low</x:v>
      </x:c>
    </x:row>
    <x:row r="10">
      <x:c r="A10" t="n">
        <x:v>9</x:v>
      </x:c>
      <x:c r="B10" t="n">
        <x:v>10172</x:v>
      </x:c>
      <x:c r="C10" s="16" t="n">
        <x:v>46241</x:v>
      </x:c>
      <x:c r="D10" t="str">
        <x:v>22:13:00</x:v>
      </x:c>
      <x:c r="E10" t="str">
        <x:v>Card</x:v>
      </x:c>
      <x:c r="F10" t="str">
        <x:v>Travel</x:v>
      </x:c>
      <x:c r="G10" s="18" t="n">
        <x:v>281.15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10</x:v>
      </x:c>
      <x:c r="M10" t="n">
        <x:v>0</x:v>
      </x:c>
      <x:c r="N10" t="str">
        <x:v>Approved</x:v>
      </x:c>
      <x:c r="O10" t="n">
        <x:v>0</x:v>
      </x:c>
      <x:c r="P10" t="str">
        <x:f>IF(L10&gt;=75,"High",IF(L10&gt;=55,"Medium","Low"))</x:f>
        <x:v>Low</x:v>
      </x:c>
    </x:row>
    <x:row r="11">
      <x:c r="A11" t="n">
        <x:v>10</x:v>
      </x:c>
      <x:c r="B11" t="n">
        <x:v>10268</x:v>
      </x:c>
      <x:c r="C11" s="16" t="n">
        <x:v>46204</x:v>
      </x:c>
      <x:c r="D11" t="str">
        <x:v>14:00:00</x:v>
      </x:c>
      <x:c r="E11" t="str">
        <x:v>Bank Transfer</x:v>
      </x:c>
      <x:c r="F11" t="str">
        <x:v>Dining</x:v>
      </x:c>
      <x:c r="G11" s="18" t="n">
        <x:v>198.6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30</x:v>
      </x:c>
      <x:c r="M11" t="n">
        <x:v>0</x:v>
      </x:c>
      <x:c r="N11" t="str">
        <x:v>Approved</x:v>
      </x:c>
      <x:c r="O11" t="n">
        <x:v>0</x:v>
      </x:c>
      <x:c r="P11" t="str">
        <x:f>IF(L11&gt;=75,"High",IF(L11&gt;=55,"Medium","Low"))</x:f>
        <x:v>Low</x:v>
      </x:c>
    </x:row>
    <x:row r="12">
      <x:c r="A12" t="n">
        <x:v>11</x:v>
      </x:c>
      <x:c r="B12" t="n">
        <x:v>10329</x:v>
      </x:c>
      <x:c r="C12" s="16" t="n">
        <x:v>46247</x:v>
      </x:c>
      <x:c r="D12" t="str">
        <x:v>17:39:00</x:v>
      </x:c>
      <x:c r="E12" t="str">
        <x:v>Card</x:v>
      </x:c>
      <x:c r="F12" t="str">
        <x:v>Electronics</x:v>
      </x:c>
      <x:c r="G12" s="18" t="n">
        <x:v>162.83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10</x:v>
      </x:c>
      <x:c r="M12" t="n">
        <x:v>0</x:v>
      </x:c>
      <x:c r="N12" t="str">
        <x:v>Approved</x:v>
      </x:c>
      <x:c r="O12" t="n">
        <x:v>0</x:v>
      </x:c>
      <x:c r="P12" t="str">
        <x:f>IF(L12&gt;=75,"High",IF(L12&gt;=55,"Medium","Low"))</x:f>
        <x:v>Low</x:v>
      </x:c>
    </x:row>
    <x:row r="13">
      <x:c r="A13" t="n">
        <x:v>12</x:v>
      </x:c>
      <x:c r="B13" t="n">
        <x:v>10245</x:v>
      </x:c>
      <x:c r="C13" s="16" t="n">
        <x:v>46190</x:v>
      </x:c>
      <x:c r="D13" t="str">
        <x:v>00:56:00</x:v>
      </x:c>
      <x:c r="E13" t="str">
        <x:v>Card</x:v>
      </x:c>
      <x:c r="F13" t="str">
        <x:v>Transfer</x:v>
      </x:c>
      <x:c r="G13" s="18" t="n">
        <x:v>43.02</x:v>
      </x:c>
      <x:c r="H13" t="n">
        <x:v>0</x:v>
      </x:c>
      <x:c r="I13" t="n">
        <x:v>0</x:v>
      </x:c>
      <x:c r="J13" t="n">
        <x:v>0</x:v>
      </x:c>
      <x:c r="K13" t="n">
        <x:v>1</x:v>
      </x:c>
      <x:c r="L13" t="n">
        <x:v>25</x:v>
      </x:c>
      <x:c r="M13" t="n">
        <x:v>0</x:v>
      </x:c>
      <x:c r="N13" t="str">
        <x:v>Approved</x:v>
      </x:c>
      <x:c r="O13" t="n">
        <x:v>0</x:v>
      </x:c>
      <x:c r="P13" t="str">
        <x:f>IF(L13&gt;=75,"High",IF(L13&gt;=55,"Medium","Low"))</x:f>
        <x:v>Low</x:v>
      </x:c>
    </x:row>
    <x:row r="14">
      <x:c r="A14" t="n">
        <x:v>13</x:v>
      </x:c>
      <x:c r="B14" t="n">
        <x:v>10233</x:v>
      </x:c>
      <x:c r="C14" s="16" t="n">
        <x:v>46225</x:v>
      </x:c>
      <x:c r="D14" t="str">
        <x:v>12:29:00</x:v>
      </x:c>
      <x:c r="E14" t="str">
        <x:v>Card</x:v>
      </x:c>
      <x:c r="F14" t="str">
        <x:v>Travel</x:v>
      </x:c>
      <x:c r="G14" s="18" t="n">
        <x:v>112.13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10</x:v>
      </x:c>
      <x:c r="M14" t="n">
        <x:v>0</x:v>
      </x:c>
      <x:c r="N14" t="str">
        <x:v>Declined</x:v>
      </x:c>
      <x:c r="O14" t="n">
        <x:v>0</x:v>
      </x:c>
      <x:c r="P14" t="str">
        <x:f>IF(L14&gt;=75,"High",IF(L14&gt;=55,"Medium","Low"))</x:f>
        <x:v>Low</x:v>
      </x:c>
    </x:row>
    <x:row r="15">
      <x:c r="A15" t="n">
        <x:v>14</x:v>
      </x:c>
      <x:c r="B15" t="n">
        <x:v>10344</x:v>
      </x:c>
      <x:c r="C15" s="16" t="n">
        <x:v>46238</x:v>
      </x:c>
      <x:c r="D15" t="str">
        <x:v>04:41:00</x:v>
      </x:c>
      <x:c r="E15" t="str">
        <x:v>P2P</x:v>
      </x:c>
      <x:c r="F15" t="str">
        <x:v>Travel</x:v>
      </x:c>
      <x:c r="G15" s="18" t="n">
        <x:v>228.2</x:v>
      </x:c>
      <x:c r="H15" t="n">
        <x:v>0</x:v>
      </x:c>
      <x:c r="I15" t="n">
        <x:v>0</x:v>
      </x:c>
      <x:c r="J15" t="n">
        <x:v>0</x:v>
      </x:c>
      <x:c r="K15" t="n">
        <x:v>1</x:v>
      </x:c>
      <x:c r="L15" t="n">
        <x:v>25</x:v>
      </x:c>
      <x:c r="M15" t="n">
        <x:v>0</x:v>
      </x:c>
      <x:c r="N15" t="str">
        <x:v>Approved</x:v>
      </x:c>
      <x:c r="O15" t="n">
        <x:v>0</x:v>
      </x:c>
      <x:c r="P15" t="str">
        <x:f>IF(L15&gt;=75,"High",IF(L15&gt;=55,"Medium","Low"))</x:f>
        <x:v>Low</x:v>
      </x:c>
    </x:row>
    <x:row r="16">
      <x:c r="A16" t="n">
        <x:v>15</x:v>
      </x:c>
      <x:c r="B16" t="n">
        <x:v>10121</x:v>
      </x:c>
      <x:c r="C16" s="16" t="n">
        <x:v>46285</x:v>
      </x:c>
      <x:c r="D16" t="str">
        <x:v>09:27:00</x:v>
      </x:c>
      <x:c r="E16" t="str">
        <x:v>Bank Transfer</x:v>
      </x:c>
      <x:c r="F16" t="str">
        <x:v>Transfer</x:v>
      </x:c>
      <x:c r="G16" s="18" t="n">
        <x:v>34.3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10</x:v>
      </x:c>
      <x:c r="M16" t="n">
        <x:v>0</x:v>
      </x:c>
      <x:c r="N16" t="str">
        <x:v>Approved</x:v>
      </x:c>
      <x:c r="O16" t="n">
        <x:v>0</x:v>
      </x:c>
      <x:c r="P16" t="str">
        <x:f>IF(L16&gt;=75,"High",IF(L16&gt;=55,"Medium","Low"))</x:f>
        <x:v>Low</x:v>
      </x:c>
    </x:row>
    <x:row r="17">
      <x:c r="A17" t="n">
        <x:v>16</x:v>
      </x:c>
      <x:c r="B17" t="n">
        <x:v>10344</x:v>
      </x:c>
      <x:c r="C17" s="16" t="n">
        <x:v>46147</x:v>
      </x:c>
      <x:c r="D17" t="str">
        <x:v>13:10:00</x:v>
      </x:c>
      <x:c r="E17" t="str">
        <x:v>Card</x:v>
      </x:c>
      <x:c r="F17" t="str">
        <x:v>Utilities</x:v>
      </x:c>
      <x:c r="G17" s="18" t="n">
        <x:v>15.67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10</x:v>
      </x:c>
      <x:c r="M17" t="n">
        <x:v>0</x:v>
      </x:c>
      <x:c r="N17" t="str">
        <x:v>Approved</x:v>
      </x:c>
      <x:c r="O17" t="n">
        <x:v>0</x:v>
      </x:c>
      <x:c r="P17" t="str">
        <x:f>IF(L17&gt;=75,"High",IF(L17&gt;=55,"Medium","Low"))</x:f>
        <x:v>Low</x:v>
      </x:c>
    </x:row>
    <x:row r="18">
      <x:c r="A18" t="n">
        <x:v>17</x:v>
      </x:c>
      <x:c r="B18" t="n">
        <x:v>10108</x:v>
      </x:c>
      <x:c r="C18" s="16" t="n">
        <x:v>46269</x:v>
      </x:c>
      <x:c r="D18" t="str">
        <x:v>00:05:00</x:v>
      </x:c>
      <x:c r="E18" t="str">
        <x:v>Card</x:v>
      </x:c>
      <x:c r="F18" t="str">
        <x:v>Transfer</x:v>
      </x:c>
      <x:c r="G18" s="18" t="n">
        <x:v>42.62</x:v>
      </x:c>
      <x:c r="H18" t="n">
        <x:v>0</x:v>
      </x:c>
      <x:c r="I18" t="n">
        <x:v>0</x:v>
      </x:c>
      <x:c r="J18" t="n">
        <x:v>0</x:v>
      </x:c>
      <x:c r="K18" t="n">
        <x:v>1</x:v>
      </x:c>
      <x:c r="L18" t="n">
        <x:v>25</x:v>
      </x:c>
      <x:c r="M18" t="n">
        <x:v>0</x:v>
      </x:c>
      <x:c r="N18" t="str">
        <x:v>Declined</x:v>
      </x:c>
      <x:c r="O18" t="n">
        <x:v>0</x:v>
      </x:c>
      <x:c r="P18" t="str">
        <x:f>IF(L18&gt;=75,"High",IF(L18&gt;=55,"Medium","Low"))</x:f>
        <x:v>Low</x:v>
      </x:c>
    </x:row>
    <x:row r="19">
      <x:c r="A19" t="n">
        <x:v>18</x:v>
      </x:c>
      <x:c r="B19" t="n">
        <x:v>10318</x:v>
      </x:c>
      <x:c r="C19" s="16" t="n">
        <x:v>46251</x:v>
      </x:c>
      <x:c r="D19" t="str">
        <x:v>18:28:00</x:v>
      </x:c>
      <x:c r="E19" t="str">
        <x:v>Bank Transfer</x:v>
      </x:c>
      <x:c r="F19" t="str">
        <x:v>Travel</x:v>
      </x:c>
      <x:c r="G19" s="18" t="n">
        <x:v>34.97</x:v>
      </x:c>
      <x:c r="H19" t="n">
        <x:v>1</x:v>
      </x:c>
      <x:c r="I19" t="n">
        <x:v>0</x:v>
      </x:c>
      <x:c r="J19" t="n">
        <x:v>0</x:v>
      </x:c>
      <x:c r="K19" t="n">
        <x:v>0</x:v>
      </x:c>
      <x:c r="L19" t="n">
        <x:v>36</x:v>
      </x:c>
      <x:c r="M19" t="n">
        <x:v>0</x:v>
      </x:c>
      <x:c r="N19" t="str">
        <x:v>Approved</x:v>
      </x:c>
      <x:c r="O19" t="n">
        <x:v>0</x:v>
      </x:c>
      <x:c r="P19" t="str">
        <x:f>IF(L19&gt;=75,"High",IF(L19&gt;=55,"Medium","Low"))</x:f>
        <x:v>Low</x:v>
      </x:c>
    </x:row>
    <x:row r="20">
      <x:c r="A20" t="n">
        <x:v>19</x:v>
      </x:c>
      <x:c r="B20" t="n">
        <x:v>10307</x:v>
      </x:c>
      <x:c r="C20" s="16" t="n">
        <x:v>46237</x:v>
      </x:c>
      <x:c r="D20" t="str">
        <x:v>13:59:00</x:v>
      </x:c>
      <x:c r="E20" t="str">
        <x:v>Card</x:v>
      </x:c>
      <x:c r="F20" t="str">
        <x:v>Retail</x:v>
      </x:c>
      <x:c r="G20" s="18" t="n">
        <x:v>66.95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30</x:v>
      </x:c>
      <x:c r="M20" t="n">
        <x:v>0</x:v>
      </x:c>
      <x:c r="N20" t="str">
        <x:v>Approved</x:v>
      </x:c>
      <x:c r="O20" t="n">
        <x:v>0</x:v>
      </x:c>
      <x:c r="P20" t="str">
        <x:f>IF(L20&gt;=75,"High",IF(L20&gt;=55,"Medium","Low"))</x:f>
        <x:v>Low</x:v>
      </x:c>
    </x:row>
    <x:row r="21">
      <x:c r="A21" t="n">
        <x:v>20</x:v>
      </x:c>
      <x:c r="B21" t="n">
        <x:v>10311</x:v>
      </x:c>
      <x:c r="C21" s="16" t="n">
        <x:v>46166</x:v>
      </x:c>
      <x:c r="D21" t="str">
        <x:v>04:57:00</x:v>
      </x:c>
      <x:c r="E21" t="str">
        <x:v>Bank Transfer</x:v>
      </x:c>
      <x:c r="F21" t="str">
        <x:v>Electronics</x:v>
      </x:c>
      <x:c r="G21" s="18" t="n">
        <x:v>78.15</x:v>
      </x:c>
      <x:c r="H21" t="n">
        <x:v>0</x:v>
      </x:c>
      <x:c r="I21" t="n">
        <x:v>0</x:v>
      </x:c>
      <x:c r="J21" t="n">
        <x:v>0</x:v>
      </x:c>
      <x:c r="K21" t="n">
        <x:v>1</x:v>
      </x:c>
      <x:c r="L21" t="n">
        <x:v>25</x:v>
      </x:c>
      <x:c r="M21" t="n">
        <x:v>0</x:v>
      </x:c>
      <x:c r="N21" t="str">
        <x:v>Approved</x:v>
      </x:c>
      <x:c r="O21" t="n">
        <x:v>0</x:v>
      </x:c>
      <x:c r="P21" t="str">
        <x:f>IF(L21&gt;=75,"High",IF(L21&gt;=55,"Medium","Low"))</x:f>
        <x:v>Low</x:v>
      </x:c>
    </x:row>
    <x:row r="22">
      <x:c r="A22" t="n">
        <x:v>21</x:v>
      </x:c>
      <x:c r="B22" t="n">
        <x:v>10033</x:v>
      </x:c>
      <x:c r="C22" s="16" t="n">
        <x:v>46186</x:v>
      </x:c>
      <x:c r="D22" t="str">
        <x:v>02:58:00</x:v>
      </x:c>
      <x:c r="E22" t="str">
        <x:v>P2P</x:v>
      </x:c>
      <x:c r="F22" t="str">
        <x:v>Electronics</x:v>
      </x:c>
      <x:c r="G22" s="18" t="n">
        <x:v>263.74</x:v>
      </x:c>
      <x:c r="H22" t="n">
        <x:v>0</x:v>
      </x:c>
      <x:c r="I22" t="n">
        <x:v>0</x:v>
      </x:c>
      <x:c r="J22" t="n">
        <x:v>0</x:v>
      </x:c>
      <x:c r="K22" t="n">
        <x:v>1</x:v>
      </x:c>
      <x:c r="L22" t="n">
        <x:v>25</x:v>
      </x:c>
      <x:c r="M22" t="n">
        <x:v>0</x:v>
      </x:c>
      <x:c r="N22" t="str">
        <x:v>Approved</x:v>
      </x:c>
      <x:c r="O22" t="n">
        <x:v>0</x:v>
      </x:c>
      <x:c r="P22" t="str">
        <x:f>IF(L22&gt;=75,"High",IF(L22&gt;=55,"Medium","Low"))</x:f>
        <x:v>Low</x:v>
      </x:c>
    </x:row>
    <x:row r="23">
      <x:c r="A23" t="n">
        <x:v>22</x:v>
      </x:c>
      <x:c r="B23" t="n">
        <x:v>10082</x:v>
      </x:c>
      <x:c r="C23" s="16" t="n">
        <x:v>46125</x:v>
      </x:c>
      <x:c r="D23" t="str">
        <x:v>04:45:00</x:v>
      </x:c>
      <x:c r="E23" t="str">
        <x:v>Card</x:v>
      </x:c>
      <x:c r="F23" t="str">
        <x:v>Subscriptions</x:v>
      </x:c>
      <x:c r="G23" s="18" t="n">
        <x:v>61.86</x:v>
      </x:c>
      <x:c r="H23" t="n">
        <x:v>0</x:v>
      </x:c>
      <x:c r="I23" t="n">
        <x:v>0</x:v>
      </x:c>
      <x:c r="J23" t="n">
        <x:v>0</x:v>
      </x:c>
      <x:c r="K23" t="n">
        <x:v>1</x:v>
      </x:c>
      <x:c r="L23" t="n">
        <x:v>25</x:v>
      </x:c>
      <x:c r="M23" t="n">
        <x:v>0</x:v>
      </x:c>
      <x:c r="N23" t="str">
        <x:v>Approved</x:v>
      </x:c>
      <x:c r="O23" t="n">
        <x:v>0</x:v>
      </x:c>
      <x:c r="P23" t="str">
        <x:f>IF(L23&gt;=75,"High",IF(L23&gt;=55,"Medium","Low"))</x:f>
        <x:v>Low</x:v>
      </x:c>
    </x:row>
    <x:row r="24">
      <x:c r="A24" t="n">
        <x:v>23</x:v>
      </x:c>
      <x:c r="B24" t="n">
        <x:v>10168</x:v>
      </x:c>
      <x:c r="C24" s="16" t="n">
        <x:v>46230</x:v>
      </x:c>
      <x:c r="D24" t="str">
        <x:v>23:07:00</x:v>
      </x:c>
      <x:c r="E24" t="str">
        <x:v>P2P</x:v>
      </x:c>
      <x:c r="F24" t="str">
        <x:v>Utilities</x:v>
      </x:c>
      <x:c r="G24" s="18" t="n">
        <x:v>270.29</x:v>
      </x:c>
      <x:c r="H24" t="n">
        <x:v>0</x:v>
      </x:c>
      <x:c r="I24" t="n">
        <x:v>1</x:v>
      </x:c>
      <x:c r="J24" t="n">
        <x:v>0</x:v>
      </x:c>
      <x:c r="K24" t="n">
        <x:v>0</x:v>
      </x:c>
      <x:c r="L24" t="n">
        <x:v>30</x:v>
      </x:c>
      <x:c r="M24" t="n">
        <x:v>0</x:v>
      </x:c>
      <x:c r="N24" t="str">
        <x:v>Declined</x:v>
      </x:c>
      <x:c r="O24" t="n">
        <x:v>0</x:v>
      </x:c>
      <x:c r="P24" t="str">
        <x:f>IF(L24&gt;=75,"High",IF(L24&gt;=55,"Medium","Low"))</x:f>
        <x:v>Low</x:v>
      </x:c>
    </x:row>
    <x:row r="25">
      <x:c r="A25" t="n">
        <x:v>24</x:v>
      </x:c>
      <x:c r="B25" t="n">
        <x:v>10112</x:v>
      </x:c>
      <x:c r="C25" s="16" t="n">
        <x:v>46248</x:v>
      </x:c>
      <x:c r="D25" t="str">
        <x:v>01:00:00</x:v>
      </x:c>
      <x:c r="E25" t="str">
        <x:v>Bank Transfer</x:v>
      </x:c>
      <x:c r="F25" t="str">
        <x:v>Dining</x:v>
      </x:c>
      <x:c r="G25" s="18" t="n">
        <x:v>225.03</x:v>
      </x:c>
      <x:c r="H25" t="n">
        <x:v>1</x:v>
      </x:c>
      <x:c r="I25" t="n">
        <x:v>0</x:v>
      </x:c>
      <x:c r="J25" t="n">
        <x:v>0</x:v>
      </x:c>
      <x:c r="K25" t="n">
        <x:v>1</x:v>
      </x:c>
      <x:c r="L25" t="n">
        <x:v>51</x:v>
      </x:c>
      <x:c r="M25" t="n">
        <x:v>0</x:v>
      </x:c>
      <x:c r="N25" t="str">
        <x:v>Approved</x:v>
      </x:c>
      <x:c r="O25" t="n">
        <x:v>0</x:v>
      </x:c>
      <x:c r="P25" t="str">
        <x:f>IF(L25&gt;=75,"High",IF(L25&gt;=55,"Medium","Low"))</x:f>
        <x:v>Low</x:v>
      </x:c>
    </x:row>
    <x:row r="26">
      <x:c r="A26" t="n">
        <x:v>25</x:v>
      </x:c>
      <x:c r="B26" t="n">
        <x:v>10218</x:v>
      </x:c>
      <x:c r="C26" s="16" t="n">
        <x:v>46247</x:v>
      </x:c>
      <x:c r="D26" t="str">
        <x:v>21:55:00</x:v>
      </x:c>
      <x:c r="E26" t="str">
        <x:v>Bank Transfer</x:v>
      </x:c>
      <x:c r="F26" t="str">
        <x:v>Dining</x:v>
      </x:c>
      <x:c r="G26" s="18" t="n">
        <x:v>24.56</x:v>
      </x:c>
      <x:c r="H26" t="n">
        <x:v>1</x:v>
      </x:c>
      <x:c r="I26" t="n">
        <x:v>0</x:v>
      </x:c>
      <x:c r="J26" t="n">
        <x:v>0</x:v>
      </x:c>
      <x:c r="K26" t="n">
        <x:v>0</x:v>
      </x:c>
      <x:c r="L26" t="n">
        <x:v>36</x:v>
      </x:c>
      <x:c r="M26" t="n">
        <x:v>0</x:v>
      </x:c>
      <x:c r="N26" t="str">
        <x:v>Approved</x:v>
      </x:c>
      <x:c r="O26" t="n">
        <x:v>0</x:v>
      </x:c>
      <x:c r="P26" t="str">
        <x:f>IF(L26&gt;=75,"High",IF(L26&gt;=55,"Medium","Low"))</x:f>
        <x:v>Low</x:v>
      </x:c>
    </x:row>
    <x:row r="27">
      <x:c r="A27" t="n">
        <x:v>26</x:v>
      </x:c>
      <x:c r="B27" t="n">
        <x:v>10354</x:v>
      </x:c>
      <x:c r="C27" s="16" t="n">
        <x:v>46243</x:v>
      </x:c>
      <x:c r="D27" t="str">
        <x:v>12:55:00</x:v>
      </x:c>
      <x:c r="E27" t="str">
        <x:v>Bank Transfer</x:v>
      </x:c>
      <x:c r="F27" t="str">
        <x:v>Travel</x:v>
      </x:c>
      <x:c r="G27" s="18" t="n">
        <x:v>327.11</x:v>
      </x:c>
      <x:c r="H27" t="n">
        <x:v>1</x:v>
      </x:c>
      <x:c r="I27" t="n">
        <x:v>0</x:v>
      </x:c>
      <x:c r="J27" t="n">
        <x:v>0</x:v>
      </x:c>
      <x:c r="K27" t="n">
        <x:v>0</x:v>
      </x:c>
      <x:c r="L27" t="n">
        <x:v>36</x:v>
      </x:c>
      <x:c r="M27" t="n">
        <x:v>0</x:v>
      </x:c>
      <x:c r="N27" t="str">
        <x:v>Approved</x:v>
      </x:c>
      <x:c r="O27" t="n">
        <x:v>0</x:v>
      </x:c>
      <x:c r="P27" t="str">
        <x:f>IF(L27&gt;=75,"High",IF(L27&gt;=55,"Medium","Low"))</x:f>
        <x:v>Low</x:v>
      </x:c>
    </x:row>
    <x:row r="28">
      <x:c r="A28" t="n">
        <x:v>27</x:v>
      </x:c>
      <x:c r="B28" t="n">
        <x:v>10044</x:v>
      </x:c>
      <x:c r="C28" s="16" t="n">
        <x:v>46282</x:v>
      </x:c>
      <x:c r="D28" t="str">
        <x:v>22:58:00</x:v>
      </x:c>
      <x:c r="E28" t="str">
        <x:v>Bank Transfer</x:v>
      </x:c>
      <x:c r="F28" t="str">
        <x:v>Dining</x:v>
      </x:c>
      <x:c r="G28" s="18" t="n">
        <x:v>12.91</x:v>
      </x:c>
      <x:c r="H28" t="n">
        <x:v>1</x:v>
      </x:c>
      <x:c r="I28" t="n">
        <x:v>0</x:v>
      </x:c>
      <x:c r="J28" t="n">
        <x:v>0</x:v>
      </x:c>
      <x:c r="K28" t="n">
        <x:v>0</x:v>
      </x:c>
      <x:c r="L28" t="n">
        <x:v>36</x:v>
      </x:c>
      <x:c r="M28" t="n">
        <x:v>0</x:v>
      </x:c>
      <x:c r="N28" t="str">
        <x:v>Approved</x:v>
      </x:c>
      <x:c r="O28" t="n">
        <x:v>0</x:v>
      </x:c>
      <x:c r="P28" t="str">
        <x:f>IF(L28&gt;=75,"High",IF(L28&gt;=55,"Medium","Low"))</x:f>
        <x:v>Low</x:v>
      </x:c>
    </x:row>
    <x:row r="29">
      <x:c r="A29" t="n">
        <x:v>28</x:v>
      </x:c>
      <x:c r="B29" t="n">
        <x:v>10274</x:v>
      </x:c>
      <x:c r="C29" s="16" t="n">
        <x:v>46116</x:v>
      </x:c>
      <x:c r="D29" t="str">
        <x:v>23:08:00</x:v>
      </x:c>
      <x:c r="E29" t="str">
        <x:v>Bank Transfer</x:v>
      </x:c>
      <x:c r="F29" t="str">
        <x:v>Electronics</x:v>
      </x:c>
      <x:c r="G29" s="18" t="n">
        <x:v>223.04</x:v>
      </x:c>
      <x:c r="H29" t="n">
        <x:v>1</x:v>
      </x:c>
      <x:c r="I29" t="n">
        <x:v>0</x:v>
      </x:c>
      <x:c r="J29" t="n">
        <x:v>0</x:v>
      </x:c>
      <x:c r="K29" t="n">
        <x:v>0</x:v>
      </x:c>
      <x:c r="L29" t="n">
        <x:v>36</x:v>
      </x:c>
      <x:c r="M29" t="n">
        <x:v>0</x:v>
      </x:c>
      <x:c r="N29" t="str">
        <x:v>Approved</x:v>
      </x:c>
      <x:c r="O29" t="n">
        <x:v>0</x:v>
      </x:c>
      <x:c r="P29" t="str">
        <x:f>IF(L29&gt;=75,"High",IF(L29&gt;=55,"Medium","Low"))</x:f>
        <x:v>Low</x:v>
      </x:c>
    </x:row>
    <x:row r="30">
      <x:c r="A30" t="n">
        <x:v>29</x:v>
      </x:c>
      <x:c r="B30" t="n">
        <x:v>10302</x:v>
      </x:c>
      <x:c r="C30" s="16" t="n">
        <x:v>46259</x:v>
      </x:c>
      <x:c r="D30" t="str">
        <x:v>07:50:00</x:v>
      </x:c>
      <x:c r="E30" t="str">
        <x:v>Bank Transfer</x:v>
      </x:c>
      <x:c r="F30" t="str">
        <x:v>Electronics</x:v>
      </x:c>
      <x:c r="G30" s="18" t="n">
        <x:v>46.24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n">
        <x:v>36</x:v>
      </x:c>
      <x:c r="M30" t="n">
        <x:v>0</x:v>
      </x:c>
      <x:c r="N30" t="str">
        <x:v>Approved</x:v>
      </x:c>
      <x:c r="O30" t="n">
        <x:v>0</x:v>
      </x:c>
      <x:c r="P30" t="str">
        <x:f>IF(L30&gt;=75,"High",IF(L30&gt;=55,"Medium","Low"))</x:f>
        <x:v>Low</x:v>
      </x:c>
    </x:row>
    <x:row r="31">
      <x:c r="A31" t="n">
        <x:v>30</x:v>
      </x:c>
      <x:c r="B31" t="n">
        <x:v>10336</x:v>
      </x:c>
      <x:c r="C31" s="16" t="n">
        <x:v>46145</x:v>
      </x:c>
      <x:c r="D31" t="str">
        <x:v>17:26:00</x:v>
      </x:c>
      <x:c r="E31" t="str">
        <x:v>Card</x:v>
      </x:c>
      <x:c r="F31" t="str">
        <x:v>Travel</x:v>
      </x:c>
      <x:c r="G31" s="18" t="n">
        <x:v>79.79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10</x:v>
      </x:c>
      <x:c r="M31" t="n">
        <x:v>0</x:v>
      </x:c>
      <x:c r="N31" t="str">
        <x:v>Declined</x:v>
      </x:c>
      <x:c r="O31" t="n">
        <x:v>0</x:v>
      </x:c>
      <x:c r="P31" t="str">
        <x:f>IF(L31&gt;=75,"High",IF(L31&gt;=55,"Medium","Low"))</x:f>
        <x:v>Low</x:v>
      </x:c>
    </x:row>
    <x:row r="32">
      <x:c r="A32" t="n">
        <x:v>31</x:v>
      </x:c>
      <x:c r="B32" t="n">
        <x:v>10207</x:v>
      </x:c>
      <x:c r="C32" s="16" t="n">
        <x:v>46149</x:v>
      </x:c>
      <x:c r="D32" t="str">
        <x:v>19:52:00</x:v>
      </x:c>
      <x:c r="E32" t="str">
        <x:v>Card</x:v>
      </x:c>
      <x:c r="F32" t="str">
        <x:v>Subscriptions</x:v>
      </x:c>
      <x:c r="G32" s="18" t="n">
        <x:v>12.36</x:v>
      </x:c>
      <x:c r="H32" t="n">
        <x:v>0</x:v>
      </x:c>
      <x:c r="I32" t="n">
        <x:v>1</x:v>
      </x:c>
      <x:c r="J32" t="n">
        <x:v>0</x:v>
      </x:c>
      <x:c r="K32" t="n">
        <x:v>0</x:v>
      </x:c>
      <x:c r="L32" t="n">
        <x:v>30</x:v>
      </x:c>
      <x:c r="M32" t="n">
        <x:v>0</x:v>
      </x:c>
      <x:c r="N32" t="str">
        <x:v>Approved</x:v>
      </x:c>
      <x:c r="O32" t="n">
        <x:v>0</x:v>
      </x:c>
      <x:c r="P32" t="str">
        <x:f>IF(L32&gt;=75,"High",IF(L32&gt;=55,"Medium","Low"))</x:f>
        <x:v>Low</x:v>
      </x:c>
    </x:row>
    <x:row r="33">
      <x:c r="A33" t="n">
        <x:v>32</x:v>
      </x:c>
      <x:c r="B33" t="n">
        <x:v>10282</x:v>
      </x:c>
      <x:c r="C33" s="16" t="n">
        <x:v>46254</x:v>
      </x:c>
      <x:c r="D33" t="str">
        <x:v>13:27:00</x:v>
      </x:c>
      <x:c r="E33" t="str">
        <x:v>Card</x:v>
      </x:c>
      <x:c r="F33" t="str">
        <x:v>Dining</x:v>
      </x:c>
      <x:c r="G33" s="18" t="n">
        <x:v>22.44</x:v>
      </x:c>
      <x:c r="H33" t="n">
        <x:v>1</x:v>
      </x:c>
      <x:c r="I33" t="n">
        <x:v>0</x:v>
      </x:c>
      <x:c r="J33" t="n">
        <x:v>0</x:v>
      </x:c>
      <x:c r="K33" t="n">
        <x:v>0</x:v>
      </x:c>
      <x:c r="L33" t="n">
        <x:v>36</x:v>
      </x:c>
      <x:c r="M33" t="n">
        <x:v>0</x:v>
      </x:c>
      <x:c r="N33" t="str">
        <x:v>Approved</x:v>
      </x:c>
      <x:c r="O33" t="n">
        <x:v>0</x:v>
      </x:c>
      <x:c r="P33" t="str">
        <x:f>IF(L33&gt;=75,"High",IF(L33&gt;=55,"Medium","Low"))</x:f>
        <x:v>Low</x:v>
      </x:c>
    </x:row>
    <x:row r="34">
      <x:c r="A34" t="n">
        <x:v>33</x:v>
      </x:c>
      <x:c r="B34" t="n">
        <x:v>10148</x:v>
      </x:c>
      <x:c r="C34" s="16" t="n">
        <x:v>46125</x:v>
      </x:c>
      <x:c r="D34" t="str">
        <x:v>04:29:00</x:v>
      </x:c>
      <x:c r="E34" t="str">
        <x:v>P2P</x:v>
      </x:c>
      <x:c r="F34" t="str">
        <x:v>Travel</x:v>
      </x:c>
      <x:c r="G34" s="18" t="n">
        <x:v>222.33</x:v>
      </x:c>
      <x:c r="H34" t="n">
        <x:v>0</x:v>
      </x:c>
      <x:c r="I34" t="n">
        <x:v>1</x:v>
      </x:c>
      <x:c r="J34" t="n">
        <x:v>0</x:v>
      </x:c>
      <x:c r="K34" t="n">
        <x:v>1</x:v>
      </x:c>
      <x:c r="L34" t="n">
        <x:v>45</x:v>
      </x:c>
      <x:c r="M34" t="n">
        <x:v>0</x:v>
      </x:c>
      <x:c r="N34" t="str">
        <x:v>Declined</x:v>
      </x:c>
      <x:c r="O34" t="n">
        <x:v>0</x:v>
      </x:c>
      <x:c r="P34" t="str">
        <x:f>IF(L34&gt;=75,"High",IF(L34&gt;=55,"Medium","Low"))</x:f>
        <x:v>Low</x:v>
      </x:c>
    </x:row>
    <x:row r="35">
      <x:c r="A35" t="n">
        <x:v>34</x:v>
      </x:c>
      <x:c r="B35" t="n">
        <x:v>10051</x:v>
      </x:c>
      <x:c r="C35" s="16" t="n">
        <x:v>46180</x:v>
      </x:c>
      <x:c r="D35" t="str">
        <x:v>19:27:00</x:v>
      </x:c>
      <x:c r="E35" t="str">
        <x:v>Card</x:v>
      </x:c>
      <x:c r="F35" t="str">
        <x:v>Utilities</x:v>
      </x:c>
      <x:c r="G35" s="18" t="n">
        <x:v>34.64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10</x:v>
      </x:c>
      <x:c r="M35" t="n">
        <x:v>0</x:v>
      </x:c>
      <x:c r="N35" t="str">
        <x:v>Declined</x:v>
      </x:c>
      <x:c r="O35" t="n">
        <x:v>0</x:v>
      </x:c>
      <x:c r="P35" t="str">
        <x:f>IF(L35&gt;=75,"High",IF(L35&gt;=55,"Medium","Low"))</x:f>
        <x:v>Low</x:v>
      </x:c>
    </x:row>
    <x:row r="36">
      <x:c r="A36" t="n">
        <x:v>35</x:v>
      </x:c>
      <x:c r="B36" t="n">
        <x:v>10054</x:v>
      </x:c>
      <x:c r="C36" s="16" t="n">
        <x:v>46158</x:v>
      </x:c>
      <x:c r="D36" t="str">
        <x:v>03:31:00</x:v>
      </x:c>
      <x:c r="E36" t="str">
        <x:v>Card</x:v>
      </x:c>
      <x:c r="F36" t="str">
        <x:v>Retail</x:v>
      </x:c>
      <x:c r="G36" s="18" t="n">
        <x:v>59.67</x:v>
      </x:c>
      <x:c r="H36" t="n">
        <x:v>0</x:v>
      </x:c>
      <x:c r="I36" t="n">
        <x:v>1</x:v>
      </x:c>
      <x:c r="J36" t="n">
        <x:v>0</x:v>
      </x:c>
      <x:c r="K36" t="n">
        <x:v>1</x:v>
      </x:c>
      <x:c r="L36" t="n">
        <x:v>45</x:v>
      </x:c>
      <x:c r="M36" t="n">
        <x:v>0</x:v>
      </x:c>
      <x:c r="N36" t="str">
        <x:v>Approved</x:v>
      </x:c>
      <x:c r="O36" t="n">
        <x:v>0</x:v>
      </x:c>
      <x:c r="P36" t="str">
        <x:f>IF(L36&gt;=75,"High",IF(L36&gt;=55,"Medium","Low"))</x:f>
        <x:v>Low</x:v>
      </x:c>
    </x:row>
    <x:row r="37">
      <x:c r="A37" t="n">
        <x:v>36</x:v>
      </x:c>
      <x:c r="B37" t="n">
        <x:v>10133</x:v>
      </x:c>
      <x:c r="C37" s="16" t="n">
        <x:v>46215</x:v>
      </x:c>
      <x:c r="D37" t="str">
        <x:v>11:11:00</x:v>
      </x:c>
      <x:c r="E37" t="str">
        <x:v>Bank Transfer</x:v>
      </x:c>
      <x:c r="F37" t="str">
        <x:v>Utilities</x:v>
      </x:c>
      <x:c r="G37" s="18" t="n">
        <x:v>163.79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10</x:v>
      </x:c>
      <x:c r="M37" t="n">
        <x:v>0</x:v>
      </x:c>
      <x:c r="N37" t="str">
        <x:v>Approved</x:v>
      </x:c>
      <x:c r="O37" t="n">
        <x:v>0</x:v>
      </x:c>
      <x:c r="P37" t="str">
        <x:f>IF(L37&gt;=75,"High",IF(L37&gt;=55,"Medium","Low"))</x:f>
        <x:v>Low</x:v>
      </x:c>
    </x:row>
    <x:row r="38">
      <x:c r="A38" t="n">
        <x:v>37</x:v>
      </x:c>
      <x:c r="B38" t="n">
        <x:v>10203</x:v>
      </x:c>
      <x:c r="C38" s="16" t="n">
        <x:v>46287</x:v>
      </x:c>
      <x:c r="D38" t="str">
        <x:v>01:18:00</x:v>
      </x:c>
      <x:c r="E38" t="str">
        <x:v>Card</x:v>
      </x:c>
      <x:c r="F38" t="str">
        <x:v>Subscriptions</x:v>
      </x:c>
      <x:c r="G38" s="18" t="n">
        <x:v>137.9</x:v>
      </x:c>
      <x:c r="H38" t="n">
        <x:v>0</x:v>
      </x:c>
      <x:c r="I38" t="n">
        <x:v>0</x:v>
      </x:c>
      <x:c r="J38" t="n">
        <x:v>0</x:v>
      </x:c>
      <x:c r="K38" t="n">
        <x:v>1</x:v>
      </x:c>
      <x:c r="L38" t="n">
        <x:v>25</x:v>
      </x:c>
      <x:c r="M38" t="n">
        <x:v>0</x:v>
      </x:c>
      <x:c r="N38" t="str">
        <x:v>Declined</x:v>
      </x:c>
      <x:c r="O38" t="n">
        <x:v>0</x:v>
      </x:c>
      <x:c r="P38" t="str">
        <x:f>IF(L38&gt;=75,"High",IF(L38&gt;=55,"Medium","Low"))</x:f>
        <x:v>Low</x:v>
      </x:c>
    </x:row>
    <x:row r="39">
      <x:c r="A39" t="n">
        <x:v>38</x:v>
      </x:c>
      <x:c r="B39" t="n">
        <x:v>10291</x:v>
      </x:c>
      <x:c r="C39" s="16" t="n">
        <x:v>46187</x:v>
      </x:c>
      <x:c r="D39" t="str">
        <x:v>21:21:00</x:v>
      </x:c>
      <x:c r="E39" t="str">
        <x:v>Card</x:v>
      </x:c>
      <x:c r="F39" t="str">
        <x:v>Dining</x:v>
      </x:c>
      <x:c r="G39" s="18" t="n">
        <x:v>437.73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10</x:v>
      </x:c>
      <x:c r="M39" t="n">
        <x:v>0</x:v>
      </x:c>
      <x:c r="N39" t="str">
        <x:v>Approved</x:v>
      </x:c>
      <x:c r="O39" t="n">
        <x:v>0</x:v>
      </x:c>
      <x:c r="P39" t="str">
        <x:f>IF(L39&gt;=75,"High",IF(L39&gt;=55,"Medium","Low"))</x:f>
        <x:v>Low</x:v>
      </x:c>
    </x:row>
    <x:row r="40">
      <x:c r="A40" t="n">
        <x:v>39</x:v>
      </x:c>
      <x:c r="B40" t="n">
        <x:v>10335</x:v>
      </x:c>
      <x:c r="C40" s="16" t="n">
        <x:v>46156</x:v>
      </x:c>
      <x:c r="D40" t="str">
        <x:v>19:10:00</x:v>
      </x:c>
      <x:c r="E40" t="str">
        <x:v>Card</x:v>
      </x:c>
      <x:c r="F40" t="str">
        <x:v>Electronics</x:v>
      </x:c>
      <x:c r="G40" s="18" t="n">
        <x:v>28.14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10</x:v>
      </x:c>
      <x:c r="M40" t="n">
        <x:v>0</x:v>
      </x:c>
      <x:c r="N40" t="str">
        <x:v>Approved</x:v>
      </x:c>
      <x:c r="O40" t="n">
        <x:v>0</x:v>
      </x:c>
      <x:c r="P40" t="str">
        <x:f>IF(L40&gt;=75,"High",IF(L40&gt;=55,"Medium","Low"))</x:f>
        <x:v>Low</x:v>
      </x:c>
    </x:row>
    <x:row r="41">
      <x:c r="A41" t="n">
        <x:v>40</x:v>
      </x:c>
      <x:c r="B41" t="n">
        <x:v>10143</x:v>
      </x:c>
      <x:c r="C41" s="16" t="n">
        <x:v>46194</x:v>
      </x:c>
      <x:c r="D41" t="str">
        <x:v>12:40:00</x:v>
      </x:c>
      <x:c r="E41" t="str">
        <x:v>Bank Transfer</x:v>
      </x:c>
      <x:c r="F41" t="str">
        <x:v>Transfer</x:v>
      </x:c>
      <x:c r="G41" s="18" t="n">
        <x:v>39.3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10</x:v>
      </x:c>
      <x:c r="M41" t="n">
        <x:v>0</x:v>
      </x:c>
      <x:c r="N41" t="str">
        <x:v>Approved</x:v>
      </x:c>
      <x:c r="O41" t="n">
        <x:v>0</x:v>
      </x:c>
      <x:c r="P41" t="str">
        <x:f>IF(L41&gt;=75,"High",IF(L41&gt;=55,"Medium","Low"))</x:f>
        <x:v>Low</x:v>
      </x:c>
    </x:row>
    <x:row r="42">
      <x:c r="A42" t="n">
        <x:v>41</x:v>
      </x:c>
      <x:c r="B42" t="n">
        <x:v>10322</x:v>
      </x:c>
      <x:c r="C42" s="16" t="n">
        <x:v>46288</x:v>
      </x:c>
      <x:c r="D42" t="str">
        <x:v>22:32:00</x:v>
      </x:c>
      <x:c r="E42" t="str">
        <x:v>Bank Transfer</x:v>
      </x:c>
      <x:c r="F42" t="str">
        <x:v>Retail</x:v>
      </x:c>
      <x:c r="G42" s="18" t="n">
        <x:v>25.97</x:v>
      </x:c>
      <x:c r="H42" t="n">
        <x:v>0</x:v>
      </x:c>
      <x:c r="I42" t="n">
        <x:v>1</x:v>
      </x:c>
      <x:c r="J42" t="n">
        <x:v>0</x:v>
      </x:c>
      <x:c r="K42" t="n">
        <x:v>0</x:v>
      </x:c>
      <x:c r="L42" t="n">
        <x:v>30</x:v>
      </x:c>
      <x:c r="M42" t="n">
        <x:v>0</x:v>
      </x:c>
      <x:c r="N42" t="str">
        <x:v>Approved</x:v>
      </x:c>
      <x:c r="O42" t="n">
        <x:v>0</x:v>
      </x:c>
      <x:c r="P42" t="str">
        <x:f>IF(L42&gt;=75,"High",IF(L42&gt;=55,"Medium","Low"))</x:f>
        <x:v>Low</x:v>
      </x:c>
    </x:row>
    <x:row r="43">
      <x:c r="A43" t="n">
        <x:v>42</x:v>
      </x:c>
      <x:c r="B43" t="n">
        <x:v>10310</x:v>
      </x:c>
      <x:c r="C43" s="16" t="n">
        <x:v>46225</x:v>
      </x:c>
      <x:c r="D43" t="str">
        <x:v>16:11:00</x:v>
      </x:c>
      <x:c r="E43" t="str">
        <x:v>Bank Transfer</x:v>
      </x:c>
      <x:c r="F43" t="str">
        <x:v>Dining</x:v>
      </x:c>
      <x:c r="G43" s="18" t="n">
        <x:v>90.92</x:v>
      </x:c>
      <x:c r="H43" t="n">
        <x:v>1</x:v>
      </x:c>
      <x:c r="I43" t="n">
        <x:v>1</x:v>
      </x:c>
      <x:c r="J43" t="n">
        <x:v>0</x:v>
      </x:c>
      <x:c r="K43" t="n">
        <x:v>0</x:v>
      </x:c>
      <x:c r="L43" t="n">
        <x:v>56</x:v>
      </x:c>
      <x:c r="M43" t="n">
        <x:v>1</x:v>
      </x:c>
      <x:c r="N43" t="str">
        <x:v>Approved</x:v>
      </x:c>
      <x:c r="O43" t="n">
        <x:v>0</x:v>
      </x:c>
      <x:c r="P43" t="str">
        <x:f>IF(L43&gt;=75,"High",IF(L43&gt;=55,"Medium","Low"))</x:f>
        <x:v>Medium</x:v>
      </x:c>
    </x:row>
    <x:row r="44">
      <x:c r="A44" t="n">
        <x:v>43</x:v>
      </x:c>
      <x:c r="B44" t="n">
        <x:v>10135</x:v>
      </x:c>
      <x:c r="C44" s="16" t="n">
        <x:v>46176</x:v>
      </x:c>
      <x:c r="D44" t="str">
        <x:v>05:50:00</x:v>
      </x:c>
      <x:c r="E44" t="str">
        <x:v>Card</x:v>
      </x:c>
      <x:c r="F44" t="str">
        <x:v>Travel</x:v>
      </x:c>
      <x:c r="G44" s="18" t="n">
        <x:v>376.59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10</x:v>
      </x:c>
      <x:c r="M44" t="n">
        <x:v>0</x:v>
      </x:c>
      <x:c r="N44" t="str">
        <x:v>Approved</x:v>
      </x:c>
      <x:c r="O44" t="n">
        <x:v>0</x:v>
      </x:c>
      <x:c r="P44" t="str">
        <x:f>IF(L44&gt;=75,"High",IF(L44&gt;=55,"Medium","Low"))</x:f>
        <x:v>Low</x:v>
      </x:c>
    </x:row>
    <x:row r="45">
      <x:c r="A45" t="n">
        <x:v>44</x:v>
      </x:c>
      <x:c r="B45" t="n">
        <x:v>10089</x:v>
      </x:c>
      <x:c r="C45" s="16" t="n">
        <x:v>46120</x:v>
      </x:c>
      <x:c r="D45" t="str">
        <x:v>12:05:00</x:v>
      </x:c>
      <x:c r="E45" t="str">
        <x:v>Card</x:v>
      </x:c>
      <x:c r="F45" t="str">
        <x:v>Electronics</x:v>
      </x:c>
      <x:c r="G45" s="18" t="n">
        <x:v>311.61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10</x:v>
      </x:c>
      <x:c r="M45" t="n">
        <x:v>0</x:v>
      </x:c>
      <x:c r="N45" t="str">
        <x:v>Approved</x:v>
      </x:c>
      <x:c r="O45" t="n">
        <x:v>0</x:v>
      </x:c>
      <x:c r="P45" t="str">
        <x:f>IF(L45&gt;=75,"High",IF(L45&gt;=55,"Medium","Low"))</x:f>
        <x:v>Low</x:v>
      </x:c>
    </x:row>
    <x:row r="46">
      <x:c r="A46" t="n">
        <x:v>45</x:v>
      </x:c>
      <x:c r="B46" t="n">
        <x:v>10198</x:v>
      </x:c>
      <x:c r="C46" s="16" t="n">
        <x:v>46142</x:v>
      </x:c>
      <x:c r="D46" t="str">
        <x:v>07:01:00</x:v>
      </x:c>
      <x:c r="E46" t="str">
        <x:v>Card</x:v>
      </x:c>
      <x:c r="F46" t="str">
        <x:v>Transfer</x:v>
      </x:c>
      <x:c r="G46" s="18" t="n">
        <x:v>93.7</x:v>
      </x:c>
      <x:c r="H46" t="n">
        <x:v>0</x:v>
      </x:c>
      <x:c r="I46" t="n">
        <x:v>1</x:v>
      </x:c>
      <x:c r="J46" t="n">
        <x:v>0</x:v>
      </x:c>
      <x:c r="K46" t="n">
        <x:v>0</x:v>
      </x:c>
      <x:c r="L46" t="n">
        <x:v>30</x:v>
      </x:c>
      <x:c r="M46" t="n">
        <x:v>0</x:v>
      </x:c>
      <x:c r="N46" t="str">
        <x:v>Approved</x:v>
      </x:c>
      <x:c r="O46" t="n">
        <x:v>0</x:v>
      </x:c>
      <x:c r="P46" t="str">
        <x:f>IF(L46&gt;=75,"High",IF(L46&gt;=55,"Medium","Low"))</x:f>
        <x:v>Low</x:v>
      </x:c>
    </x:row>
    <x:row r="47">
      <x:c r="A47" t="n">
        <x:v>46</x:v>
      </x:c>
      <x:c r="B47" t="n">
        <x:v>10286</x:v>
      </x:c>
      <x:c r="C47" s="16" t="n">
        <x:v>46216</x:v>
      </x:c>
      <x:c r="D47" t="str">
        <x:v>21:20:00</x:v>
      </x:c>
      <x:c r="E47" t="str">
        <x:v>Bank Transfer</x:v>
      </x:c>
      <x:c r="F47" t="str">
        <x:v>Retail</x:v>
      </x:c>
      <x:c r="G47" s="18" t="n">
        <x:v>206.97</x:v>
      </x:c>
      <x:c r="H47" t="n">
        <x:v>0</x:v>
      </x:c>
      <x:c r="I47" t="n">
        <x:v>1</x:v>
      </x:c>
      <x:c r="J47" t="n">
        <x:v>0</x:v>
      </x:c>
      <x:c r="K47" t="n">
        <x:v>0</x:v>
      </x:c>
      <x:c r="L47" t="n">
        <x:v>30</x:v>
      </x:c>
      <x:c r="M47" t="n">
        <x:v>0</x:v>
      </x:c>
      <x:c r="N47" t="str">
        <x:v>Approved</x:v>
      </x:c>
      <x:c r="O47" t="n">
        <x:v>0</x:v>
      </x:c>
      <x:c r="P47" t="str">
        <x:f>IF(L47&gt;=75,"High",IF(L47&gt;=55,"Medium","Low"))</x:f>
        <x:v>Low</x:v>
      </x:c>
    </x:row>
    <x:row r="48">
      <x:c r="A48" t="n">
        <x:v>47</x:v>
      </x:c>
      <x:c r="B48" t="n">
        <x:v>10137</x:v>
      </x:c>
      <x:c r="C48" s="16" t="n">
        <x:v>46265</x:v>
      </x:c>
      <x:c r="D48" t="str">
        <x:v>03:49:00</x:v>
      </x:c>
      <x:c r="E48" t="str">
        <x:v>Card</x:v>
      </x:c>
      <x:c r="F48" t="str">
        <x:v>Travel</x:v>
      </x:c>
      <x:c r="G48" s="18" t="n">
        <x:v>66.84</x:v>
      </x:c>
      <x:c r="H48" t="n">
        <x:v>0</x:v>
      </x:c>
      <x:c r="I48" t="n">
        <x:v>0</x:v>
      </x:c>
      <x:c r="J48" t="n">
        <x:v>0</x:v>
      </x:c>
      <x:c r="K48" t="n">
        <x:v>1</x:v>
      </x:c>
      <x:c r="L48" t="n">
        <x:v>25</x:v>
      </x:c>
      <x:c r="M48" t="n">
        <x:v>0</x:v>
      </x:c>
      <x:c r="N48" t="str">
        <x:v>Approved</x:v>
      </x:c>
      <x:c r="O48" t="n">
        <x:v>0</x:v>
      </x:c>
      <x:c r="P48" t="str">
        <x:f>IF(L48&gt;=75,"High",IF(L48&gt;=55,"Medium","Low"))</x:f>
        <x:v>Low</x:v>
      </x:c>
    </x:row>
    <x:row r="49">
      <x:c r="A49" t="n">
        <x:v>48</x:v>
      </x:c>
      <x:c r="B49" t="n">
        <x:v>10355</x:v>
      </x:c>
      <x:c r="C49" s="16" t="n">
        <x:v>46193</x:v>
      </x:c>
      <x:c r="D49" t="str">
        <x:v>13:40:00</x:v>
      </x:c>
      <x:c r="E49" t="str">
        <x:v>P2P</x:v>
      </x:c>
      <x:c r="F49" t="str">
        <x:v>Dining</x:v>
      </x:c>
      <x:c r="G49" s="18" t="n">
        <x:v>53.58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10</x:v>
      </x:c>
      <x:c r="M49" t="n">
        <x:v>0</x:v>
      </x:c>
      <x:c r="N49" t="str">
        <x:v>Approved</x:v>
      </x:c>
      <x:c r="O49" t="n">
        <x:v>0</x:v>
      </x:c>
      <x:c r="P49" t="str">
        <x:f>IF(L49&gt;=75,"High",IF(L49&gt;=55,"Medium","Low"))</x:f>
        <x:v>Low</x:v>
      </x:c>
    </x:row>
    <x:row r="50">
      <x:c r="A50" t="n">
        <x:v>49</x:v>
      </x:c>
      <x:c r="B50" t="n">
        <x:v>10163</x:v>
      </x:c>
      <x:c r="C50" s="16" t="n">
        <x:v>46119</x:v>
      </x:c>
      <x:c r="D50" t="str">
        <x:v>12:24:00</x:v>
      </x:c>
      <x:c r="E50" t="str">
        <x:v>P2P</x:v>
      </x:c>
      <x:c r="F50" t="str">
        <x:v>Subscriptions</x:v>
      </x:c>
      <x:c r="G50" s="18" t="n">
        <x:v>34.66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10</x:v>
      </x:c>
      <x:c r="M50" t="n">
        <x:v>0</x:v>
      </x:c>
      <x:c r="N50" t="str">
        <x:v>Approved</x:v>
      </x:c>
      <x:c r="O50" t="n">
        <x:v>0</x:v>
      </x:c>
      <x:c r="P50" t="str">
        <x:f>IF(L50&gt;=75,"High",IF(L50&gt;=55,"Medium","Low"))</x:f>
        <x:v>Low</x:v>
      </x:c>
    </x:row>
    <x:row r="51">
      <x:c r="A51" t="n">
        <x:v>50</x:v>
      </x:c>
      <x:c r="B51" t="n">
        <x:v>10215</x:v>
      </x:c>
      <x:c r="C51" s="16" t="n">
        <x:v>46262</x:v>
      </x:c>
      <x:c r="D51" t="str">
        <x:v>19:34:00</x:v>
      </x:c>
      <x:c r="E51" t="str">
        <x:v>Card</x:v>
      </x:c>
      <x:c r="F51" t="str">
        <x:v>Dining</x:v>
      </x:c>
      <x:c r="G51" s="18" t="n">
        <x:v>76.08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10</x:v>
      </x:c>
      <x:c r="M51" t="n">
        <x:v>0</x:v>
      </x:c>
      <x:c r="N51" t="str">
        <x:v>Declined</x:v>
      </x:c>
      <x:c r="O51" t="n">
        <x:v>0</x:v>
      </x:c>
      <x:c r="P51" t="str">
        <x:f>IF(L51&gt;=75,"High",IF(L51&gt;=55,"Medium","Low"))</x:f>
        <x:v>Low</x:v>
      </x:c>
    </x:row>
    <x:row r="52">
      <x:c r="A52" t="n">
        <x:v>51</x:v>
      </x:c>
      <x:c r="B52" t="n">
        <x:v>10315</x:v>
      </x:c>
      <x:c r="C52" s="16" t="n">
        <x:v>46125</x:v>
      </x:c>
      <x:c r="D52" t="str">
        <x:v>18:30:00</x:v>
      </x:c>
      <x:c r="E52" t="str">
        <x:v>P2P</x:v>
      </x:c>
      <x:c r="F52" t="str">
        <x:v>Utilities</x:v>
      </x:c>
      <x:c r="G52" s="18" t="n">
        <x:v>79.81</x:v>
      </x:c>
      <x:c r="H52" t="n">
        <x:v>0</x:v>
      </x:c>
      <x:c r="I52" t="n">
        <x:v>1</x:v>
      </x:c>
      <x:c r="J52" t="n">
        <x:v>0</x:v>
      </x:c>
      <x:c r="K52" t="n">
        <x:v>0</x:v>
      </x:c>
      <x:c r="L52" t="n">
        <x:v>30</x:v>
      </x:c>
      <x:c r="M52" t="n">
        <x:v>0</x:v>
      </x:c>
      <x:c r="N52" t="str">
        <x:v>Approved</x:v>
      </x:c>
      <x:c r="O52" t="n">
        <x:v>0</x:v>
      </x:c>
      <x:c r="P52" t="str">
        <x:f>IF(L52&gt;=75,"High",IF(L52&gt;=55,"Medium","Low"))</x:f>
        <x:v>Low</x:v>
      </x:c>
    </x:row>
    <x:row r="53">
      <x:c r="A53" t="n">
        <x:v>52</x:v>
      </x:c>
      <x:c r="B53" t="n">
        <x:v>10360</x:v>
      </x:c>
      <x:c r="C53" s="16" t="n">
        <x:v>46183</x:v>
      </x:c>
      <x:c r="D53" t="str">
        <x:v>11:30:00</x:v>
      </x:c>
      <x:c r="E53" t="str">
        <x:v>Card</x:v>
      </x:c>
      <x:c r="F53" t="str">
        <x:v>Travel</x:v>
      </x:c>
      <x:c r="G53" s="18" t="n">
        <x:v>162.43</x:v>
      </x:c>
      <x:c r="H53" t="n">
        <x:v>1</x:v>
      </x:c>
      <x:c r="I53" t="n">
        <x:v>0</x:v>
      </x:c>
      <x:c r="J53" t="n">
        <x:v>0</x:v>
      </x:c>
      <x:c r="K53" t="n">
        <x:v>0</x:v>
      </x:c>
      <x:c r="L53" t="n">
        <x:v>36</x:v>
      </x:c>
      <x:c r="M53" t="n">
        <x:v>0</x:v>
      </x:c>
      <x:c r="N53" t="str">
        <x:v>Approved</x:v>
      </x:c>
      <x:c r="O53" t="n">
        <x:v>0</x:v>
      </x:c>
      <x:c r="P53" t="str">
        <x:f>IF(L53&gt;=75,"High",IF(L53&gt;=55,"Medium","Low"))</x:f>
        <x:v>Low</x:v>
      </x:c>
    </x:row>
    <x:row r="54">
      <x:c r="A54" t="n">
        <x:v>53</x:v>
      </x:c>
      <x:c r="B54" t="n">
        <x:v>10135</x:v>
      </x:c>
      <x:c r="C54" s="16" t="n">
        <x:v>46197</x:v>
      </x:c>
      <x:c r="D54" t="str">
        <x:v>06:52:00</x:v>
      </x:c>
      <x:c r="E54" t="str">
        <x:v>P2P</x:v>
      </x:c>
      <x:c r="F54" t="str">
        <x:v>Subscriptions</x:v>
      </x:c>
      <x:c r="G54" s="18" t="n">
        <x:v>270.92</x:v>
      </x:c>
      <x:c r="H54" t="n">
        <x:v>0</x:v>
      </x:c>
      <x:c r="I54" t="n">
        <x:v>1</x:v>
      </x:c>
      <x:c r="J54" t="n">
        <x:v>0</x:v>
      </x:c>
      <x:c r="K54" t="n">
        <x:v>0</x:v>
      </x:c>
      <x:c r="L54" t="n">
        <x:v>30</x:v>
      </x:c>
      <x:c r="M54" t="n">
        <x:v>0</x:v>
      </x:c>
      <x:c r="N54" t="str">
        <x:v>Approved</x:v>
      </x:c>
      <x:c r="O54" t="n">
        <x:v>0</x:v>
      </x:c>
      <x:c r="P54" t="str">
        <x:f>IF(L54&gt;=75,"High",IF(L54&gt;=55,"Medium","Low"))</x:f>
        <x:v>Low</x:v>
      </x:c>
    </x:row>
    <x:row r="55">
      <x:c r="A55" t="n">
        <x:v>54</x:v>
      </x:c>
      <x:c r="B55" t="n">
        <x:v>10192</x:v>
      </x:c>
      <x:c r="C55" s="16" t="n">
        <x:v>46125</x:v>
      </x:c>
      <x:c r="D55" t="str">
        <x:v>16:14:00</x:v>
      </x:c>
      <x:c r="E55" t="str">
        <x:v>Card</x:v>
      </x:c>
      <x:c r="F55" t="str">
        <x:v>Retail</x:v>
      </x:c>
      <x:c r="G55" s="18" t="n">
        <x:v>405.95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10</x:v>
      </x:c>
      <x:c r="M55" t="n">
        <x:v>0</x:v>
      </x:c>
      <x:c r="N55" t="str">
        <x:v>Declined</x:v>
      </x:c>
      <x:c r="O55" t="n">
        <x:v>0</x:v>
      </x:c>
      <x:c r="P55" t="str">
        <x:f>IF(L55&gt;=75,"High",IF(L55&gt;=55,"Medium","Low"))</x:f>
        <x:v>Low</x:v>
      </x:c>
    </x:row>
    <x:row r="56">
      <x:c r="A56" t="n">
        <x:v>55</x:v>
      </x:c>
      <x:c r="B56" t="n">
        <x:v>10017</x:v>
      </x:c>
      <x:c r="C56" s="16" t="n">
        <x:v>46139</x:v>
      </x:c>
      <x:c r="D56" t="str">
        <x:v>11:34:00</x:v>
      </x:c>
      <x:c r="E56" t="str">
        <x:v>Bank Transfer</x:v>
      </x:c>
      <x:c r="F56" t="str">
        <x:v>Subscriptions</x:v>
      </x:c>
      <x:c r="G56" s="18" t="n">
        <x:v>136.13</x:v>
      </x:c>
      <x:c r="H56" t="n">
        <x:v>1</x:v>
      </x:c>
      <x:c r="I56" t="n">
        <x:v>1</x:v>
      </x:c>
      <x:c r="J56" t="n">
        <x:v>0</x:v>
      </x:c>
      <x:c r="K56" t="n">
        <x:v>0</x:v>
      </x:c>
      <x:c r="L56" t="n">
        <x:v>56</x:v>
      </x:c>
      <x:c r="M56" t="n">
        <x:v>1</x:v>
      </x:c>
      <x:c r="N56" t="str">
        <x:v>Approved</x:v>
      </x:c>
      <x:c r="O56" t="n">
        <x:v>0</x:v>
      </x:c>
      <x:c r="P56" t="str">
        <x:f>IF(L56&gt;=75,"High",IF(L56&gt;=55,"Medium","Low"))</x:f>
        <x:v>Medium</x:v>
      </x:c>
    </x:row>
    <x:row r="57">
      <x:c r="A57" t="n">
        <x:v>56</x:v>
      </x:c>
      <x:c r="B57" t="n">
        <x:v>10130</x:v>
      </x:c>
      <x:c r="C57" s="16" t="n">
        <x:v>46275</x:v>
      </x:c>
      <x:c r="D57" t="str">
        <x:v>14:10:00</x:v>
      </x:c>
      <x:c r="E57" t="str">
        <x:v>Bank Transfer</x:v>
      </x:c>
      <x:c r="F57" t="str">
        <x:v>Retail</x:v>
      </x:c>
      <x:c r="G57" s="18" t="n">
        <x:v>1881.14</x:v>
      </x:c>
      <x:c r="H57" t="n">
        <x:v>1</x:v>
      </x:c>
      <x:c r="I57" t="n">
        <x:v>0</x:v>
      </x:c>
      <x:c r="J57" t="n">
        <x:v>1</x:v>
      </x:c>
      <x:c r="K57" t="n">
        <x:v>0</x:v>
      </x:c>
      <x:c r="L57" t="n">
        <x:v>82</x:v>
      </x:c>
      <x:c r="M57" t="n">
        <x:v>1</x:v>
      </x:c>
      <x:c r="N57" t="str">
        <x:v>Approved</x:v>
      </x:c>
      <x:c r="O57" t="n">
        <x:v>0</x:v>
      </x:c>
      <x:c r="P57" t="str">
        <x:f>IF(L57&gt;=75,"High",IF(L57&gt;=55,"Medium","Low"))</x:f>
        <x:v>High</x:v>
      </x:c>
    </x:row>
    <x:row r="58">
      <x:c r="A58" t="n">
        <x:v>57</x:v>
      </x:c>
      <x:c r="B58" t="n">
        <x:v>10180</x:v>
      </x:c>
      <x:c r="C58" s="16" t="n">
        <x:v>46180</x:v>
      </x:c>
      <x:c r="D58" t="str">
        <x:v>08:06:00</x:v>
      </x:c>
      <x:c r="E58" t="str">
        <x:v>P2P</x:v>
      </x:c>
      <x:c r="F58" t="str">
        <x:v>Electronics</x:v>
      </x:c>
      <x:c r="G58" s="18" t="n">
        <x:v>116.38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10</x:v>
      </x:c>
      <x:c r="M58" t="n">
        <x:v>0</x:v>
      </x:c>
      <x:c r="N58" t="str">
        <x:v>Approved</x:v>
      </x:c>
      <x:c r="O58" t="n">
        <x:v>0</x:v>
      </x:c>
      <x:c r="P58" t="str">
        <x:f>IF(L58&gt;=75,"High",IF(L58&gt;=55,"Medium","Low"))</x:f>
        <x:v>Low</x:v>
      </x:c>
    </x:row>
    <x:row r="59">
      <x:c r="A59" t="n">
        <x:v>58</x:v>
      </x:c>
      <x:c r="B59" t="n">
        <x:v>10193</x:v>
      </x:c>
      <x:c r="C59" s="16" t="n">
        <x:v>46146</x:v>
      </x:c>
      <x:c r="D59" t="str">
        <x:v>04:15:00</x:v>
      </x:c>
      <x:c r="E59" t="str">
        <x:v>Card</x:v>
      </x:c>
      <x:c r="F59" t="str">
        <x:v>Travel</x:v>
      </x:c>
      <x:c r="G59" s="18" t="n">
        <x:v>18.09</x:v>
      </x:c>
      <x:c r="H59" t="n">
        <x:v>0</x:v>
      </x:c>
      <x:c r="I59" t="n">
        <x:v>1</x:v>
      </x:c>
      <x:c r="J59" t="n">
        <x:v>0</x:v>
      </x:c>
      <x:c r="K59" t="n">
        <x:v>1</x:v>
      </x:c>
      <x:c r="L59" t="n">
        <x:v>45</x:v>
      </x:c>
      <x:c r="M59" t="n">
        <x:v>0</x:v>
      </x:c>
      <x:c r="N59" t="str">
        <x:v>Approved</x:v>
      </x:c>
      <x:c r="O59" t="n">
        <x:v>0</x:v>
      </x:c>
      <x:c r="P59" t="str">
        <x:f>IF(L59&gt;=75,"High",IF(L59&gt;=55,"Medium","Low"))</x:f>
        <x:v>Low</x:v>
      </x:c>
    </x:row>
    <x:row r="60">
      <x:c r="A60" t="n">
        <x:v>59</x:v>
      </x:c>
      <x:c r="B60" t="n">
        <x:v>10089</x:v>
      </x:c>
      <x:c r="C60" s="16" t="n">
        <x:v>46161</x:v>
      </x:c>
      <x:c r="D60" t="str">
        <x:v>23:07:00</x:v>
      </x:c>
      <x:c r="E60" t="str">
        <x:v>Card</x:v>
      </x:c>
      <x:c r="F60" t="str">
        <x:v>Utilities</x:v>
      </x:c>
      <x:c r="G60" s="18" t="n">
        <x:v>208.52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36</x:v>
      </x:c>
      <x:c r="M60" t="n">
        <x:v>0</x:v>
      </x:c>
      <x:c r="N60" t="str">
        <x:v>Approved</x:v>
      </x:c>
      <x:c r="O60" t="n">
        <x:v>0</x:v>
      </x:c>
      <x:c r="P60" t="str">
        <x:f>IF(L60&gt;=75,"High",IF(L60&gt;=55,"Medium","Low"))</x:f>
        <x:v>Low</x:v>
      </x:c>
    </x:row>
    <x:row r="61">
      <x:c r="A61" t="n">
        <x:v>60</x:v>
      </x:c>
      <x:c r="B61" t="n">
        <x:v>10319</x:v>
      </x:c>
      <x:c r="C61" s="16" t="n">
        <x:v>46191</x:v>
      </x:c>
      <x:c r="D61" t="str">
        <x:v>17:22:00</x:v>
      </x:c>
      <x:c r="E61" t="str">
        <x:v>Card</x:v>
      </x:c>
      <x:c r="F61" t="str">
        <x:v>Electronics</x:v>
      </x:c>
      <x:c r="G61" s="18" t="n">
        <x:v>91.86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10</x:v>
      </x:c>
      <x:c r="M61" t="n">
        <x:v>0</x:v>
      </x:c>
      <x:c r="N61" t="str">
        <x:v>Approved</x:v>
      </x:c>
      <x:c r="O61" t="n">
        <x:v>0</x:v>
      </x:c>
      <x:c r="P61" t="str">
        <x:f>IF(L61&gt;=75,"High",IF(L61&gt;=55,"Medium","Low"))</x:f>
        <x:v>Low</x:v>
      </x:c>
    </x:row>
    <x:row r="62">
      <x:c r="A62" t="n">
        <x:v>61</x:v>
      </x:c>
      <x:c r="B62" t="n">
        <x:v>10296</x:v>
      </x:c>
      <x:c r="C62" s="16" t="n">
        <x:v>46255</x:v>
      </x:c>
      <x:c r="D62" t="str">
        <x:v>04:45:00</x:v>
      </x:c>
      <x:c r="E62" t="str">
        <x:v>P2P</x:v>
      </x:c>
      <x:c r="F62" t="str">
        <x:v>Electronics</x:v>
      </x:c>
      <x:c r="G62" s="18" t="n">
        <x:v>33.97</x:v>
      </x:c>
      <x:c r="H62" t="n">
        <x:v>0</x:v>
      </x:c>
      <x:c r="I62" t="n">
        <x:v>0</x:v>
      </x:c>
      <x:c r="J62" t="n">
        <x:v>0</x:v>
      </x:c>
      <x:c r="K62" t="n">
        <x:v>1</x:v>
      </x:c>
      <x:c r="L62" t="n">
        <x:v>25</x:v>
      </x:c>
      <x:c r="M62" t="n">
        <x:v>0</x:v>
      </x:c>
      <x:c r="N62" t="str">
        <x:v>Approved</x:v>
      </x:c>
      <x:c r="O62" t="n">
        <x:v>0</x:v>
      </x:c>
      <x:c r="P62" t="str">
        <x:f>IF(L62&gt;=75,"High",IF(L62&gt;=55,"Medium","Low"))</x:f>
        <x:v>Low</x:v>
      </x:c>
    </x:row>
    <x:row r="63">
      <x:c r="A63" t="n">
        <x:v>62</x:v>
      </x:c>
      <x:c r="B63" t="n">
        <x:v>10090</x:v>
      </x:c>
      <x:c r="C63" s="16" t="n">
        <x:v>46238</x:v>
      </x:c>
      <x:c r="D63" t="str">
        <x:v>18:54:00</x:v>
      </x:c>
      <x:c r="E63" t="str">
        <x:v>P2P</x:v>
      </x:c>
      <x:c r="F63" t="str">
        <x:v>Utilities</x:v>
      </x:c>
      <x:c r="G63" s="18" t="n">
        <x:v>130.53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10</x:v>
      </x:c>
      <x:c r="M63" t="n">
        <x:v>0</x:v>
      </x:c>
      <x:c r="N63" t="str">
        <x:v>Approved</x:v>
      </x:c>
      <x:c r="O63" t="n">
        <x:v>0</x:v>
      </x:c>
      <x:c r="P63" t="str">
        <x:f>IF(L63&gt;=75,"High",IF(L63&gt;=55,"Medium","Low"))</x:f>
        <x:v>Low</x:v>
      </x:c>
    </x:row>
    <x:row r="64">
      <x:c r="A64" t="n">
        <x:v>63</x:v>
      </x:c>
      <x:c r="B64" t="n">
        <x:v>10163</x:v>
      </x:c>
      <x:c r="C64" s="16" t="n">
        <x:v>46220</x:v>
      </x:c>
      <x:c r="D64" t="str">
        <x:v>20:04:00</x:v>
      </x:c>
      <x:c r="E64" t="str">
        <x:v>P2P</x:v>
      </x:c>
      <x:c r="F64" t="str">
        <x:v>Travel</x:v>
      </x:c>
      <x:c r="G64" s="18" t="n">
        <x:v>15.3</x:v>
      </x:c>
      <x:c r="H64" t="n">
        <x:v>1</x:v>
      </x:c>
      <x:c r="I64" t="n">
        <x:v>1</x:v>
      </x:c>
      <x:c r="J64" t="n">
        <x:v>0</x:v>
      </x:c>
      <x:c r="K64" t="n">
        <x:v>0</x:v>
      </x:c>
      <x:c r="L64" t="n">
        <x:v>56</x:v>
      </x:c>
      <x:c r="M64" t="n">
        <x:v>1</x:v>
      </x:c>
      <x:c r="N64" t="str">
        <x:v>Approved</x:v>
      </x:c>
      <x:c r="O64" t="n">
        <x:v>0</x:v>
      </x:c>
      <x:c r="P64" t="str">
        <x:f>IF(L64&gt;=75,"High",IF(L64&gt;=55,"Medium","Low"))</x:f>
        <x:v>Medium</x:v>
      </x:c>
    </x:row>
    <x:row r="65">
      <x:c r="A65" t="n">
        <x:v>64</x:v>
      </x:c>
      <x:c r="B65" t="n">
        <x:v>10119</x:v>
      </x:c>
      <x:c r="C65" s="16" t="n">
        <x:v>46145</x:v>
      </x:c>
      <x:c r="D65" t="str">
        <x:v>13:33:00</x:v>
      </x:c>
      <x:c r="E65" t="str">
        <x:v>P2P</x:v>
      </x:c>
      <x:c r="F65" t="str">
        <x:v>Utilities</x:v>
      </x:c>
      <x:c r="G65" s="18" t="n">
        <x:v>44.29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10</x:v>
      </x:c>
      <x:c r="M65" t="n">
        <x:v>0</x:v>
      </x:c>
      <x:c r="N65" t="str">
        <x:v>Approved</x:v>
      </x:c>
      <x:c r="O65" t="n">
        <x:v>0</x:v>
      </x:c>
      <x:c r="P65" t="str">
        <x:f>IF(L65&gt;=75,"High",IF(L65&gt;=55,"Medium","Low"))</x:f>
        <x:v>Low</x:v>
      </x:c>
    </x:row>
    <x:row r="66">
      <x:c r="A66" t="n">
        <x:v>65</x:v>
      </x:c>
      <x:c r="B66" t="n">
        <x:v>10103</x:v>
      </x:c>
      <x:c r="C66" s="16" t="n">
        <x:v>46177</x:v>
      </x:c>
      <x:c r="D66" t="str">
        <x:v>13:12:00</x:v>
      </x:c>
      <x:c r="E66" t="str">
        <x:v>Bank Transfer</x:v>
      </x:c>
      <x:c r="F66" t="str">
        <x:v>Transfer</x:v>
      </x:c>
      <x:c r="G66" s="18" t="n">
        <x:v>24.61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10</x:v>
      </x:c>
      <x:c r="M66" t="n">
        <x:v>0</x:v>
      </x:c>
      <x:c r="N66" t="str">
        <x:v>Approved</x:v>
      </x:c>
      <x:c r="O66" t="n">
        <x:v>0</x:v>
      </x:c>
      <x:c r="P66" t="str">
        <x:f>IF(L66&gt;=75,"High",IF(L66&gt;=55,"Medium","Low"))</x:f>
        <x:v>Low</x:v>
      </x:c>
    </x:row>
    <x:row r="67">
      <x:c r="A67" t="n">
        <x:v>66</x:v>
      </x:c>
      <x:c r="B67" t="n">
        <x:v>10335</x:v>
      </x:c>
      <x:c r="C67" s="16" t="n">
        <x:v>46218</x:v>
      </x:c>
      <x:c r="D67" t="str">
        <x:v>22:14:00</x:v>
      </x:c>
      <x:c r="E67" t="str">
        <x:v>P2P</x:v>
      </x:c>
      <x:c r="F67" t="str">
        <x:v>Subscriptions</x:v>
      </x:c>
      <x:c r="G67" s="18" t="n">
        <x:v>35.42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10</x:v>
      </x:c>
      <x:c r="M67" t="n">
        <x:v>0</x:v>
      </x:c>
      <x:c r="N67" t="str">
        <x:v>Approved</x:v>
      </x:c>
      <x:c r="O67" t="n">
        <x:v>0</x:v>
      </x:c>
      <x:c r="P67" t="str">
        <x:f>IF(L67&gt;=75,"High",IF(L67&gt;=55,"Medium","Low"))</x:f>
        <x:v>Low</x:v>
      </x:c>
    </x:row>
    <x:row r="68">
      <x:c r="A68" t="n">
        <x:v>67</x:v>
      </x:c>
      <x:c r="B68" t="n">
        <x:v>10012</x:v>
      </x:c>
      <x:c r="C68" s="16" t="n">
        <x:v>46217</x:v>
      </x:c>
      <x:c r="D68" t="str">
        <x:v>19:45:00</x:v>
      </x:c>
      <x:c r="E68" t="str">
        <x:v>Card</x:v>
      </x:c>
      <x:c r="F68" t="str">
        <x:v>Transfer</x:v>
      </x:c>
      <x:c r="G68" s="18" t="n">
        <x:v>116.97</x:v>
      </x:c>
      <x:c r="H68" t="n">
        <x:v>1</x:v>
      </x:c>
      <x:c r="I68" t="n">
        <x:v>0</x:v>
      </x:c>
      <x:c r="J68" t="n">
        <x:v>0</x:v>
      </x:c>
      <x:c r="K68" t="n">
        <x:v>0</x:v>
      </x:c>
      <x:c r="L68" t="n">
        <x:v>36</x:v>
      </x:c>
      <x:c r="M68" t="n">
        <x:v>0</x:v>
      </x:c>
      <x:c r="N68" t="str">
        <x:v>Approved</x:v>
      </x:c>
      <x:c r="O68" t="n">
        <x:v>0</x:v>
      </x:c>
      <x:c r="P68" t="str">
        <x:f>IF(L68&gt;=75,"High",IF(L68&gt;=55,"Medium","Low"))</x:f>
        <x:v>Low</x:v>
      </x:c>
    </x:row>
    <x:row r="69">
      <x:c r="A69" t="n">
        <x:v>68</x:v>
      </x:c>
      <x:c r="B69" t="n">
        <x:v>10320</x:v>
      </x:c>
      <x:c r="C69" s="16" t="n">
        <x:v>46149</x:v>
      </x:c>
      <x:c r="D69" t="str">
        <x:v>15:23:00</x:v>
      </x:c>
      <x:c r="E69" t="str">
        <x:v>Bank Transfer</x:v>
      </x:c>
      <x:c r="F69" t="str">
        <x:v>Subscriptions</x:v>
      </x:c>
      <x:c r="G69" s="18" t="n">
        <x:v>143.95</x:v>
      </x:c>
      <x:c r="H69" t="n">
        <x:v>1</x:v>
      </x:c>
      <x:c r="I69" t="n">
        <x:v>0</x:v>
      </x:c>
      <x:c r="J69" t="n">
        <x:v>0</x:v>
      </x:c>
      <x:c r="K69" t="n">
        <x:v>0</x:v>
      </x:c>
      <x:c r="L69" t="n">
        <x:v>36</x:v>
      </x:c>
      <x:c r="M69" t="n">
        <x:v>0</x:v>
      </x:c>
      <x:c r="N69" t="str">
        <x:v>Approved</x:v>
      </x:c>
      <x:c r="O69" t="n">
        <x:v>0</x:v>
      </x:c>
      <x:c r="P69" t="str">
        <x:f>IF(L69&gt;=75,"High",IF(L69&gt;=55,"Medium","Low"))</x:f>
        <x:v>Low</x:v>
      </x:c>
    </x:row>
    <x:row r="70">
      <x:c r="A70" t="n">
        <x:v>69</x:v>
      </x:c>
      <x:c r="B70" t="n">
        <x:v>10358</x:v>
      </x:c>
      <x:c r="C70" s="16" t="n">
        <x:v>46144</x:v>
      </x:c>
      <x:c r="D70" t="str">
        <x:v>08:33:00</x:v>
      </x:c>
      <x:c r="E70" t="str">
        <x:v>Card</x:v>
      </x:c>
      <x:c r="F70" t="str">
        <x:v>Travel</x:v>
      </x:c>
      <x:c r="G70" s="18" t="n">
        <x:v>168.52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10</x:v>
      </x:c>
      <x:c r="M70" t="n">
        <x:v>0</x:v>
      </x:c>
      <x:c r="N70" t="str">
        <x:v>Approved</x:v>
      </x:c>
      <x:c r="O70" t="n">
        <x:v>0</x:v>
      </x:c>
      <x:c r="P70" t="str">
        <x:f>IF(L70&gt;=75,"High",IF(L70&gt;=55,"Medium","Low"))</x:f>
        <x:v>Low</x:v>
      </x:c>
    </x:row>
    <x:row r="71">
      <x:c r="A71" t="n">
        <x:v>70</x:v>
      </x:c>
      <x:c r="B71" t="n">
        <x:v>10009</x:v>
      </x:c>
      <x:c r="C71" s="16" t="n">
        <x:v>46146</x:v>
      </x:c>
      <x:c r="D71" t="str">
        <x:v>05:50:00</x:v>
      </x:c>
      <x:c r="E71" t="str">
        <x:v>Bank Transfer</x:v>
      </x:c>
      <x:c r="F71" t="str">
        <x:v>Dining</x:v>
      </x:c>
      <x:c r="G71" s="18" t="n">
        <x:v>338.39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10</x:v>
      </x:c>
      <x:c r="M71" t="n">
        <x:v>0</x:v>
      </x:c>
      <x:c r="N71" t="str">
        <x:v>Approved</x:v>
      </x:c>
      <x:c r="O71" t="n">
        <x:v>0</x:v>
      </x:c>
      <x:c r="P71" t="str">
        <x:f>IF(L71&gt;=75,"High",IF(L71&gt;=55,"Medium","Low"))</x:f>
        <x:v>Low</x:v>
      </x:c>
    </x:row>
    <x:row r="72">
      <x:c r="A72" t="n">
        <x:v>71</x:v>
      </x:c>
      <x:c r="B72" t="n">
        <x:v>10116</x:v>
      </x:c>
      <x:c r="C72" s="16" t="n">
        <x:v>46150</x:v>
      </x:c>
      <x:c r="D72" t="str">
        <x:v>12:08:00</x:v>
      </x:c>
      <x:c r="E72" t="str">
        <x:v>Card</x:v>
      </x:c>
      <x:c r="F72" t="str">
        <x:v>Transfer</x:v>
      </x:c>
      <x:c r="G72" s="18" t="n">
        <x:v>221.46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10</x:v>
      </x:c>
      <x:c r="M72" t="n">
        <x:v>0</x:v>
      </x:c>
      <x:c r="N72" t="str">
        <x:v>Approved</x:v>
      </x:c>
      <x:c r="O72" t="n">
        <x:v>0</x:v>
      </x:c>
      <x:c r="P72" t="str">
        <x:f>IF(L72&gt;=75,"High",IF(L72&gt;=55,"Medium","Low"))</x:f>
        <x:v>Low</x:v>
      </x:c>
    </x:row>
    <x:row r="73">
      <x:c r="A73" t="n">
        <x:v>72</x:v>
      </x:c>
      <x:c r="B73" t="n">
        <x:v>10351</x:v>
      </x:c>
      <x:c r="C73" s="16" t="n">
        <x:v>46132</x:v>
      </x:c>
      <x:c r="D73" t="str">
        <x:v>16:43:00</x:v>
      </x:c>
      <x:c r="E73" t="str">
        <x:v>Card</x:v>
      </x:c>
      <x:c r="F73" t="str">
        <x:v>Utilities</x:v>
      </x:c>
      <x:c r="G73" s="18" t="n">
        <x:v>93.53</x:v>
      </x:c>
      <x:c r="H73" t="n">
        <x:v>1</x:v>
      </x:c>
      <x:c r="I73" t="n">
        <x:v>0</x:v>
      </x:c>
      <x:c r="J73" t="n">
        <x:v>0</x:v>
      </x:c>
      <x:c r="K73" t="n">
        <x:v>0</x:v>
      </x:c>
      <x:c r="L73" t="n">
        <x:v>36</x:v>
      </x:c>
      <x:c r="M73" t="n">
        <x:v>0</x:v>
      </x:c>
      <x:c r="N73" t="str">
        <x:v>Approved</x:v>
      </x:c>
      <x:c r="O73" t="n">
        <x:v>0</x:v>
      </x:c>
      <x:c r="P73" t="str">
        <x:f>IF(L73&gt;=75,"High",IF(L73&gt;=55,"Medium","Low"))</x:f>
        <x:v>Low</x:v>
      </x:c>
    </x:row>
    <x:row r="74">
      <x:c r="A74" t="n">
        <x:v>73</x:v>
      </x:c>
      <x:c r="B74" t="n">
        <x:v>10180</x:v>
      </x:c>
      <x:c r="C74" s="16" t="n">
        <x:v>46221</x:v>
      </x:c>
      <x:c r="D74" t="str">
        <x:v>17:05:00</x:v>
      </x:c>
      <x:c r="E74" t="str">
        <x:v>Card</x:v>
      </x:c>
      <x:c r="F74" t="str">
        <x:v>Travel</x:v>
      </x:c>
      <x:c r="G74" s="18" t="n">
        <x:v>101.68</x:v>
      </x:c>
      <x:c r="H74" t="n">
        <x:v>1</x:v>
      </x:c>
      <x:c r="I74" t="n">
        <x:v>0</x:v>
      </x:c>
      <x:c r="J74" t="n">
        <x:v>0</x:v>
      </x:c>
      <x:c r="K74" t="n">
        <x:v>0</x:v>
      </x:c>
      <x:c r="L74" t="n">
        <x:v>36</x:v>
      </x:c>
      <x:c r="M74" t="n">
        <x:v>0</x:v>
      </x:c>
      <x:c r="N74" t="str">
        <x:v>Declined</x:v>
      </x:c>
      <x:c r="O74" t="n">
        <x:v>0</x:v>
      </x:c>
      <x:c r="P74" t="str">
        <x:f>IF(L74&gt;=75,"High",IF(L74&gt;=55,"Medium","Low"))</x:f>
        <x:v>Low</x:v>
      </x:c>
    </x:row>
    <x:row r="75">
      <x:c r="A75" t="n">
        <x:v>74</x:v>
      </x:c>
      <x:c r="B75" t="n">
        <x:v>10176</x:v>
      </x:c>
      <x:c r="C75" s="16" t="n">
        <x:v>46121</x:v>
      </x:c>
      <x:c r="D75" t="str">
        <x:v>20:50:00</x:v>
      </x:c>
      <x:c r="E75" t="str">
        <x:v>Bank Transfer</x:v>
      </x:c>
      <x:c r="F75" t="str">
        <x:v>Travel</x:v>
      </x:c>
      <x:c r="G75" s="18" t="n">
        <x:v>69.31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10</x:v>
      </x:c>
      <x:c r="M75" t="n">
        <x:v>0</x:v>
      </x:c>
      <x:c r="N75" t="str">
        <x:v>Approved</x:v>
      </x:c>
      <x:c r="O75" t="n">
        <x:v>0</x:v>
      </x:c>
      <x:c r="P75" t="str">
        <x:f>IF(L75&gt;=75,"High",IF(L75&gt;=55,"Medium","Low"))</x:f>
        <x:v>Low</x:v>
      </x:c>
    </x:row>
    <x:row r="76">
      <x:c r="A76" t="n">
        <x:v>75</x:v>
      </x:c>
      <x:c r="B76" t="n">
        <x:v>10192</x:v>
      </x:c>
      <x:c r="C76" s="16" t="n">
        <x:v>46185</x:v>
      </x:c>
      <x:c r="D76" t="str">
        <x:v>02:04:00</x:v>
      </x:c>
      <x:c r="E76" t="str">
        <x:v>Card</x:v>
      </x:c>
      <x:c r="F76" t="str">
        <x:v>Utilities</x:v>
      </x:c>
      <x:c r="G76" s="18" t="n">
        <x:v>73.15</x:v>
      </x:c>
      <x:c r="H76" t="n">
        <x:v>1</x:v>
      </x:c>
      <x:c r="I76" t="n">
        <x:v>1</x:v>
      </x:c>
      <x:c r="J76" t="n">
        <x:v>0</x:v>
      </x:c>
      <x:c r="K76" t="n">
        <x:v>1</x:v>
      </x:c>
      <x:c r="L76" t="n">
        <x:v>71</x:v>
      </x:c>
      <x:c r="M76" t="n">
        <x:v>1</x:v>
      </x:c>
      <x:c r="N76" t="str">
        <x:v>Approved</x:v>
      </x:c>
      <x:c r="O76" t="n">
        <x:v>0</x:v>
      </x:c>
      <x:c r="P76" t="str">
        <x:f>IF(L76&gt;=75,"High",IF(L76&gt;=55,"Medium","Low"))</x:f>
        <x:v>Medium</x:v>
      </x:c>
    </x:row>
    <x:row r="77">
      <x:c r="A77" t="n">
        <x:v>76</x:v>
      </x:c>
      <x:c r="B77" t="n">
        <x:v>10039</x:v>
      </x:c>
      <x:c r="C77" s="16" t="n">
        <x:v>46185</x:v>
      </x:c>
      <x:c r="D77" t="str">
        <x:v>21:39:00</x:v>
      </x:c>
      <x:c r="E77" t="str">
        <x:v>Card</x:v>
      </x:c>
      <x:c r="F77" t="str">
        <x:v>Retail</x:v>
      </x:c>
      <x:c r="G77" s="18" t="n">
        <x:v>490.07</x:v>
      </x:c>
      <x:c r="H77" t="n">
        <x:v>1</x:v>
      </x:c>
      <x:c r="I77" t="n">
        <x:v>1</x:v>
      </x:c>
      <x:c r="J77" t="n">
        <x:v>0</x:v>
      </x:c>
      <x:c r="K77" t="n">
        <x:v>0</x:v>
      </x:c>
      <x:c r="L77" t="n">
        <x:v>56</x:v>
      </x:c>
      <x:c r="M77" t="n">
        <x:v>1</x:v>
      </x:c>
      <x:c r="N77" t="str">
        <x:v>Approved</x:v>
      </x:c>
      <x:c r="O77" t="n">
        <x:v>0</x:v>
      </x:c>
      <x:c r="P77" t="str">
        <x:f>IF(L77&gt;=75,"High",IF(L77&gt;=55,"Medium","Low"))</x:f>
        <x:v>Medium</x:v>
      </x:c>
    </x:row>
    <x:row r="78">
      <x:c r="A78" t="n">
        <x:v>77</x:v>
      </x:c>
      <x:c r="B78" t="n">
        <x:v>10267</x:v>
      </x:c>
      <x:c r="C78" s="16" t="n">
        <x:v>46188</x:v>
      </x:c>
      <x:c r="D78" t="str">
        <x:v>11:46:00</x:v>
      </x:c>
      <x:c r="E78" t="str">
        <x:v>Card</x:v>
      </x:c>
      <x:c r="F78" t="str">
        <x:v>Utilities</x:v>
      </x:c>
      <x:c r="G78" s="18" t="n">
        <x:v>159.86</x:v>
      </x:c>
      <x:c r="H78" t="n">
        <x:v>0</x:v>
      </x:c>
      <x:c r="I78" t="n">
        <x:v>1</x:v>
      </x:c>
      <x:c r="J78" t="n">
        <x:v>0</x:v>
      </x:c>
      <x:c r="K78" t="n">
        <x:v>0</x:v>
      </x:c>
      <x:c r="L78" t="n">
        <x:v>30</x:v>
      </x:c>
      <x:c r="M78" t="n">
        <x:v>0</x:v>
      </x:c>
      <x:c r="N78" t="str">
        <x:v>Approved</x:v>
      </x:c>
      <x:c r="O78" t="n">
        <x:v>0</x:v>
      </x:c>
      <x:c r="P78" t="str">
        <x:f>IF(L78&gt;=75,"High",IF(L78&gt;=55,"Medium","Low"))</x:f>
        <x:v>Low</x:v>
      </x:c>
    </x:row>
    <x:row r="79">
      <x:c r="A79" t="n">
        <x:v>78</x:v>
      </x:c>
      <x:c r="B79" t="n">
        <x:v>10163</x:v>
      </x:c>
      <x:c r="C79" s="16" t="n">
        <x:v>46191</x:v>
      </x:c>
      <x:c r="D79" t="str">
        <x:v>04:11:00</x:v>
      </x:c>
      <x:c r="E79" t="str">
        <x:v>Card</x:v>
      </x:c>
      <x:c r="F79" t="str">
        <x:v>Travel</x:v>
      </x:c>
      <x:c r="G79" s="18" t="n">
        <x:v>30.45</x:v>
      </x:c>
      <x:c r="H79" t="n">
        <x:v>0</x:v>
      </x:c>
      <x:c r="I79" t="n">
        <x:v>0</x:v>
      </x:c>
      <x:c r="J79" t="n">
        <x:v>0</x:v>
      </x:c>
      <x:c r="K79" t="n">
        <x:v>1</x:v>
      </x:c>
      <x:c r="L79" t="n">
        <x:v>25</x:v>
      </x:c>
      <x:c r="M79" t="n">
        <x:v>0</x:v>
      </x:c>
      <x:c r="N79" t="str">
        <x:v>Approved</x:v>
      </x:c>
      <x:c r="O79" t="n">
        <x:v>0</x:v>
      </x:c>
      <x:c r="P79" t="str">
        <x:f>IF(L79&gt;=75,"High",IF(L79&gt;=55,"Medium","Low"))</x:f>
        <x:v>Low</x:v>
      </x:c>
    </x:row>
    <x:row r="80">
      <x:c r="A80" t="n">
        <x:v>79</x:v>
      </x:c>
      <x:c r="B80" t="n">
        <x:v>10331</x:v>
      </x:c>
      <x:c r="C80" s="16" t="n">
        <x:v>46268</x:v>
      </x:c>
      <x:c r="D80" t="str">
        <x:v>10:13:00</x:v>
      </x:c>
      <x:c r="E80" t="str">
        <x:v>Card</x:v>
      </x:c>
      <x:c r="F80" t="str">
        <x:v>Travel</x:v>
      </x:c>
      <x:c r="G80" s="18" t="n">
        <x:v>74.14</x:v>
      </x:c>
      <x:c r="H80" t="n">
        <x:v>0</x:v>
      </x:c>
      <x:c r="I80" t="n">
        <x:v>1</x:v>
      </x:c>
      <x:c r="J80" t="n">
        <x:v>0</x:v>
      </x:c>
      <x:c r="K80" t="n">
        <x:v>0</x:v>
      </x:c>
      <x:c r="L80" t="n">
        <x:v>30</x:v>
      </x:c>
      <x:c r="M80" t="n">
        <x:v>0</x:v>
      </x:c>
      <x:c r="N80" t="str">
        <x:v>Declined</x:v>
      </x:c>
      <x:c r="O80" t="n">
        <x:v>0</x:v>
      </x:c>
      <x:c r="P80" t="str">
        <x:f>IF(L80&gt;=75,"High",IF(L80&gt;=55,"Medium","Low"))</x:f>
        <x:v>Low</x:v>
      </x:c>
    </x:row>
    <x:row r="81">
      <x:c r="A81" t="n">
        <x:v>80</x:v>
      </x:c>
      <x:c r="B81" t="n">
        <x:v>10140</x:v>
      </x:c>
      <x:c r="C81" s="16" t="n">
        <x:v>46181</x:v>
      </x:c>
      <x:c r="D81" t="str">
        <x:v>17:17:00</x:v>
      </x:c>
      <x:c r="E81" t="str">
        <x:v>Bank Transfer</x:v>
      </x:c>
      <x:c r="F81" t="str">
        <x:v>Utilities</x:v>
      </x:c>
      <x:c r="G81" s="18" t="n">
        <x:v>35.3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10</x:v>
      </x:c>
      <x:c r="M81" t="n">
        <x:v>0</x:v>
      </x:c>
      <x:c r="N81" t="str">
        <x:v>Approved</x:v>
      </x:c>
      <x:c r="O81" t="n">
        <x:v>0</x:v>
      </x:c>
      <x:c r="P81" t="str">
        <x:f>IF(L81&gt;=75,"High",IF(L81&gt;=55,"Medium","Low"))</x:f>
        <x:v>Low</x:v>
      </x:c>
    </x:row>
    <x:row r="82">
      <x:c r="A82" t="n">
        <x:v>81</x:v>
      </x:c>
      <x:c r="B82" t="n">
        <x:v>10146</x:v>
      </x:c>
      <x:c r="C82" s="16" t="n">
        <x:v>46246</x:v>
      </x:c>
      <x:c r="D82" t="str">
        <x:v>22:48:00</x:v>
      </x:c>
      <x:c r="E82" t="str">
        <x:v>Card</x:v>
      </x:c>
      <x:c r="F82" t="str">
        <x:v>Subscriptions</x:v>
      </x:c>
      <x:c r="G82" s="18" t="n">
        <x:v>54.74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10</x:v>
      </x:c>
      <x:c r="M82" t="n">
        <x:v>0</x:v>
      </x:c>
      <x:c r="N82" t="str">
        <x:v>Approved</x:v>
      </x:c>
      <x:c r="O82" t="n">
        <x:v>0</x:v>
      </x:c>
      <x:c r="P82" t="str">
        <x:f>IF(L82&gt;=75,"High",IF(L82&gt;=55,"Medium","Low"))</x:f>
        <x:v>Low</x:v>
      </x:c>
    </x:row>
    <x:row r="83">
      <x:c r="A83" t="n">
        <x:v>82</x:v>
      </x:c>
      <x:c r="B83" t="n">
        <x:v>10012</x:v>
      </x:c>
      <x:c r="C83" s="16" t="n">
        <x:v>46288</x:v>
      </x:c>
      <x:c r="D83" t="str">
        <x:v>07:28:00</x:v>
      </x:c>
      <x:c r="E83" t="str">
        <x:v>Card</x:v>
      </x:c>
      <x:c r="F83" t="str">
        <x:v>Travel</x:v>
      </x:c>
      <x:c r="G83" s="18" t="n">
        <x:v>6.53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10</x:v>
      </x:c>
      <x:c r="M83" t="n">
        <x:v>0</x:v>
      </x:c>
      <x:c r="N83" t="str">
        <x:v>Approved</x:v>
      </x:c>
      <x:c r="O83" t="n">
        <x:v>0</x:v>
      </x:c>
      <x:c r="P83" t="str">
        <x:f>IF(L83&gt;=75,"High",IF(L83&gt;=55,"Medium","Low"))</x:f>
        <x:v>Low</x:v>
      </x:c>
    </x:row>
    <x:row r="84">
      <x:c r="A84" t="n">
        <x:v>83</x:v>
      </x:c>
      <x:c r="B84" t="n">
        <x:v>10174</x:v>
      </x:c>
      <x:c r="C84" s="16" t="n">
        <x:v>46155</x:v>
      </x:c>
      <x:c r="D84" t="str">
        <x:v>20:50:00</x:v>
      </x:c>
      <x:c r="E84" t="str">
        <x:v>P2P</x:v>
      </x:c>
      <x:c r="F84" t="str">
        <x:v>Electronics</x:v>
      </x:c>
      <x:c r="G84" s="18" t="n">
        <x:v>59.19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10</x:v>
      </x:c>
      <x:c r="M84" t="n">
        <x:v>0</x:v>
      </x:c>
      <x:c r="N84" t="str">
        <x:v>Approved</x:v>
      </x:c>
      <x:c r="O84" t="n">
        <x:v>0</x:v>
      </x:c>
      <x:c r="P84" t="str">
        <x:f>IF(L84&gt;=75,"High",IF(L84&gt;=55,"Medium","Low"))</x:f>
        <x:v>Low</x:v>
      </x:c>
    </x:row>
    <x:row r="85">
      <x:c r="A85" t="n">
        <x:v>84</x:v>
      </x:c>
      <x:c r="B85" t="n">
        <x:v>10135</x:v>
      </x:c>
      <x:c r="C85" s="16" t="n">
        <x:v>46144</x:v>
      </x:c>
      <x:c r="D85" t="str">
        <x:v>19:29:00</x:v>
      </x:c>
      <x:c r="E85" t="str">
        <x:v>Card</x:v>
      </x:c>
      <x:c r="F85" t="str">
        <x:v>Electronics</x:v>
      </x:c>
      <x:c r="G85" s="18" t="n">
        <x:v>13.64</x:v>
      </x:c>
      <x:c r="H85" t="n">
        <x:v>0</x:v>
      </x:c>
      <x:c r="I85" t="n">
        <x:v>1</x:v>
      </x:c>
      <x:c r="J85" t="n">
        <x:v>0</x:v>
      </x:c>
      <x:c r="K85" t="n">
        <x:v>0</x:v>
      </x:c>
      <x:c r="L85" t="n">
        <x:v>30</x:v>
      </x:c>
      <x:c r="M85" t="n">
        <x:v>0</x:v>
      </x:c>
      <x:c r="N85" t="str">
        <x:v>Approved</x:v>
      </x:c>
      <x:c r="O85" t="n">
        <x:v>0</x:v>
      </x:c>
      <x:c r="P85" t="str">
        <x:f>IF(L85&gt;=75,"High",IF(L85&gt;=55,"Medium","Low"))</x:f>
        <x:v>Low</x:v>
      </x:c>
    </x:row>
    <x:row r="86">
      <x:c r="A86" t="n">
        <x:v>85</x:v>
      </x:c>
      <x:c r="B86" t="n">
        <x:v>10263</x:v>
      </x:c>
      <x:c r="C86" s="16" t="n">
        <x:v>46115</x:v>
      </x:c>
      <x:c r="D86" t="str">
        <x:v>20:26:00</x:v>
      </x:c>
      <x:c r="E86" t="str">
        <x:v>Card</x:v>
      </x:c>
      <x:c r="F86" t="str">
        <x:v>Travel</x:v>
      </x:c>
      <x:c r="G86" s="18" t="n">
        <x:v>240.46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10</x:v>
      </x:c>
      <x:c r="M86" t="n">
        <x:v>0</x:v>
      </x:c>
      <x:c r="N86" t="str">
        <x:v>Approved</x:v>
      </x:c>
      <x:c r="O86" t="n">
        <x:v>0</x:v>
      </x:c>
      <x:c r="P86" t="str">
        <x:f>IF(L86&gt;=75,"High",IF(L86&gt;=55,"Medium","Low"))</x:f>
        <x:v>Low</x:v>
      </x:c>
    </x:row>
    <x:row r="87">
      <x:c r="A87" t="n">
        <x:v>86</x:v>
      </x:c>
      <x:c r="B87" t="n">
        <x:v>10191</x:v>
      </x:c>
      <x:c r="C87" s="16" t="n">
        <x:v>46186</x:v>
      </x:c>
      <x:c r="D87" t="str">
        <x:v>09:43:00</x:v>
      </x:c>
      <x:c r="E87" t="str">
        <x:v>P2P</x:v>
      </x:c>
      <x:c r="F87" t="str">
        <x:v>Travel</x:v>
      </x:c>
      <x:c r="G87" s="18" t="n">
        <x:v>47.2</x:v>
      </x:c>
      <x:c r="H87" t="n">
        <x:v>0</x:v>
      </x:c>
      <x:c r="I87" t="n">
        <x:v>1</x:v>
      </x:c>
      <x:c r="J87" t="n">
        <x:v>0</x:v>
      </x:c>
      <x:c r="K87" t="n">
        <x:v>0</x:v>
      </x:c>
      <x:c r="L87" t="n">
        <x:v>30</x:v>
      </x:c>
      <x:c r="M87" t="n">
        <x:v>0</x:v>
      </x:c>
      <x:c r="N87" t="str">
        <x:v>Approved</x:v>
      </x:c>
      <x:c r="O87" t="n">
        <x:v>0</x:v>
      </x:c>
      <x:c r="P87" t="str">
        <x:f>IF(L87&gt;=75,"High",IF(L87&gt;=55,"Medium","Low"))</x:f>
        <x:v>Low</x:v>
      </x:c>
    </x:row>
    <x:row r="88">
      <x:c r="A88" t="n">
        <x:v>87</x:v>
      </x:c>
      <x:c r="B88" t="n">
        <x:v>10017</x:v>
      </x:c>
      <x:c r="C88" s="16" t="n">
        <x:v>46255</x:v>
      </x:c>
      <x:c r="D88" t="str">
        <x:v>03:43:00</x:v>
      </x:c>
      <x:c r="E88" t="str">
        <x:v>Card</x:v>
      </x:c>
      <x:c r="F88" t="str">
        <x:v>Travel</x:v>
      </x:c>
      <x:c r="G88" s="18" t="n">
        <x:v>230.86</x:v>
      </x:c>
      <x:c r="H88" t="n">
        <x:v>0</x:v>
      </x:c>
      <x:c r="I88" t="n">
        <x:v>0</x:v>
      </x:c>
      <x:c r="J88" t="n">
        <x:v>0</x:v>
      </x:c>
      <x:c r="K88" t="n">
        <x:v>1</x:v>
      </x:c>
      <x:c r="L88" t="n">
        <x:v>25</x:v>
      </x:c>
      <x:c r="M88" t="n">
        <x:v>0</x:v>
      </x:c>
      <x:c r="N88" t="str">
        <x:v>Approved</x:v>
      </x:c>
      <x:c r="O88" t="n">
        <x:v>0</x:v>
      </x:c>
      <x:c r="P88" t="str">
        <x:f>IF(L88&gt;=75,"High",IF(L88&gt;=55,"Medium","Low"))</x:f>
        <x:v>Low</x:v>
      </x:c>
    </x:row>
    <x:row r="89">
      <x:c r="A89" t="n">
        <x:v>88</x:v>
      </x:c>
      <x:c r="B89" t="n">
        <x:v>10172</x:v>
      </x:c>
      <x:c r="C89" s="16" t="n">
        <x:v>46151</x:v>
      </x:c>
      <x:c r="D89" t="str">
        <x:v>10:14:00</x:v>
      </x:c>
      <x:c r="E89" t="str">
        <x:v>Card</x:v>
      </x:c>
      <x:c r="F89" t="str">
        <x:v>Subscriptions</x:v>
      </x:c>
      <x:c r="G89" s="18" t="n">
        <x:v>40.27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10</x:v>
      </x:c>
      <x:c r="M89" t="n">
        <x:v>0</x:v>
      </x:c>
      <x:c r="N89" t="str">
        <x:v>Approved</x:v>
      </x:c>
      <x:c r="O89" t="n">
        <x:v>0</x:v>
      </x:c>
      <x:c r="P89" t="str">
        <x:f>IF(L89&gt;=75,"High",IF(L89&gt;=55,"Medium","Low"))</x:f>
        <x:v>Low</x:v>
      </x:c>
    </x:row>
    <x:row r="90">
      <x:c r="A90" t="n">
        <x:v>89</x:v>
      </x:c>
      <x:c r="B90" t="n">
        <x:v>10174</x:v>
      </x:c>
      <x:c r="C90" s="16" t="n">
        <x:v>46236</x:v>
      </x:c>
      <x:c r="D90" t="str">
        <x:v>15:54:00</x:v>
      </x:c>
      <x:c r="E90" t="str">
        <x:v>P2P</x:v>
      </x:c>
      <x:c r="F90" t="str">
        <x:v>Retail</x:v>
      </x:c>
      <x:c r="G90" s="18" t="n">
        <x:v>1232.83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44</x:v>
      </x:c>
      <x:c r="M90" t="n">
        <x:v>0</x:v>
      </x:c>
      <x:c r="N90" t="str">
        <x:v>Approved</x:v>
      </x:c>
      <x:c r="O90" t="n">
        <x:v>0</x:v>
      </x:c>
      <x:c r="P90" t="str">
        <x:f>IF(L90&gt;=75,"High",IF(L90&gt;=55,"Medium","Low"))</x:f>
        <x:v>Low</x:v>
      </x:c>
    </x:row>
    <x:row r="91">
      <x:c r="A91" t="n">
        <x:v>90</x:v>
      </x:c>
      <x:c r="B91" t="n">
        <x:v>10259</x:v>
      </x:c>
      <x:c r="C91" s="16" t="n">
        <x:v>46196</x:v>
      </x:c>
      <x:c r="D91" t="str">
        <x:v>18:00:00</x:v>
      </x:c>
      <x:c r="E91" t="str">
        <x:v>Bank Transfer</x:v>
      </x:c>
      <x:c r="F91" t="str">
        <x:v>Subscriptions</x:v>
      </x:c>
      <x:c r="G91" s="18" t="n">
        <x:v>25.07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10</x:v>
      </x:c>
      <x:c r="M91" t="n">
        <x:v>0</x:v>
      </x:c>
      <x:c r="N91" t="str">
        <x:v>Approved</x:v>
      </x:c>
      <x:c r="O91" t="n">
        <x:v>0</x:v>
      </x:c>
      <x:c r="P91" t="str">
        <x:f>IF(L91&gt;=75,"High",IF(L91&gt;=55,"Medium","Low"))</x:f>
        <x:v>Low</x:v>
      </x:c>
    </x:row>
    <x:row r="92">
      <x:c r="A92" t="n">
        <x:v>91</x:v>
      </x:c>
      <x:c r="B92" t="n">
        <x:v>10154</x:v>
      </x:c>
      <x:c r="C92" s="16" t="n">
        <x:v>46259</x:v>
      </x:c>
      <x:c r="D92" t="str">
        <x:v>15:37:00</x:v>
      </x:c>
      <x:c r="E92" t="str">
        <x:v>Card</x:v>
      </x:c>
      <x:c r="F92" t="str">
        <x:v>Travel</x:v>
      </x:c>
      <x:c r="G92" s="18" t="n">
        <x:v>80.44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10</x:v>
      </x:c>
      <x:c r="M92" t="n">
        <x:v>0</x:v>
      </x:c>
      <x:c r="N92" t="str">
        <x:v>Approved</x:v>
      </x:c>
      <x:c r="O92" t="n">
        <x:v>0</x:v>
      </x:c>
      <x:c r="P92" t="str">
        <x:f>IF(L92&gt;=75,"High",IF(L92&gt;=55,"Medium","Low"))</x:f>
        <x:v>Low</x:v>
      </x:c>
    </x:row>
    <x:row r="93">
      <x:c r="A93" t="n">
        <x:v>92</x:v>
      </x:c>
      <x:c r="B93" t="n">
        <x:v>10332</x:v>
      </x:c>
      <x:c r="C93" s="16" t="n">
        <x:v>46255</x:v>
      </x:c>
      <x:c r="D93" t="str">
        <x:v>18:19:00</x:v>
      </x:c>
      <x:c r="E93" t="str">
        <x:v>Bank Transfer</x:v>
      </x:c>
      <x:c r="F93" t="str">
        <x:v>Utilities</x:v>
      </x:c>
      <x:c r="G93" s="18" t="n">
        <x:v>19.24</x:v>
      </x:c>
      <x:c r="H93" t="n">
        <x:v>1</x:v>
      </x:c>
      <x:c r="I93" t="n">
        <x:v>0</x:v>
      </x:c>
      <x:c r="J93" t="n">
        <x:v>0</x:v>
      </x:c>
      <x:c r="K93" t="n">
        <x:v>0</x:v>
      </x:c>
      <x:c r="L93" t="n">
        <x:v>36</x:v>
      </x:c>
      <x:c r="M93" t="n">
        <x:v>0</x:v>
      </x:c>
      <x:c r="N93" t="str">
        <x:v>Approved</x:v>
      </x:c>
      <x:c r="O93" t="n">
        <x:v>0</x:v>
      </x:c>
      <x:c r="P93" t="str">
        <x:f>IF(L93&gt;=75,"High",IF(L93&gt;=55,"Medium","Low"))</x:f>
        <x:v>Low</x:v>
      </x:c>
    </x:row>
    <x:row r="94">
      <x:c r="A94" t="n">
        <x:v>93</x:v>
      </x:c>
      <x:c r="B94" t="n">
        <x:v>10279</x:v>
      </x:c>
      <x:c r="C94" s="16" t="n">
        <x:v>46206</x:v>
      </x:c>
      <x:c r="D94" t="str">
        <x:v>07:55:00</x:v>
      </x:c>
      <x:c r="E94" t="str">
        <x:v>Card</x:v>
      </x:c>
      <x:c r="F94" t="str">
        <x:v>Transfer</x:v>
      </x:c>
      <x:c r="G94" s="18" t="n">
        <x:v>245.29</x:v>
      </x:c>
      <x:c r="H94" t="n">
        <x:v>1</x:v>
      </x:c>
      <x:c r="I94" t="n">
        <x:v>0</x:v>
      </x:c>
      <x:c r="J94" t="n">
        <x:v>0</x:v>
      </x:c>
      <x:c r="K94" t="n">
        <x:v>0</x:v>
      </x:c>
      <x:c r="L94" t="n">
        <x:v>36</x:v>
      </x:c>
      <x:c r="M94" t="n">
        <x:v>0</x:v>
      </x:c>
      <x:c r="N94" t="str">
        <x:v>Approved</x:v>
      </x:c>
      <x:c r="O94" t="n">
        <x:v>0</x:v>
      </x:c>
      <x:c r="P94" t="str">
        <x:f>IF(L94&gt;=75,"High",IF(L94&gt;=55,"Medium","Low"))</x:f>
        <x:v>Low</x:v>
      </x:c>
    </x:row>
    <x:row r="95">
      <x:c r="A95" t="n">
        <x:v>94</x:v>
      </x:c>
      <x:c r="B95" t="n">
        <x:v>10120</x:v>
      </x:c>
      <x:c r="C95" s="16" t="n">
        <x:v>46197</x:v>
      </x:c>
      <x:c r="D95" t="str">
        <x:v>13:02:00</x:v>
      </x:c>
      <x:c r="E95" t="str">
        <x:v>Card</x:v>
      </x:c>
      <x:c r="F95" t="str">
        <x:v>Retail</x:v>
      </x:c>
      <x:c r="G95" s="18" t="n">
        <x:v>32.38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10</x:v>
      </x:c>
      <x:c r="M95" t="n">
        <x:v>0</x:v>
      </x:c>
      <x:c r="N95" t="str">
        <x:v>Approved</x:v>
      </x:c>
      <x:c r="O95" t="n">
        <x:v>0</x:v>
      </x:c>
      <x:c r="P95" t="str">
        <x:f>IF(L95&gt;=75,"High",IF(L95&gt;=55,"Medium","Low"))</x:f>
        <x:v>Low</x:v>
      </x:c>
    </x:row>
    <x:row r="96">
      <x:c r="A96" t="n">
        <x:v>95</x:v>
      </x:c>
      <x:c r="B96" t="n">
        <x:v>10198</x:v>
      </x:c>
      <x:c r="C96" s="16" t="n">
        <x:v>46189</x:v>
      </x:c>
      <x:c r="D96" t="str">
        <x:v>23:09:00</x:v>
      </x:c>
      <x:c r="E96" t="str">
        <x:v>Card</x:v>
      </x:c>
      <x:c r="F96" t="str">
        <x:v>Electronics</x:v>
      </x:c>
      <x:c r="G96" s="18" t="n">
        <x:v>55.13</x:v>
      </x:c>
      <x:c r="H96" t="n">
        <x:v>0</x:v>
      </x:c>
      <x:c r="I96" t="n">
        <x:v>1</x:v>
      </x:c>
      <x:c r="J96" t="n">
        <x:v>0</x:v>
      </x:c>
      <x:c r="K96" t="n">
        <x:v>0</x:v>
      </x:c>
      <x:c r="L96" t="n">
        <x:v>30</x:v>
      </x:c>
      <x:c r="M96" t="n">
        <x:v>0</x:v>
      </x:c>
      <x:c r="N96" t="str">
        <x:v>Approved</x:v>
      </x:c>
      <x:c r="O96" t="n">
        <x:v>0</x:v>
      </x:c>
      <x:c r="P96" t="str">
        <x:f>IF(L96&gt;=75,"High",IF(L96&gt;=55,"Medium","Low"))</x:f>
        <x:v>Low</x:v>
      </x:c>
    </x:row>
    <x:row r="97">
      <x:c r="A97" t="n">
        <x:v>96</x:v>
      </x:c>
      <x:c r="B97" t="n">
        <x:v>10149</x:v>
      </x:c>
      <x:c r="C97" s="16" t="n">
        <x:v>46208</x:v>
      </x:c>
      <x:c r="D97" t="str">
        <x:v>02:25:00</x:v>
      </x:c>
      <x:c r="E97" t="str">
        <x:v>Card</x:v>
      </x:c>
      <x:c r="F97" t="str">
        <x:v>Dining</x:v>
      </x:c>
      <x:c r="G97" s="18" t="n">
        <x:v>66.32</x:v>
      </x:c>
      <x:c r="H97" t="n">
        <x:v>0</x:v>
      </x:c>
      <x:c r="I97" t="n">
        <x:v>0</x:v>
      </x:c>
      <x:c r="J97" t="n">
        <x:v>0</x:v>
      </x:c>
      <x:c r="K97" t="n">
        <x:v>1</x:v>
      </x:c>
      <x:c r="L97" t="n">
        <x:v>25</x:v>
      </x:c>
      <x:c r="M97" t="n">
        <x:v>0</x:v>
      </x:c>
      <x:c r="N97" t="str">
        <x:v>Approved</x:v>
      </x:c>
      <x:c r="O97" t="n">
        <x:v>0</x:v>
      </x:c>
      <x:c r="P97" t="str">
        <x:f>IF(L97&gt;=75,"High",IF(L97&gt;=55,"Medium","Low"))</x:f>
        <x:v>Low</x:v>
      </x:c>
    </x:row>
    <x:row r="98">
      <x:c r="A98" t="n">
        <x:v>97</x:v>
      </x:c>
      <x:c r="B98" t="n">
        <x:v>10266</x:v>
      </x:c>
      <x:c r="C98" s="16" t="n">
        <x:v>46207</x:v>
      </x:c>
      <x:c r="D98" t="str">
        <x:v>00:25:00</x:v>
      </x:c>
      <x:c r="E98" t="str">
        <x:v>Card</x:v>
      </x:c>
      <x:c r="F98" t="str">
        <x:v>Subscriptions</x:v>
      </x:c>
      <x:c r="G98" s="18" t="n">
        <x:v>169.84</x:v>
      </x:c>
      <x:c r="H98" t="n">
        <x:v>0</x:v>
      </x:c>
      <x:c r="I98" t="n">
        <x:v>0</x:v>
      </x:c>
      <x:c r="J98" t="n">
        <x:v>0</x:v>
      </x:c>
      <x:c r="K98" t="n">
        <x:v>1</x:v>
      </x:c>
      <x:c r="L98" t="n">
        <x:v>25</x:v>
      </x:c>
      <x:c r="M98" t="n">
        <x:v>0</x:v>
      </x:c>
      <x:c r="N98" t="str">
        <x:v>Approved</x:v>
      </x:c>
      <x:c r="O98" t="n">
        <x:v>0</x:v>
      </x:c>
      <x:c r="P98" t="str">
        <x:f>IF(L98&gt;=75,"High",IF(L98&gt;=55,"Medium","Low"))</x:f>
        <x:v>Low</x:v>
      </x:c>
    </x:row>
    <x:row r="99">
      <x:c r="A99" t="n">
        <x:v>98</x:v>
      </x:c>
      <x:c r="B99" t="n">
        <x:v>10093</x:v>
      </x:c>
      <x:c r="C99" s="16" t="n">
        <x:v>46193</x:v>
      </x:c>
      <x:c r="D99" t="str">
        <x:v>09:27:00</x:v>
      </x:c>
      <x:c r="E99" t="str">
        <x:v>Card</x:v>
      </x:c>
      <x:c r="F99" t="str">
        <x:v>Utilities</x:v>
      </x:c>
      <x:c r="G99" s="18" t="n">
        <x:v>151.46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10</x:v>
      </x:c>
      <x:c r="M99" t="n">
        <x:v>0</x:v>
      </x:c>
      <x:c r="N99" t="str">
        <x:v>Approved</x:v>
      </x:c>
      <x:c r="O99" t="n">
        <x:v>0</x:v>
      </x:c>
      <x:c r="P99" t="str">
        <x:f>IF(L99&gt;=75,"High",IF(L99&gt;=55,"Medium","Low"))</x:f>
        <x:v>Low</x:v>
      </x:c>
    </x:row>
    <x:row r="100">
      <x:c r="A100" t="n">
        <x:v>99</x:v>
      </x:c>
      <x:c r="B100" t="n">
        <x:v>10051</x:v>
      </x:c>
      <x:c r="C100" s="16" t="n">
        <x:v>46171</x:v>
      </x:c>
      <x:c r="D100" t="str">
        <x:v>12:28:00</x:v>
      </x:c>
      <x:c r="E100" t="str">
        <x:v>P2P</x:v>
      </x:c>
      <x:c r="F100" t="str">
        <x:v>Retail</x:v>
      </x:c>
      <x:c r="G100" s="18" t="n">
        <x:v>84.94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10</x:v>
      </x:c>
      <x:c r="M100" t="n">
        <x:v>0</x:v>
      </x:c>
      <x:c r="N100" t="str">
        <x:v>Approved</x:v>
      </x:c>
      <x:c r="O100" t="n">
        <x:v>0</x:v>
      </x:c>
      <x:c r="P100" t="str">
        <x:f>IF(L100&gt;=75,"High",IF(L100&gt;=55,"Medium","Low"))</x:f>
        <x:v>Low</x:v>
      </x:c>
    </x:row>
    <x:row r="101">
      <x:c r="A101" t="n">
        <x:v>100</x:v>
      </x:c>
      <x:c r="B101" t="n">
        <x:v>10335</x:v>
      </x:c>
      <x:c r="C101" s="16" t="n">
        <x:v>46212</x:v>
      </x:c>
      <x:c r="D101" t="str">
        <x:v>08:35:00</x:v>
      </x:c>
      <x:c r="E101" t="str">
        <x:v>Card</x:v>
      </x:c>
      <x:c r="F101" t="str">
        <x:v>Dining</x:v>
      </x:c>
      <x:c r="G101" s="18" t="n">
        <x:v>150.6</x:v>
      </x:c>
      <x:c r="H101" t="n">
        <x:v>0</x:v>
      </x:c>
      <x:c r="I101" t="n">
        <x:v>1</x:v>
      </x:c>
      <x:c r="J101" t="n">
        <x:v>0</x:v>
      </x:c>
      <x:c r="K101" t="n">
        <x:v>0</x:v>
      </x:c>
      <x:c r="L101" t="n">
        <x:v>30</x:v>
      </x:c>
      <x:c r="M101" t="n">
        <x:v>0</x:v>
      </x:c>
      <x:c r="N101" t="str">
        <x:v>Approved</x:v>
      </x:c>
      <x:c r="O101" t="n">
        <x:v>0</x:v>
      </x:c>
      <x:c r="P101" t="str">
        <x:f>IF(L101&gt;=75,"High",IF(L101&gt;=55,"Medium","Low"))</x:f>
        <x:v>Low</x:v>
      </x:c>
    </x:row>
    <x:row r="102">
      <x:c r="A102" t="n">
        <x:v>101</x:v>
      </x:c>
      <x:c r="B102" t="n">
        <x:v>10246</x:v>
      </x:c>
      <x:c r="C102" s="16" t="n">
        <x:v>46171</x:v>
      </x:c>
      <x:c r="D102" t="str">
        <x:v>20:22:00</x:v>
      </x:c>
      <x:c r="E102" t="str">
        <x:v>Card</x:v>
      </x:c>
      <x:c r="F102" t="str">
        <x:v>Travel</x:v>
      </x:c>
      <x:c r="G102" s="18" t="n">
        <x:v>147.81</x:v>
      </x:c>
      <x:c r="H102" t="n">
        <x:v>0</x:v>
      </x:c>
      <x:c r="I102" t="n">
        <x:v>1</x:v>
      </x:c>
      <x:c r="J102" t="n">
        <x:v>0</x:v>
      </x:c>
      <x:c r="K102" t="n">
        <x:v>0</x:v>
      </x:c>
      <x:c r="L102" t="n">
        <x:v>30</x:v>
      </x:c>
      <x:c r="M102" t="n">
        <x:v>0</x:v>
      </x:c>
      <x:c r="N102" t="str">
        <x:v>Approved</x:v>
      </x:c>
      <x:c r="O102" t="n">
        <x:v>0</x:v>
      </x:c>
      <x:c r="P102" t="str">
        <x:f>IF(L102&gt;=75,"High",IF(L102&gt;=55,"Medium","Low"))</x:f>
        <x:v>Low</x:v>
      </x:c>
    </x:row>
    <x:row r="103">
      <x:c r="A103" t="n">
        <x:v>102</x:v>
      </x:c>
      <x:c r="B103" t="n">
        <x:v>10107</x:v>
      </x:c>
      <x:c r="C103" s="16" t="n">
        <x:v>46210</x:v>
      </x:c>
      <x:c r="D103" t="str">
        <x:v>03:42:00</x:v>
      </x:c>
      <x:c r="E103" t="str">
        <x:v>Card</x:v>
      </x:c>
      <x:c r="F103" t="str">
        <x:v>Electronics</x:v>
      </x:c>
      <x:c r="G103" s="18" t="n">
        <x:v>6.17</x:v>
      </x:c>
      <x:c r="H103" t="n">
        <x:v>0</x:v>
      </x:c>
      <x:c r="I103" t="n">
        <x:v>0</x:v>
      </x:c>
      <x:c r="J103" t="n">
        <x:v>0</x:v>
      </x:c>
      <x:c r="K103" t="n">
        <x:v>1</x:v>
      </x:c>
      <x:c r="L103" t="n">
        <x:v>25</x:v>
      </x:c>
      <x:c r="M103" t="n">
        <x:v>0</x:v>
      </x:c>
      <x:c r="N103" t="str">
        <x:v>Approved</x:v>
      </x:c>
      <x:c r="O103" t="n">
        <x:v>0</x:v>
      </x:c>
      <x:c r="P103" t="str">
        <x:f>IF(L103&gt;=75,"High",IF(L103&gt;=55,"Medium","Low"))</x:f>
        <x:v>Low</x:v>
      </x:c>
    </x:row>
    <x:row r="104">
      <x:c r="A104" t="n">
        <x:v>103</x:v>
      </x:c>
      <x:c r="B104" t="n">
        <x:v>10209</x:v>
      </x:c>
      <x:c r="C104" s="16" t="n">
        <x:v>46284</x:v>
      </x:c>
      <x:c r="D104" t="str">
        <x:v>03:12:00</x:v>
      </x:c>
      <x:c r="E104" t="str">
        <x:v>Card</x:v>
      </x:c>
      <x:c r="F104" t="str">
        <x:v>Utilities</x:v>
      </x:c>
      <x:c r="G104" s="18" t="n">
        <x:v>4.65</x:v>
      </x:c>
      <x:c r="H104" t="n">
        <x:v>0</x:v>
      </x:c>
      <x:c r="I104" t="n">
        <x:v>0</x:v>
      </x:c>
      <x:c r="J104" t="n">
        <x:v>0</x:v>
      </x:c>
      <x:c r="K104" t="n">
        <x:v>1</x:v>
      </x:c>
      <x:c r="L104" t="n">
        <x:v>25</x:v>
      </x:c>
      <x:c r="M104" t="n">
        <x:v>0</x:v>
      </x:c>
      <x:c r="N104" t="str">
        <x:v>Approved</x:v>
      </x:c>
      <x:c r="O104" t="n">
        <x:v>0</x:v>
      </x:c>
      <x:c r="P104" t="str">
        <x:f>IF(L104&gt;=75,"High",IF(L104&gt;=55,"Medium","Low"))</x:f>
        <x:v>Low</x:v>
      </x:c>
    </x:row>
    <x:row r="105">
      <x:c r="A105" t="n">
        <x:v>104</x:v>
      </x:c>
      <x:c r="B105" t="n">
        <x:v>10335</x:v>
      </x:c>
      <x:c r="C105" s="16" t="n">
        <x:v>46283</x:v>
      </x:c>
      <x:c r="D105" t="str">
        <x:v>19:22:00</x:v>
      </x:c>
      <x:c r="E105" t="str">
        <x:v>Bank Transfer</x:v>
      </x:c>
      <x:c r="F105" t="str">
        <x:v>Transfer</x:v>
      </x:c>
      <x:c r="G105" s="18" t="n">
        <x:v>170.83</x:v>
      </x:c>
      <x:c r="H105" t="n">
        <x:v>1</x:v>
      </x:c>
      <x:c r="I105" t="n">
        <x:v>1</x:v>
      </x:c>
      <x:c r="J105" t="n">
        <x:v>0</x:v>
      </x:c>
      <x:c r="K105" t="n">
        <x:v>0</x:v>
      </x:c>
      <x:c r="L105" t="n">
        <x:v>56</x:v>
      </x:c>
      <x:c r="M105" t="n">
        <x:v>1</x:v>
      </x:c>
      <x:c r="N105" t="str">
        <x:v>Declined</x:v>
      </x:c>
      <x:c r="O105" t="n">
        <x:v>0</x:v>
      </x:c>
      <x:c r="P105" t="str">
        <x:f>IF(L105&gt;=75,"High",IF(L105&gt;=55,"Medium","Low"))</x:f>
        <x:v>Medium</x:v>
      </x:c>
    </x:row>
    <x:row r="106">
      <x:c r="A106" t="n">
        <x:v>105</x:v>
      </x:c>
      <x:c r="B106" t="n">
        <x:v>10171</x:v>
      </x:c>
      <x:c r="C106" s="16" t="n">
        <x:v>46206</x:v>
      </x:c>
      <x:c r="D106" t="str">
        <x:v>08:01:00</x:v>
      </x:c>
      <x:c r="E106" t="str">
        <x:v>Bank Transfer</x:v>
      </x:c>
      <x:c r="F106" t="str">
        <x:v>Dining</x:v>
      </x:c>
      <x:c r="G106" s="18" t="n">
        <x:v>146.91</x:v>
      </x:c>
      <x:c r="H106" t="n">
        <x:v>0</x:v>
      </x:c>
      <x:c r="I106" t="n">
        <x:v>1</x:v>
      </x:c>
      <x:c r="J106" t="n">
        <x:v>0</x:v>
      </x:c>
      <x:c r="K106" t="n">
        <x:v>0</x:v>
      </x:c>
      <x:c r="L106" t="n">
        <x:v>30</x:v>
      </x:c>
      <x:c r="M106" t="n">
        <x:v>0</x:v>
      </x:c>
      <x:c r="N106" t="str">
        <x:v>Approved</x:v>
      </x:c>
      <x:c r="O106" t="n">
        <x:v>0</x:v>
      </x:c>
      <x:c r="P106" t="str">
        <x:f>IF(L106&gt;=75,"High",IF(L106&gt;=55,"Medium","Low"))</x:f>
        <x:v>Low</x:v>
      </x:c>
    </x:row>
    <x:row r="107">
      <x:c r="A107" t="n">
        <x:v>106</x:v>
      </x:c>
      <x:c r="B107" t="n">
        <x:v>10261</x:v>
      </x:c>
      <x:c r="C107" s="16" t="n">
        <x:v>46164</x:v>
      </x:c>
      <x:c r="D107" t="str">
        <x:v>17:44:00</x:v>
      </x:c>
      <x:c r="E107" t="str">
        <x:v>Bank Transfer</x:v>
      </x:c>
      <x:c r="F107" t="str">
        <x:v>Electronics</x:v>
      </x:c>
      <x:c r="G107" s="18" t="n">
        <x:v>465.69</x:v>
      </x:c>
      <x:c r="H107" t="n">
        <x:v>0</x:v>
      </x:c>
      <x:c r="I107" t="n">
        <x:v>1</x:v>
      </x:c>
      <x:c r="J107" t="n">
        <x:v>0</x:v>
      </x:c>
      <x:c r="K107" t="n">
        <x:v>0</x:v>
      </x:c>
      <x:c r="L107" t="n">
        <x:v>30</x:v>
      </x:c>
      <x:c r="M107" t="n">
        <x:v>0</x:v>
      </x:c>
      <x:c r="N107" t="str">
        <x:v>Approved</x:v>
      </x:c>
      <x:c r="O107" t="n">
        <x:v>0</x:v>
      </x:c>
      <x:c r="P107" t="str">
        <x:f>IF(L107&gt;=75,"High",IF(L107&gt;=55,"Medium","Low"))</x:f>
        <x:v>Low</x:v>
      </x:c>
    </x:row>
    <x:row r="108">
      <x:c r="A108" t="n">
        <x:v>107</x:v>
      </x:c>
      <x:c r="B108" t="n">
        <x:v>10298</x:v>
      </x:c>
      <x:c r="C108" s="16" t="n">
        <x:v>46241</x:v>
      </x:c>
      <x:c r="D108" t="str">
        <x:v>10:28:00</x:v>
      </x:c>
      <x:c r="E108" t="str">
        <x:v>Card</x:v>
      </x:c>
      <x:c r="F108" t="str">
        <x:v>Utilities</x:v>
      </x:c>
      <x:c r="G108" s="18" t="n">
        <x:v>118.29</x:v>
      </x:c>
      <x:c r="H108" t="n">
        <x:v>1</x:v>
      </x:c>
      <x:c r="I108" t="n">
        <x:v>0</x:v>
      </x:c>
      <x:c r="J108" t="n">
        <x:v>0</x:v>
      </x:c>
      <x:c r="K108" t="n">
        <x:v>0</x:v>
      </x:c>
      <x:c r="L108" t="n">
        <x:v>36</x:v>
      </x:c>
      <x:c r="M108" t="n">
        <x:v>0</x:v>
      </x:c>
      <x:c r="N108" t="str">
        <x:v>Approved</x:v>
      </x:c>
      <x:c r="O108" t="n">
        <x:v>0</x:v>
      </x:c>
      <x:c r="P108" t="str">
        <x:f>IF(L108&gt;=75,"High",IF(L108&gt;=55,"Medium","Low"))</x:f>
        <x:v>Low</x:v>
      </x:c>
    </x:row>
    <x:row r="109">
      <x:c r="A109" t="n">
        <x:v>108</x:v>
      </x:c>
      <x:c r="B109" t="n">
        <x:v>10210</x:v>
      </x:c>
      <x:c r="C109" s="16" t="n">
        <x:v>46265</x:v>
      </x:c>
      <x:c r="D109" t="str">
        <x:v>23:58:00</x:v>
      </x:c>
      <x:c r="E109" t="str">
        <x:v>Card</x:v>
      </x:c>
      <x:c r="F109" t="str">
        <x:v>Electronics</x:v>
      </x:c>
      <x:c r="G109" s="18" t="n">
        <x:v>34.43</x:v>
      </x:c>
      <x:c r="H109" t="n">
        <x:v>0</x:v>
      </x:c>
      <x:c r="I109" t="n">
        <x:v>1</x:v>
      </x:c>
      <x:c r="J109" t="n">
        <x:v>0</x:v>
      </x:c>
      <x:c r="K109" t="n">
        <x:v>0</x:v>
      </x:c>
      <x:c r="L109" t="n">
        <x:v>30</x:v>
      </x:c>
      <x:c r="M109" t="n">
        <x:v>0</x:v>
      </x:c>
      <x:c r="N109" t="str">
        <x:v>Approved</x:v>
      </x:c>
      <x:c r="O109" t="n">
        <x:v>0</x:v>
      </x:c>
      <x:c r="P109" t="str">
        <x:f>IF(L109&gt;=75,"High",IF(L109&gt;=55,"Medium","Low"))</x:f>
        <x:v>Low</x:v>
      </x:c>
    </x:row>
    <x:row r="110">
      <x:c r="A110" t="n">
        <x:v>109</x:v>
      </x:c>
      <x:c r="B110" t="n">
        <x:v>10041</x:v>
      </x:c>
      <x:c r="C110" s="16" t="n">
        <x:v>46290</x:v>
      </x:c>
      <x:c r="D110" t="str">
        <x:v>04:31:00</x:v>
      </x:c>
      <x:c r="E110" t="str">
        <x:v>Card</x:v>
      </x:c>
      <x:c r="F110" t="str">
        <x:v>Dining</x:v>
      </x:c>
      <x:c r="G110" s="18" t="n">
        <x:v>200.71</x:v>
      </x:c>
      <x:c r="H110" t="n">
        <x:v>0</x:v>
      </x:c>
      <x:c r="I110" t="n">
        <x:v>0</x:v>
      </x:c>
      <x:c r="J110" t="n">
        <x:v>0</x:v>
      </x:c>
      <x:c r="K110" t="n">
        <x:v>1</x:v>
      </x:c>
      <x:c r="L110" t="n">
        <x:v>25</x:v>
      </x:c>
      <x:c r="M110" t="n">
        <x:v>0</x:v>
      </x:c>
      <x:c r="N110" t="str">
        <x:v>Declined</x:v>
      </x:c>
      <x:c r="O110" t="n">
        <x:v>0</x:v>
      </x:c>
      <x:c r="P110" t="str">
        <x:f>IF(L110&gt;=75,"High",IF(L110&gt;=55,"Medium","Low"))</x:f>
        <x:v>Low</x:v>
      </x:c>
    </x:row>
    <x:row r="111">
      <x:c r="A111" t="n">
        <x:v>110</x:v>
      </x:c>
      <x:c r="B111" t="n">
        <x:v>10117</x:v>
      </x:c>
      <x:c r="C111" s="16" t="n">
        <x:v>46186</x:v>
      </x:c>
      <x:c r="D111" t="str">
        <x:v>18:42:00</x:v>
      </x:c>
      <x:c r="E111" t="str">
        <x:v>Card</x:v>
      </x:c>
      <x:c r="F111" t="str">
        <x:v>Dining</x:v>
      </x:c>
      <x:c r="G111" s="18" t="n">
        <x:v>125.83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10</x:v>
      </x:c>
      <x:c r="M111" t="n">
        <x:v>0</x:v>
      </x:c>
      <x:c r="N111" t="str">
        <x:v>Approved</x:v>
      </x:c>
      <x:c r="O111" t="n">
        <x:v>0</x:v>
      </x:c>
      <x:c r="P111" t="str">
        <x:f>IF(L111&gt;=75,"High",IF(L111&gt;=55,"Medium","Low"))</x:f>
        <x:v>Low</x:v>
      </x:c>
    </x:row>
    <x:row r="112">
      <x:c r="A112" t="n">
        <x:v>111</x:v>
      </x:c>
      <x:c r="B112" t="n">
        <x:v>10007</x:v>
      </x:c>
      <x:c r="C112" s="16" t="n">
        <x:v>46244</x:v>
      </x:c>
      <x:c r="D112" t="str">
        <x:v>10:42:00</x:v>
      </x:c>
      <x:c r="E112" t="str">
        <x:v>Card</x:v>
      </x:c>
      <x:c r="F112" t="str">
        <x:v>Retail</x:v>
      </x:c>
      <x:c r="G112" s="18" t="n">
        <x:v>117.93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10</x:v>
      </x:c>
      <x:c r="M112" t="n">
        <x:v>0</x:v>
      </x:c>
      <x:c r="N112" t="str">
        <x:v>Approved</x:v>
      </x:c>
      <x:c r="O112" t="n">
        <x:v>0</x:v>
      </x:c>
      <x:c r="P112" t="str">
        <x:f>IF(L112&gt;=75,"High",IF(L112&gt;=55,"Medium","Low"))</x:f>
        <x:v>Low</x:v>
      </x:c>
    </x:row>
    <x:row r="113">
      <x:c r="A113" t="n">
        <x:v>112</x:v>
      </x:c>
      <x:c r="B113" t="n">
        <x:v>10352</x:v>
      </x:c>
      <x:c r="C113" s="16" t="n">
        <x:v>46289</x:v>
      </x:c>
      <x:c r="D113" t="str">
        <x:v>22:53:00</x:v>
      </x:c>
      <x:c r="E113" t="str">
        <x:v>Card</x:v>
      </x:c>
      <x:c r="F113" t="str">
        <x:v>Travel</x:v>
      </x:c>
      <x:c r="G113" s="18" t="n">
        <x:v>132.23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10</x:v>
      </x:c>
      <x:c r="M113" t="n">
        <x:v>0</x:v>
      </x:c>
      <x:c r="N113" t="str">
        <x:v>Approved</x:v>
      </x:c>
      <x:c r="O113" t="n">
        <x:v>0</x:v>
      </x:c>
      <x:c r="P113" t="str">
        <x:f>IF(L113&gt;=75,"High",IF(L113&gt;=55,"Medium","Low"))</x:f>
        <x:v>Low</x:v>
      </x:c>
    </x:row>
    <x:row r="114">
      <x:c r="A114" t="n">
        <x:v>113</x:v>
      </x:c>
      <x:c r="B114" t="n">
        <x:v>10042</x:v>
      </x:c>
      <x:c r="C114" s="16" t="n">
        <x:v>46264</x:v>
      </x:c>
      <x:c r="D114" t="str">
        <x:v>18:25:00</x:v>
      </x:c>
      <x:c r="E114" t="str">
        <x:v>Card</x:v>
      </x:c>
      <x:c r="F114" t="str">
        <x:v>Utilities</x:v>
      </x:c>
      <x:c r="G114" s="18" t="n">
        <x:v>51.09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10</x:v>
      </x:c>
      <x:c r="M114" t="n">
        <x:v>0</x:v>
      </x:c>
      <x:c r="N114" t="str">
        <x:v>Approved</x:v>
      </x:c>
      <x:c r="O114" t="n">
        <x:v>0</x:v>
      </x:c>
      <x:c r="P114" t="str">
        <x:f>IF(L114&gt;=75,"High",IF(L114&gt;=55,"Medium","Low"))</x:f>
        <x:v>Low</x:v>
      </x:c>
    </x:row>
    <x:row r="115">
      <x:c r="A115" t="n">
        <x:v>114</x:v>
      </x:c>
      <x:c r="B115" t="n">
        <x:v>10087</x:v>
      </x:c>
      <x:c r="C115" s="16" t="n">
        <x:v>46261</x:v>
      </x:c>
      <x:c r="D115" t="str">
        <x:v>23:30:00</x:v>
      </x:c>
      <x:c r="E115" t="str">
        <x:v>P2P</x:v>
      </x:c>
      <x:c r="F115" t="str">
        <x:v>Electronics</x:v>
      </x:c>
      <x:c r="G115" s="18" t="n">
        <x:v>43.26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10</x:v>
      </x:c>
      <x:c r="M115" t="n">
        <x:v>0</x:v>
      </x:c>
      <x:c r="N115" t="str">
        <x:v>Declined</x:v>
      </x:c>
      <x:c r="O115" t="n">
        <x:v>0</x:v>
      </x:c>
      <x:c r="P115" t="str">
        <x:f>IF(L115&gt;=75,"High",IF(L115&gt;=55,"Medium","Low"))</x:f>
        <x:v>Low</x:v>
      </x:c>
    </x:row>
    <x:row r="116">
      <x:c r="A116" t="n">
        <x:v>115</x:v>
      </x:c>
      <x:c r="B116" t="n">
        <x:v>10285</x:v>
      </x:c>
      <x:c r="C116" s="16" t="n">
        <x:v>46283</x:v>
      </x:c>
      <x:c r="D116" t="str">
        <x:v>23:36:00</x:v>
      </x:c>
      <x:c r="E116" t="str">
        <x:v>Bank Transfer</x:v>
      </x:c>
      <x:c r="F116" t="str">
        <x:v>Subscriptions</x:v>
      </x:c>
      <x:c r="G116" s="18" t="n">
        <x:v>154.31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10</x:v>
      </x:c>
      <x:c r="M116" t="n">
        <x:v>0</x:v>
      </x:c>
      <x:c r="N116" t="str">
        <x:v>Approved</x:v>
      </x:c>
      <x:c r="O116" t="n">
        <x:v>0</x:v>
      </x:c>
      <x:c r="P116" t="str">
        <x:f>IF(L116&gt;=75,"High",IF(L116&gt;=55,"Medium","Low"))</x:f>
        <x:v>Low</x:v>
      </x:c>
    </x:row>
    <x:row r="117">
      <x:c r="A117" t="n">
        <x:v>116</x:v>
      </x:c>
      <x:c r="B117" t="n">
        <x:v>10255</x:v>
      </x:c>
      <x:c r="C117" s="16" t="n">
        <x:v>46263</x:v>
      </x:c>
      <x:c r="D117" t="str">
        <x:v>05:35:00</x:v>
      </x:c>
      <x:c r="E117" t="str">
        <x:v>Bank Transfer</x:v>
      </x:c>
      <x:c r="F117" t="str">
        <x:v>Electronics</x:v>
      </x:c>
      <x:c r="G117" s="18" t="n">
        <x:v>147.06</x:v>
      </x:c>
      <x:c r="H117" t="n">
        <x:v>1</x:v>
      </x:c>
      <x:c r="I117" t="n">
        <x:v>0</x:v>
      </x:c>
      <x:c r="J117" t="n">
        <x:v>0</x:v>
      </x:c>
      <x:c r="K117" t="n">
        <x:v>0</x:v>
      </x:c>
      <x:c r="L117" t="n">
        <x:v>36</x:v>
      </x:c>
      <x:c r="M117" t="n">
        <x:v>0</x:v>
      </x:c>
      <x:c r="N117" t="str">
        <x:v>Approved</x:v>
      </x:c>
      <x:c r="O117" t="n">
        <x:v>0</x:v>
      </x:c>
      <x:c r="P117" t="str">
        <x:f>IF(L117&gt;=75,"High",IF(L117&gt;=55,"Medium","Low"))</x:f>
        <x:v>Low</x:v>
      </x:c>
    </x:row>
    <x:row r="118">
      <x:c r="A118" t="n">
        <x:v>117</x:v>
      </x:c>
      <x:c r="B118" t="n">
        <x:v>10188</x:v>
      </x:c>
      <x:c r="C118" s="16" t="n">
        <x:v>46267</x:v>
      </x:c>
      <x:c r="D118" t="str">
        <x:v>03:58:00</x:v>
      </x:c>
      <x:c r="E118" t="str">
        <x:v>Card</x:v>
      </x:c>
      <x:c r="F118" t="str">
        <x:v>Subscriptions</x:v>
      </x:c>
      <x:c r="G118" s="18" t="n">
        <x:v>107.57</x:v>
      </x:c>
      <x:c r="H118" t="n">
        <x:v>0</x:v>
      </x:c>
      <x:c r="I118" t="n">
        <x:v>0</x:v>
      </x:c>
      <x:c r="J118" t="n">
        <x:v>0</x:v>
      </x:c>
      <x:c r="K118" t="n">
        <x:v>1</x:v>
      </x:c>
      <x:c r="L118" t="n">
        <x:v>25</x:v>
      </x:c>
      <x:c r="M118" t="n">
        <x:v>0</x:v>
      </x:c>
      <x:c r="N118" t="str">
        <x:v>Approved</x:v>
      </x:c>
      <x:c r="O118" t="n">
        <x:v>0</x:v>
      </x:c>
      <x:c r="P118" t="str">
        <x:f>IF(L118&gt;=75,"High",IF(L118&gt;=55,"Medium","Low"))</x:f>
        <x:v>Low</x:v>
      </x:c>
    </x:row>
    <x:row r="119">
      <x:c r="A119" t="n">
        <x:v>118</x:v>
      </x:c>
      <x:c r="B119" t="n">
        <x:v>10208</x:v>
      </x:c>
      <x:c r="C119" s="16" t="n">
        <x:v>46273</x:v>
      </x:c>
      <x:c r="D119" t="str">
        <x:v>01:09:00</x:v>
      </x:c>
      <x:c r="E119" t="str">
        <x:v>P2P</x:v>
      </x:c>
      <x:c r="F119" t="str">
        <x:v>Subscriptions</x:v>
      </x:c>
      <x:c r="G119" s="18" t="n">
        <x:v>111.84</x:v>
      </x:c>
      <x:c r="H119" t="n">
        <x:v>0</x:v>
      </x:c>
      <x:c r="I119" t="n">
        <x:v>0</x:v>
      </x:c>
      <x:c r="J119" t="n">
        <x:v>0</x:v>
      </x:c>
      <x:c r="K119" t="n">
        <x:v>1</x:v>
      </x:c>
      <x:c r="L119" t="n">
        <x:v>25</x:v>
      </x:c>
      <x:c r="M119" t="n">
        <x:v>0</x:v>
      </x:c>
      <x:c r="N119" t="str">
        <x:v>Approved</x:v>
      </x:c>
      <x:c r="O119" t="n">
        <x:v>0</x:v>
      </x:c>
      <x:c r="P119" t="str">
        <x:f>IF(L119&gt;=75,"High",IF(L119&gt;=55,"Medium","Low"))</x:f>
        <x:v>Low</x:v>
      </x:c>
    </x:row>
    <x:row r="120">
      <x:c r="A120" t="n">
        <x:v>119</x:v>
      </x:c>
      <x:c r="B120" t="n">
        <x:v>10124</x:v>
      </x:c>
      <x:c r="C120" s="16" t="n">
        <x:v>46189</x:v>
      </x:c>
      <x:c r="D120" t="str">
        <x:v>18:16:00</x:v>
      </x:c>
      <x:c r="E120" t="str">
        <x:v>Card</x:v>
      </x:c>
      <x:c r="F120" t="str">
        <x:v>Travel</x:v>
      </x:c>
      <x:c r="G120" s="18" t="n">
        <x:v>68.99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10</x:v>
      </x:c>
      <x:c r="M120" t="n">
        <x:v>0</x:v>
      </x:c>
      <x:c r="N120" t="str">
        <x:v>Approved</x:v>
      </x:c>
      <x:c r="O120" t="n">
        <x:v>0</x:v>
      </x:c>
      <x:c r="P120" t="str">
        <x:f>IF(L120&gt;=75,"High",IF(L120&gt;=55,"Medium","Low"))</x:f>
        <x:v>Low</x:v>
      </x:c>
    </x:row>
    <x:row r="121">
      <x:c r="A121" t="n">
        <x:v>120</x:v>
      </x:c>
      <x:c r="B121" t="n">
        <x:v>10067</x:v>
      </x:c>
      <x:c r="C121" s="16" t="n">
        <x:v>46192</x:v>
      </x:c>
      <x:c r="D121" t="str">
        <x:v>03:55:00</x:v>
      </x:c>
      <x:c r="E121" t="str">
        <x:v>Card</x:v>
      </x:c>
      <x:c r="F121" t="str">
        <x:v>Retail</x:v>
      </x:c>
      <x:c r="G121" s="18" t="n">
        <x:v>69.59</x:v>
      </x:c>
      <x:c r="H121" t="n">
        <x:v>0</x:v>
      </x:c>
      <x:c r="I121" t="n">
        <x:v>0</x:v>
      </x:c>
      <x:c r="J121" t="n">
        <x:v>0</x:v>
      </x:c>
      <x:c r="K121" t="n">
        <x:v>1</x:v>
      </x:c>
      <x:c r="L121" t="n">
        <x:v>25</x:v>
      </x:c>
      <x:c r="M121" t="n">
        <x:v>0</x:v>
      </x:c>
      <x:c r="N121" t="str">
        <x:v>Declined</x:v>
      </x:c>
      <x:c r="O121" t="n">
        <x:v>0</x:v>
      </x:c>
      <x:c r="P121" t="str">
        <x:f>IF(L121&gt;=75,"High",IF(L121&gt;=55,"Medium","Low"))</x:f>
        <x:v>Low</x:v>
      </x:c>
    </x:row>
    <x:row r="122">
      <x:c r="A122" t="n">
        <x:v>121</x:v>
      </x:c>
      <x:c r="B122" t="n">
        <x:v>10334</x:v>
      </x:c>
      <x:c r="C122" s="16" t="n">
        <x:v>46254</x:v>
      </x:c>
      <x:c r="D122" t="str">
        <x:v>08:53:00</x:v>
      </x:c>
      <x:c r="E122" t="str">
        <x:v>Card</x:v>
      </x:c>
      <x:c r="F122" t="str">
        <x:v>Transfer</x:v>
      </x:c>
      <x:c r="G122" s="18" t="n">
        <x:v>53.08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10</x:v>
      </x:c>
      <x:c r="M122" t="n">
        <x:v>0</x:v>
      </x:c>
      <x:c r="N122" t="str">
        <x:v>Approved</x:v>
      </x:c>
      <x:c r="O122" t="n">
        <x:v>0</x:v>
      </x:c>
      <x:c r="P122" t="str">
        <x:f>IF(L122&gt;=75,"High",IF(L122&gt;=55,"Medium","Low"))</x:f>
        <x:v>Low</x:v>
      </x:c>
    </x:row>
    <x:row r="123">
      <x:c r="A123" t="n">
        <x:v>122</x:v>
      </x:c>
      <x:c r="B123" t="n">
        <x:v>10218</x:v>
      </x:c>
      <x:c r="C123" s="16" t="n">
        <x:v>46234</x:v>
      </x:c>
      <x:c r="D123" t="str">
        <x:v>04:57:00</x:v>
      </x:c>
      <x:c r="E123" t="str">
        <x:v>P2P</x:v>
      </x:c>
      <x:c r="F123" t="str">
        <x:v>Subscriptions</x:v>
      </x:c>
      <x:c r="G123" s="18" t="n">
        <x:v>13.93</x:v>
      </x:c>
      <x:c r="H123" t="n">
        <x:v>0</x:v>
      </x:c>
      <x:c r="I123" t="n">
        <x:v>0</x:v>
      </x:c>
      <x:c r="J123" t="n">
        <x:v>0</x:v>
      </x:c>
      <x:c r="K123" t="n">
        <x:v>1</x:v>
      </x:c>
      <x:c r="L123" t="n">
        <x:v>25</x:v>
      </x:c>
      <x:c r="M123" t="n">
        <x:v>0</x:v>
      </x:c>
      <x:c r="N123" t="str">
        <x:v>Approved</x:v>
      </x:c>
      <x:c r="O123" t="n">
        <x:v>0</x:v>
      </x:c>
      <x:c r="P123" t="str">
        <x:f>IF(L123&gt;=75,"High",IF(L123&gt;=55,"Medium","Low"))</x:f>
        <x:v>Low</x:v>
      </x:c>
    </x:row>
    <x:row r="124">
      <x:c r="A124" t="n">
        <x:v>123</x:v>
      </x:c>
      <x:c r="B124" t="n">
        <x:v>10353</x:v>
      </x:c>
      <x:c r="C124" s="16" t="n">
        <x:v>46267</x:v>
      </x:c>
      <x:c r="D124" t="str">
        <x:v>22:46:00</x:v>
      </x:c>
      <x:c r="E124" t="str">
        <x:v>Card</x:v>
      </x:c>
      <x:c r="F124" t="str">
        <x:v>Electronics</x:v>
      </x:c>
      <x:c r="G124" s="18" t="n">
        <x:v>33.54</x:v>
      </x:c>
      <x:c r="H124" t="n">
        <x:v>1</x:v>
      </x:c>
      <x:c r="I124" t="n">
        <x:v>0</x:v>
      </x:c>
      <x:c r="J124" t="n">
        <x:v>0</x:v>
      </x:c>
      <x:c r="K124" t="n">
        <x:v>0</x:v>
      </x:c>
      <x:c r="L124" t="n">
        <x:v>36</x:v>
      </x:c>
      <x:c r="M124" t="n">
        <x:v>0</x:v>
      </x:c>
      <x:c r="N124" t="str">
        <x:v>Declined</x:v>
      </x:c>
      <x:c r="O124" t="n">
        <x:v>0</x:v>
      </x:c>
      <x:c r="P124" t="str">
        <x:f>IF(L124&gt;=75,"High",IF(L124&gt;=55,"Medium","Low"))</x:f>
        <x:v>Low</x:v>
      </x:c>
    </x:row>
    <x:row r="125">
      <x:c r="A125" t="n">
        <x:v>124</x:v>
      </x:c>
      <x:c r="B125" t="n">
        <x:v>10261</x:v>
      </x:c>
      <x:c r="C125" s="16" t="n">
        <x:v>46148</x:v>
      </x:c>
      <x:c r="D125" t="str">
        <x:v>23:54:00</x:v>
      </x:c>
      <x:c r="E125" t="str">
        <x:v>Card</x:v>
      </x:c>
      <x:c r="F125" t="str">
        <x:v>Transfer</x:v>
      </x:c>
      <x:c r="G125" s="18" t="n">
        <x:v>37.46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10</x:v>
      </x:c>
      <x:c r="M125" t="n">
        <x:v>0</x:v>
      </x:c>
      <x:c r="N125" t="str">
        <x:v>Approved</x:v>
      </x:c>
      <x:c r="O125" t="n">
        <x:v>0</x:v>
      </x:c>
      <x:c r="P125" t="str">
        <x:f>IF(L125&gt;=75,"High",IF(L125&gt;=55,"Medium","Low"))</x:f>
        <x:v>Low</x:v>
      </x:c>
    </x:row>
    <x:row r="126">
      <x:c r="A126" t="n">
        <x:v>125</x:v>
      </x:c>
      <x:c r="B126" t="n">
        <x:v>10121</x:v>
      </x:c>
      <x:c r="C126" s="16" t="n">
        <x:v>46135</x:v>
      </x:c>
      <x:c r="D126" t="str">
        <x:v>19:27:00</x:v>
      </x:c>
      <x:c r="E126" t="str">
        <x:v>Card</x:v>
      </x:c>
      <x:c r="F126" t="str">
        <x:v>Subscriptions</x:v>
      </x:c>
      <x:c r="G126" s="18" t="n">
        <x:v>21.85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10</x:v>
      </x:c>
      <x:c r="M126" t="n">
        <x:v>0</x:v>
      </x:c>
      <x:c r="N126" t="str">
        <x:v>Approved</x:v>
      </x:c>
      <x:c r="O126" t="n">
        <x:v>0</x:v>
      </x:c>
      <x:c r="P126" t="str">
        <x:f>IF(L126&gt;=75,"High",IF(L126&gt;=55,"Medium","Low"))</x:f>
        <x:v>Low</x:v>
      </x:c>
    </x:row>
    <x:row r="127">
      <x:c r="A127" t="n">
        <x:v>126</x:v>
      </x:c>
      <x:c r="B127" t="n">
        <x:v>10203</x:v>
      </x:c>
      <x:c r="C127" s="16" t="n">
        <x:v>46259</x:v>
      </x:c>
      <x:c r="D127" t="str">
        <x:v>13:27:00</x:v>
      </x:c>
      <x:c r="E127" t="str">
        <x:v>Card</x:v>
      </x:c>
      <x:c r="F127" t="str">
        <x:v>Retail</x:v>
      </x:c>
      <x:c r="G127" s="18" t="n">
        <x:v>213.75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36</x:v>
      </x:c>
      <x:c r="M127" t="n">
        <x:v>0</x:v>
      </x:c>
      <x:c r="N127" t="str">
        <x:v>Approved</x:v>
      </x:c>
      <x:c r="O127" t="n">
        <x:v>0</x:v>
      </x:c>
      <x:c r="P127" t="str">
        <x:f>IF(L127&gt;=75,"High",IF(L127&gt;=55,"Medium","Low"))</x:f>
        <x:v>Low</x:v>
      </x:c>
    </x:row>
    <x:row r="128">
      <x:c r="A128" t="n">
        <x:v>127</x:v>
      </x:c>
      <x:c r="B128" t="n">
        <x:v>10283</x:v>
      </x:c>
      <x:c r="C128" s="16" t="n">
        <x:v>46146</x:v>
      </x:c>
      <x:c r="D128" t="str">
        <x:v>03:05:00</x:v>
      </x:c>
      <x:c r="E128" t="str">
        <x:v>Bank Transfer</x:v>
      </x:c>
      <x:c r="F128" t="str">
        <x:v>Electronics</x:v>
      </x:c>
      <x:c r="G128" s="18" t="n">
        <x:v>229.15</x:v>
      </x:c>
      <x:c r="H128" t="n">
        <x:v>1</x:v>
      </x:c>
      <x:c r="I128" t="n">
        <x:v>0</x:v>
      </x:c>
      <x:c r="J128" t="n">
        <x:v>0</x:v>
      </x:c>
      <x:c r="K128" t="n">
        <x:v>1</x:v>
      </x:c>
      <x:c r="L128" t="n">
        <x:v>51</x:v>
      </x:c>
      <x:c r="M128" t="n">
        <x:v>0</x:v>
      </x:c>
      <x:c r="N128" t="str">
        <x:v>Approved</x:v>
      </x:c>
      <x:c r="O128" t="n">
        <x:v>0</x:v>
      </x:c>
      <x:c r="P128" t="str">
        <x:f>IF(L128&gt;=75,"High",IF(L128&gt;=55,"Medium","Low"))</x:f>
        <x:v>Low</x:v>
      </x:c>
    </x:row>
    <x:row r="129">
      <x:c r="A129" t="n">
        <x:v>128</x:v>
      </x:c>
      <x:c r="B129" t="n">
        <x:v>10064</x:v>
      </x:c>
      <x:c r="C129" s="16" t="n">
        <x:v>46175</x:v>
      </x:c>
      <x:c r="D129" t="str">
        <x:v>04:54:00</x:v>
      </x:c>
      <x:c r="E129" t="str">
        <x:v>Card</x:v>
      </x:c>
      <x:c r="F129" t="str">
        <x:v>Retail</x:v>
      </x:c>
      <x:c r="G129" s="18" t="n">
        <x:v>68.78</x:v>
      </x:c>
      <x:c r="H129" t="n">
        <x:v>0</x:v>
      </x:c>
      <x:c r="I129" t="n">
        <x:v>0</x:v>
      </x:c>
      <x:c r="J129" t="n">
        <x:v>0</x:v>
      </x:c>
      <x:c r="K129" t="n">
        <x:v>1</x:v>
      </x:c>
      <x:c r="L129" t="n">
        <x:v>25</x:v>
      </x:c>
      <x:c r="M129" t="n">
        <x:v>0</x:v>
      </x:c>
      <x:c r="N129" t="str">
        <x:v>Approved</x:v>
      </x:c>
      <x:c r="O129" t="n">
        <x:v>0</x:v>
      </x:c>
      <x:c r="P129" t="str">
        <x:f>IF(L129&gt;=75,"High",IF(L129&gt;=55,"Medium","Low"))</x:f>
        <x:v>Low</x:v>
      </x:c>
    </x:row>
    <x:row r="130">
      <x:c r="A130" t="n">
        <x:v>129</x:v>
      </x:c>
      <x:c r="B130" t="n">
        <x:v>10055</x:v>
      </x:c>
      <x:c r="C130" s="16" t="n">
        <x:v>46281</x:v>
      </x:c>
      <x:c r="D130" t="str">
        <x:v>09:47:00</x:v>
      </x:c>
      <x:c r="E130" t="str">
        <x:v>P2P</x:v>
      </x:c>
      <x:c r="F130" t="str">
        <x:v>Travel</x:v>
      </x:c>
      <x:c r="G130" s="18" t="n">
        <x:v>46.57</x:v>
      </x:c>
      <x:c r="H130" t="n">
        <x:v>0</x:v>
      </x:c>
      <x:c r="I130" t="n">
        <x:v>1</x:v>
      </x:c>
      <x:c r="J130" t="n">
        <x:v>0</x:v>
      </x:c>
      <x:c r="K130" t="n">
        <x:v>0</x:v>
      </x:c>
      <x:c r="L130" t="n">
        <x:v>30</x:v>
      </x:c>
      <x:c r="M130" t="n">
        <x:v>0</x:v>
      </x:c>
      <x:c r="N130" t="str">
        <x:v>Approved</x:v>
      </x:c>
      <x:c r="O130" t="n">
        <x:v>0</x:v>
      </x:c>
      <x:c r="P130" t="str">
        <x:f>IF(L130&gt;=75,"High",IF(L130&gt;=55,"Medium","Low"))</x:f>
        <x:v>Low</x:v>
      </x:c>
    </x:row>
    <x:row r="131">
      <x:c r="A131" t="n">
        <x:v>130</x:v>
      </x:c>
      <x:c r="B131" t="n">
        <x:v>10054</x:v>
      </x:c>
      <x:c r="C131" s="16" t="n">
        <x:v>46272</x:v>
      </x:c>
      <x:c r="D131" t="str">
        <x:v>03:20:00</x:v>
      </x:c>
      <x:c r="E131" t="str">
        <x:v>Card</x:v>
      </x:c>
      <x:c r="F131" t="str">
        <x:v>Transfer</x:v>
      </x:c>
      <x:c r="G131" s="18" t="n">
        <x:v>120.77</x:v>
      </x:c>
      <x:c r="H131" t="n">
        <x:v>0</x:v>
      </x:c>
      <x:c r="I131" t="n">
        <x:v>1</x:v>
      </x:c>
      <x:c r="J131" t="n">
        <x:v>0</x:v>
      </x:c>
      <x:c r="K131" t="n">
        <x:v>1</x:v>
      </x:c>
      <x:c r="L131" t="n">
        <x:v>45</x:v>
      </x:c>
      <x:c r="M131" t="n">
        <x:v>0</x:v>
      </x:c>
      <x:c r="N131" t="str">
        <x:v>Approved</x:v>
      </x:c>
      <x:c r="O131" t="n">
        <x:v>0</x:v>
      </x:c>
      <x:c r="P131" t="str">
        <x:f>IF(L131&gt;=75,"High",IF(L131&gt;=55,"Medium","Low"))</x:f>
        <x:v>Low</x:v>
      </x:c>
    </x:row>
    <x:row r="132">
      <x:c r="A132" t="n">
        <x:v>131</x:v>
      </x:c>
      <x:c r="B132" t="n">
        <x:v>10065</x:v>
      </x:c>
      <x:c r="C132" s="16" t="n">
        <x:v>46250</x:v>
      </x:c>
      <x:c r="D132" t="str">
        <x:v>11:45:00</x:v>
      </x:c>
      <x:c r="E132" t="str">
        <x:v>Card</x:v>
      </x:c>
      <x:c r="F132" t="str">
        <x:v>Retail</x:v>
      </x:c>
      <x:c r="G132" s="18" t="n">
        <x:v>932.31</x:v>
      </x:c>
      <x:c r="H132" t="n">
        <x:v>1</x:v>
      </x:c>
      <x:c r="I132" t="n">
        <x:v>1</x:v>
      </x:c>
      <x:c r="J132" t="n">
        <x:v>1</x:v>
      </x:c>
      <x:c r="K132" t="n">
        <x:v>0</x:v>
      </x:c>
      <x:c r="L132" t="n">
        <x:v>90</x:v>
      </x:c>
      <x:c r="M132" t="n">
        <x:v>1</x:v>
      </x:c>
      <x:c r="N132" t="str">
        <x:v>Declined</x:v>
      </x:c>
      <x:c r="O132" t="n">
        <x:v>0</x:v>
      </x:c>
      <x:c r="P132" t="str">
        <x:f>IF(L132&gt;=75,"High",IF(L132&gt;=55,"Medium","Low"))</x:f>
        <x:v>High</x:v>
      </x:c>
    </x:row>
    <x:row r="133">
      <x:c r="A133" t="n">
        <x:v>132</x:v>
      </x:c>
      <x:c r="B133" t="n">
        <x:v>10351</x:v>
      </x:c>
      <x:c r="C133" s="16" t="n">
        <x:v>46284</x:v>
      </x:c>
      <x:c r="D133" t="str">
        <x:v>21:37:00</x:v>
      </x:c>
      <x:c r="E133" t="str">
        <x:v>Card</x:v>
      </x:c>
      <x:c r="F133" t="str">
        <x:v>Electronics</x:v>
      </x:c>
      <x:c r="G133" s="18" t="n">
        <x:v>533.11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10</x:v>
      </x:c>
      <x:c r="M133" t="n">
        <x:v>0</x:v>
      </x:c>
      <x:c r="N133" t="str">
        <x:v>Approved</x:v>
      </x:c>
      <x:c r="O133" t="n">
        <x:v>0</x:v>
      </x:c>
      <x:c r="P133" t="str">
        <x:f>IF(L133&gt;=75,"High",IF(L133&gt;=55,"Medium","Low"))</x:f>
        <x:v>Low</x:v>
      </x:c>
    </x:row>
    <x:row r="134">
      <x:c r="A134" t="n">
        <x:v>133</x:v>
      </x:c>
      <x:c r="B134" t="n">
        <x:v>10189</x:v>
      </x:c>
      <x:c r="C134" s="16" t="n">
        <x:v>46163</x:v>
      </x:c>
      <x:c r="D134" t="str">
        <x:v>11:39:00</x:v>
      </x:c>
      <x:c r="E134" t="str">
        <x:v>Card</x:v>
      </x:c>
      <x:c r="F134" t="str">
        <x:v>Dining</x:v>
      </x:c>
      <x:c r="G134" s="18" t="n">
        <x:v>146.54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10</x:v>
      </x:c>
      <x:c r="M134" t="n">
        <x:v>0</x:v>
      </x:c>
      <x:c r="N134" t="str">
        <x:v>Approved</x:v>
      </x:c>
      <x:c r="O134" t="n">
        <x:v>0</x:v>
      </x:c>
      <x:c r="P134" t="str">
        <x:f>IF(L134&gt;=75,"High",IF(L134&gt;=55,"Medium","Low"))</x:f>
        <x:v>Low</x:v>
      </x:c>
    </x:row>
    <x:row r="135">
      <x:c r="A135" t="n">
        <x:v>134</x:v>
      </x:c>
      <x:c r="B135" t="n">
        <x:v>10192</x:v>
      </x:c>
      <x:c r="C135" s="16" t="n">
        <x:v>46148</x:v>
      </x:c>
      <x:c r="D135" t="str">
        <x:v>00:06:00</x:v>
      </x:c>
      <x:c r="E135" t="str">
        <x:v>Card</x:v>
      </x:c>
      <x:c r="F135" t="str">
        <x:v>Dining</x:v>
      </x:c>
      <x:c r="G135" s="18" t="n">
        <x:v>131.7</x:v>
      </x:c>
      <x:c r="H135" t="n">
        <x:v>0</x:v>
      </x:c>
      <x:c r="I135" t="n">
        <x:v>0</x:v>
      </x:c>
      <x:c r="J135" t="n">
        <x:v>0</x:v>
      </x:c>
      <x:c r="K135" t="n">
        <x:v>1</x:v>
      </x:c>
      <x:c r="L135" t="n">
        <x:v>25</x:v>
      </x:c>
      <x:c r="M135" t="n">
        <x:v>0</x:v>
      </x:c>
      <x:c r="N135" t="str">
        <x:v>Approved</x:v>
      </x:c>
      <x:c r="O135" t="n">
        <x:v>0</x:v>
      </x:c>
      <x:c r="P135" t="str">
        <x:f>IF(L135&gt;=75,"High",IF(L135&gt;=55,"Medium","Low"))</x:f>
        <x:v>Low</x:v>
      </x:c>
    </x:row>
    <x:row r="136">
      <x:c r="A136" t="n">
        <x:v>135</x:v>
      </x:c>
      <x:c r="B136" t="n">
        <x:v>10348</x:v>
      </x:c>
      <x:c r="C136" s="16" t="n">
        <x:v>46114</x:v>
      </x:c>
      <x:c r="D136" t="str">
        <x:v>17:57:00</x:v>
      </x:c>
      <x:c r="E136" t="str">
        <x:v>Bank Transfer</x:v>
      </x:c>
      <x:c r="F136" t="str">
        <x:v>Travel</x:v>
      </x:c>
      <x:c r="G136" s="18" t="n">
        <x:v>37.29</x:v>
      </x:c>
      <x:c r="H136" t="n">
        <x:v>1</x:v>
      </x:c>
      <x:c r="I136" t="n">
        <x:v>0</x:v>
      </x:c>
      <x:c r="J136" t="n">
        <x:v>0</x:v>
      </x:c>
      <x:c r="K136" t="n">
        <x:v>0</x:v>
      </x:c>
      <x:c r="L136" t="n">
        <x:v>36</x:v>
      </x:c>
      <x:c r="M136" t="n">
        <x:v>0</x:v>
      </x:c>
      <x:c r="N136" t="str">
        <x:v>Approved</x:v>
      </x:c>
      <x:c r="O136" t="n">
        <x:v>0</x:v>
      </x:c>
      <x:c r="P136" t="str">
        <x:f>IF(L136&gt;=75,"High",IF(L136&gt;=55,"Medium","Low"))</x:f>
        <x:v>Low</x:v>
      </x:c>
    </x:row>
    <x:row r="137">
      <x:c r="A137" t="n">
        <x:v>136</x:v>
      </x:c>
      <x:c r="B137" t="n">
        <x:v>10152</x:v>
      </x:c>
      <x:c r="C137" s="16" t="n">
        <x:v>46196</x:v>
      </x:c>
      <x:c r="D137" t="str">
        <x:v>18:34:00</x:v>
      </x:c>
      <x:c r="E137" t="str">
        <x:v>Card</x:v>
      </x:c>
      <x:c r="F137" t="str">
        <x:v>Transfer</x:v>
      </x:c>
      <x:c r="G137" s="18" t="n">
        <x:v>59.59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10</x:v>
      </x:c>
      <x:c r="M137" t="n">
        <x:v>0</x:v>
      </x:c>
      <x:c r="N137" t="str">
        <x:v>Declined</x:v>
      </x:c>
      <x:c r="O137" t="n">
        <x:v>0</x:v>
      </x:c>
      <x:c r="P137" t="str">
        <x:f>IF(L137&gt;=75,"High",IF(L137&gt;=55,"Medium","Low"))</x:f>
        <x:v>Low</x:v>
      </x:c>
    </x:row>
    <x:row r="138">
      <x:c r="A138" t="n">
        <x:v>137</x:v>
      </x:c>
      <x:c r="B138" t="n">
        <x:v>10306</x:v>
      </x:c>
      <x:c r="C138" s="16" t="n">
        <x:v>46245</x:v>
      </x:c>
      <x:c r="D138" t="str">
        <x:v>09:50:00</x:v>
      </x:c>
      <x:c r="E138" t="str">
        <x:v>Card</x:v>
      </x:c>
      <x:c r="F138" t="str">
        <x:v>Electronics</x:v>
      </x:c>
      <x:c r="G138" s="18" t="n">
        <x:v>68.81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10</x:v>
      </x:c>
      <x:c r="M138" t="n">
        <x:v>0</x:v>
      </x:c>
      <x:c r="N138" t="str">
        <x:v>Approved</x:v>
      </x:c>
      <x:c r="O138" t="n">
        <x:v>0</x:v>
      </x:c>
      <x:c r="P138" t="str">
        <x:f>IF(L138&gt;=75,"High",IF(L138&gt;=55,"Medium","Low"))</x:f>
        <x:v>Low</x:v>
      </x:c>
    </x:row>
    <x:row r="139">
      <x:c r="A139" t="n">
        <x:v>138</x:v>
      </x:c>
      <x:c r="B139" t="n">
        <x:v>10186</x:v>
      </x:c>
      <x:c r="C139" s="16" t="n">
        <x:v>46236</x:v>
      </x:c>
      <x:c r="D139" t="str">
        <x:v>04:04:00</x:v>
      </x:c>
      <x:c r="E139" t="str">
        <x:v>Bank Transfer</x:v>
      </x:c>
      <x:c r="F139" t="str">
        <x:v>Subscriptions</x:v>
      </x:c>
      <x:c r="G139" s="18" t="n">
        <x:v>62.81</x:v>
      </x:c>
      <x:c r="H139" t="n">
        <x:v>0</x:v>
      </x:c>
      <x:c r="I139" t="n">
        <x:v>0</x:v>
      </x:c>
      <x:c r="J139" t="n">
        <x:v>0</x:v>
      </x:c>
      <x:c r="K139" t="n">
        <x:v>1</x:v>
      </x:c>
      <x:c r="L139" t="n">
        <x:v>25</x:v>
      </x:c>
      <x:c r="M139" t="n">
        <x:v>0</x:v>
      </x:c>
      <x:c r="N139" t="str">
        <x:v>Declined</x:v>
      </x:c>
      <x:c r="O139" t="n">
        <x:v>0</x:v>
      </x:c>
      <x:c r="P139" t="str">
        <x:f>IF(L139&gt;=75,"High",IF(L139&gt;=55,"Medium","Low"))</x:f>
        <x:v>Low</x:v>
      </x:c>
    </x:row>
    <x:row r="140">
      <x:c r="A140" t="n">
        <x:v>139</x:v>
      </x:c>
      <x:c r="B140" t="n">
        <x:v>10153</x:v>
      </x:c>
      <x:c r="C140" s="16" t="n">
        <x:v>46122</x:v>
      </x:c>
      <x:c r="D140" t="str">
        <x:v>15:21:00</x:v>
      </x:c>
      <x:c r="E140" t="str">
        <x:v>Bank Transfer</x:v>
      </x:c>
      <x:c r="F140" t="str">
        <x:v>Subscriptions</x:v>
      </x:c>
      <x:c r="G140" s="18" t="n">
        <x:v>120.49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10</x:v>
      </x:c>
      <x:c r="M140" t="n">
        <x:v>0</x:v>
      </x:c>
      <x:c r="N140" t="str">
        <x:v>Approved</x:v>
      </x:c>
      <x:c r="O140" t="n">
        <x:v>0</x:v>
      </x:c>
      <x:c r="P140" t="str">
        <x:f>IF(L140&gt;=75,"High",IF(L140&gt;=55,"Medium","Low"))</x:f>
        <x:v>Low</x:v>
      </x:c>
    </x:row>
    <x:row r="141">
      <x:c r="A141" t="n">
        <x:v>140</x:v>
      </x:c>
      <x:c r="B141" t="n">
        <x:v>10317</x:v>
      </x:c>
      <x:c r="C141" s="16" t="n">
        <x:v>46193</x:v>
      </x:c>
      <x:c r="D141" t="str">
        <x:v>08:46:00</x:v>
      </x:c>
      <x:c r="E141" t="str">
        <x:v>Card</x:v>
      </x:c>
      <x:c r="F141" t="str">
        <x:v>Dining</x:v>
      </x:c>
      <x:c r="G141" s="18" t="n">
        <x:v>24.82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10</x:v>
      </x:c>
      <x:c r="M141" t="n">
        <x:v>0</x:v>
      </x:c>
      <x:c r="N141" t="str">
        <x:v>Approved</x:v>
      </x:c>
      <x:c r="O141" t="n">
        <x:v>0</x:v>
      </x:c>
      <x:c r="P141" t="str">
        <x:f>IF(L141&gt;=75,"High",IF(L141&gt;=55,"Medium","Low"))</x:f>
        <x:v>Low</x:v>
      </x:c>
    </x:row>
    <x:row r="142">
      <x:c r="A142" t="n">
        <x:v>141</x:v>
      </x:c>
      <x:c r="B142" t="n">
        <x:v>10201</x:v>
      </x:c>
      <x:c r="C142" s="16" t="n">
        <x:v>46144</x:v>
      </x:c>
      <x:c r="D142" t="str">
        <x:v>20:10:00</x:v>
      </x:c>
      <x:c r="E142" t="str">
        <x:v>Card</x:v>
      </x:c>
      <x:c r="F142" t="str">
        <x:v>Electronics</x:v>
      </x:c>
      <x:c r="G142" s="18" t="n">
        <x:v>21.17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10</x:v>
      </x:c>
      <x:c r="M142" t="n">
        <x:v>0</x:v>
      </x:c>
      <x:c r="N142" t="str">
        <x:v>Approved</x:v>
      </x:c>
      <x:c r="O142" t="n">
        <x:v>0</x:v>
      </x:c>
      <x:c r="P142" t="str">
        <x:f>IF(L142&gt;=75,"High",IF(L142&gt;=55,"Medium","Low"))</x:f>
        <x:v>Low</x:v>
      </x:c>
    </x:row>
    <x:row r="143">
      <x:c r="A143" t="n">
        <x:v>142</x:v>
      </x:c>
      <x:c r="B143" t="n">
        <x:v>10286</x:v>
      </x:c>
      <x:c r="C143" s="16" t="n">
        <x:v>46225</x:v>
      </x:c>
      <x:c r="D143" t="str">
        <x:v>13:16:00</x:v>
      </x:c>
      <x:c r="E143" t="str">
        <x:v>Card</x:v>
      </x:c>
      <x:c r="F143" t="str">
        <x:v>Electronics</x:v>
      </x:c>
      <x:c r="G143" s="18" t="n">
        <x:v>381.45</x:v>
      </x:c>
      <x:c r="H143" t="n">
        <x:v>1</x:v>
      </x:c>
      <x:c r="I143" t="n">
        <x:v>1</x:v>
      </x:c>
      <x:c r="J143" t="n">
        <x:v>0</x:v>
      </x:c>
      <x:c r="K143" t="n">
        <x:v>0</x:v>
      </x:c>
      <x:c r="L143" t="n">
        <x:v>56</x:v>
      </x:c>
      <x:c r="M143" t="n">
        <x:v>1</x:v>
      </x:c>
      <x:c r="N143" t="str">
        <x:v>Declined</x:v>
      </x:c>
      <x:c r="O143" t="n">
        <x:v>0</x:v>
      </x:c>
      <x:c r="P143" t="str">
        <x:f>IF(L143&gt;=75,"High",IF(L143&gt;=55,"Medium","Low"))</x:f>
        <x:v>Medium</x:v>
      </x:c>
    </x:row>
    <x:row r="144">
      <x:c r="A144" t="n">
        <x:v>143</x:v>
      </x:c>
      <x:c r="B144" t="n">
        <x:v>10091</x:v>
      </x:c>
      <x:c r="C144" s="16" t="n">
        <x:v>46265</x:v>
      </x:c>
      <x:c r="D144" t="str">
        <x:v>07:59:00</x:v>
      </x:c>
      <x:c r="E144" t="str">
        <x:v>Card</x:v>
      </x:c>
      <x:c r="F144" t="str">
        <x:v>Subscriptions</x:v>
      </x:c>
      <x:c r="G144" s="18" t="n">
        <x:v>8.33</x:v>
      </x:c>
      <x:c r="H144" t="n">
        <x:v>0</x:v>
      </x:c>
      <x:c r="I144" t="n">
        <x:v>1</x:v>
      </x:c>
      <x:c r="J144" t="n">
        <x:v>0</x:v>
      </x:c>
      <x:c r="K144" t="n">
        <x:v>0</x:v>
      </x:c>
      <x:c r="L144" t="n">
        <x:v>30</x:v>
      </x:c>
      <x:c r="M144" t="n">
        <x:v>0</x:v>
      </x:c>
      <x:c r="N144" t="str">
        <x:v>Approved</x:v>
      </x:c>
      <x:c r="O144" t="n">
        <x:v>0</x:v>
      </x:c>
      <x:c r="P144" t="str">
        <x:f>IF(L144&gt;=75,"High",IF(L144&gt;=55,"Medium","Low"))</x:f>
        <x:v>Low</x:v>
      </x:c>
    </x:row>
    <x:row r="145">
      <x:c r="A145" t="n">
        <x:v>144</x:v>
      </x:c>
      <x:c r="B145" t="n">
        <x:v>10219</x:v>
      </x:c>
      <x:c r="C145" s="16" t="n">
        <x:v>46132</x:v>
      </x:c>
      <x:c r="D145" t="str">
        <x:v>20:06:00</x:v>
      </x:c>
      <x:c r="E145" t="str">
        <x:v>Card</x:v>
      </x:c>
      <x:c r="F145" t="str">
        <x:v>Retail</x:v>
      </x:c>
      <x:c r="G145" s="18" t="n">
        <x:v>65.91</x:v>
      </x:c>
      <x:c r="H145" t="n">
        <x:v>1</x:v>
      </x:c>
      <x:c r="I145" t="n">
        <x:v>0</x:v>
      </x:c>
      <x:c r="J145" t="n">
        <x:v>0</x:v>
      </x:c>
      <x:c r="K145" t="n">
        <x:v>0</x:v>
      </x:c>
      <x:c r="L145" t="n">
        <x:v>36</x:v>
      </x:c>
      <x:c r="M145" t="n">
        <x:v>0</x:v>
      </x:c>
      <x:c r="N145" t="str">
        <x:v>Approved</x:v>
      </x:c>
      <x:c r="O145" t="n">
        <x:v>0</x:v>
      </x:c>
      <x:c r="P145" t="str">
        <x:f>IF(L145&gt;=75,"High",IF(L145&gt;=55,"Medium","Low"))</x:f>
        <x:v>Low</x:v>
      </x:c>
    </x:row>
    <x:row r="146">
      <x:c r="A146" t="n">
        <x:v>145</x:v>
      </x:c>
      <x:c r="B146" t="n">
        <x:v>10065</x:v>
      </x:c>
      <x:c r="C146" s="16" t="n">
        <x:v>46233</x:v>
      </x:c>
      <x:c r="D146" t="str">
        <x:v>01:43:00</x:v>
      </x:c>
      <x:c r="E146" t="str">
        <x:v>Card</x:v>
      </x:c>
      <x:c r="F146" t="str">
        <x:v>Subscriptions</x:v>
      </x:c>
      <x:c r="G146" s="18" t="n">
        <x:v>135.63</x:v>
      </x:c>
      <x:c r="H146" t="n">
        <x:v>0</x:v>
      </x:c>
      <x:c r="I146" t="n">
        <x:v>0</x:v>
      </x:c>
      <x:c r="J146" t="n">
        <x:v>0</x:v>
      </x:c>
      <x:c r="K146" t="n">
        <x:v>1</x:v>
      </x:c>
      <x:c r="L146" t="n">
        <x:v>25</x:v>
      </x:c>
      <x:c r="M146" t="n">
        <x:v>0</x:v>
      </x:c>
      <x:c r="N146" t="str">
        <x:v>Approved</x:v>
      </x:c>
      <x:c r="O146" t="n">
        <x:v>0</x:v>
      </x:c>
      <x:c r="P146" t="str">
        <x:f>IF(L146&gt;=75,"High",IF(L146&gt;=55,"Medium","Low"))</x:f>
        <x:v>Low</x:v>
      </x:c>
    </x:row>
    <x:row r="147">
      <x:c r="A147" t="n">
        <x:v>146</x:v>
      </x:c>
      <x:c r="B147" t="n">
        <x:v>10183</x:v>
      </x:c>
      <x:c r="C147" s="16" t="n">
        <x:v>46268</x:v>
      </x:c>
      <x:c r="D147" t="str">
        <x:v>06:13:00</x:v>
      </x:c>
      <x:c r="E147" t="str">
        <x:v>Bank Transfer</x:v>
      </x:c>
      <x:c r="F147" t="str">
        <x:v>Transfer</x:v>
      </x:c>
      <x:c r="G147" s="18" t="n">
        <x:v>189.61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10</x:v>
      </x:c>
      <x:c r="M147" t="n">
        <x:v>0</x:v>
      </x:c>
      <x:c r="N147" t="str">
        <x:v>Approved</x:v>
      </x:c>
      <x:c r="O147" t="n">
        <x:v>0</x:v>
      </x:c>
      <x:c r="P147" t="str">
        <x:f>IF(L147&gt;=75,"High",IF(L147&gt;=55,"Medium","Low"))</x:f>
        <x:v>Low</x:v>
      </x:c>
    </x:row>
    <x:row r="148">
      <x:c r="A148" t="n">
        <x:v>147</x:v>
      </x:c>
      <x:c r="B148" t="n">
        <x:v>10147</x:v>
      </x:c>
      <x:c r="C148" s="16" t="n">
        <x:v>46165</x:v>
      </x:c>
      <x:c r="D148" t="str">
        <x:v>03:34:00</x:v>
      </x:c>
      <x:c r="E148" t="str">
        <x:v>Card</x:v>
      </x:c>
      <x:c r="F148" t="str">
        <x:v>Subscriptions</x:v>
      </x:c>
      <x:c r="G148" s="18" t="n">
        <x:v>206.53</x:v>
      </x:c>
      <x:c r="H148" t="n">
        <x:v>0</x:v>
      </x:c>
      <x:c r="I148" t="n">
        <x:v>0</x:v>
      </x:c>
      <x:c r="J148" t="n">
        <x:v>0</x:v>
      </x:c>
      <x:c r="K148" t="n">
        <x:v>1</x:v>
      </x:c>
      <x:c r="L148" t="n">
        <x:v>25</x:v>
      </x:c>
      <x:c r="M148" t="n">
        <x:v>0</x:v>
      </x:c>
      <x:c r="N148" t="str">
        <x:v>Approved</x:v>
      </x:c>
      <x:c r="O148" t="n">
        <x:v>0</x:v>
      </x:c>
      <x:c r="P148" t="str">
        <x:f>IF(L148&gt;=75,"High",IF(L148&gt;=55,"Medium","Low"))</x:f>
        <x:v>Low</x:v>
      </x:c>
    </x:row>
    <x:row r="149">
      <x:c r="A149" t="n">
        <x:v>148</x:v>
      </x:c>
      <x:c r="B149" t="n">
        <x:v>10318</x:v>
      </x:c>
      <x:c r="C149" s="16" t="n">
        <x:v>46233</x:v>
      </x:c>
      <x:c r="D149" t="str">
        <x:v>07:56:00</x:v>
      </x:c>
      <x:c r="E149" t="str">
        <x:v>Card</x:v>
      </x:c>
      <x:c r="F149" t="str">
        <x:v>Travel</x:v>
      </x:c>
      <x:c r="G149" s="18" t="n">
        <x:v>36.35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10</x:v>
      </x:c>
      <x:c r="M149" t="n">
        <x:v>0</x:v>
      </x:c>
      <x:c r="N149" t="str">
        <x:v>Approved</x:v>
      </x:c>
      <x:c r="O149" t="n">
        <x:v>0</x:v>
      </x:c>
      <x:c r="P149" t="str">
        <x:f>IF(L149&gt;=75,"High",IF(L149&gt;=55,"Medium","Low"))</x:f>
        <x:v>Low</x:v>
      </x:c>
    </x:row>
    <x:row r="150">
      <x:c r="A150" t="n">
        <x:v>149</x:v>
      </x:c>
      <x:c r="B150" t="n">
        <x:v>10061</x:v>
      </x:c>
      <x:c r="C150" s="16" t="n">
        <x:v>46164</x:v>
      </x:c>
      <x:c r="D150" t="str">
        <x:v>11:44:00</x:v>
      </x:c>
      <x:c r="E150" t="str">
        <x:v>Card</x:v>
      </x:c>
      <x:c r="F150" t="str">
        <x:v>Utilities</x:v>
      </x:c>
      <x:c r="G150" s="18" t="n">
        <x:v>216.48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10</x:v>
      </x:c>
      <x:c r="M150" t="n">
        <x:v>0</x:v>
      </x:c>
      <x:c r="N150" t="str">
        <x:v>Approved</x:v>
      </x:c>
      <x:c r="O150" t="n">
        <x:v>0</x:v>
      </x:c>
      <x:c r="P150" t="str">
        <x:f>IF(L150&gt;=75,"High",IF(L150&gt;=55,"Medium","Low"))</x:f>
        <x:v>Low</x:v>
      </x:c>
    </x:row>
    <x:row r="151">
      <x:c r="A151" t="n">
        <x:v>150</x:v>
      </x:c>
      <x:c r="B151" t="n">
        <x:v>10003</x:v>
      </x:c>
      <x:c r="C151" s="16" t="n">
        <x:v>46198</x:v>
      </x:c>
      <x:c r="D151" t="str">
        <x:v>15:30:00</x:v>
      </x:c>
      <x:c r="E151" t="str">
        <x:v>Card</x:v>
      </x:c>
      <x:c r="F151" t="str">
        <x:v>Travel</x:v>
      </x:c>
      <x:c r="G151" s="18" t="n">
        <x:v>336.68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10</x:v>
      </x:c>
      <x:c r="M151" t="n">
        <x:v>0</x:v>
      </x:c>
      <x:c r="N151" t="str">
        <x:v>Approved</x:v>
      </x:c>
      <x:c r="O151" t="n">
        <x:v>0</x:v>
      </x:c>
      <x:c r="P151" t="str">
        <x:f>IF(L151&gt;=75,"High",IF(L151&gt;=55,"Medium","Low"))</x:f>
        <x:v>Low</x:v>
      </x:c>
    </x:row>
    <x:row r="152">
      <x:c r="A152" t="n">
        <x:v>151</x:v>
      </x:c>
      <x:c r="B152" t="n">
        <x:v>10011</x:v>
      </x:c>
      <x:c r="C152" s="16" t="n">
        <x:v>46219</x:v>
      </x:c>
      <x:c r="D152" t="str">
        <x:v>10:03:00</x:v>
      </x:c>
      <x:c r="E152" t="str">
        <x:v>Card</x:v>
      </x:c>
      <x:c r="F152" t="str">
        <x:v>Transfer</x:v>
      </x:c>
      <x:c r="G152" s="18" t="n">
        <x:v>43.52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10</x:v>
      </x:c>
      <x:c r="M152" t="n">
        <x:v>0</x:v>
      </x:c>
      <x:c r="N152" t="str">
        <x:v>Approved</x:v>
      </x:c>
      <x:c r="O152" t="n">
        <x:v>0</x:v>
      </x:c>
      <x:c r="P152" t="str">
        <x:f>IF(L152&gt;=75,"High",IF(L152&gt;=55,"Medium","Low"))</x:f>
        <x:v>Low</x:v>
      </x:c>
    </x:row>
    <x:row r="153">
      <x:c r="A153" t="n">
        <x:v>152</x:v>
      </x:c>
      <x:c r="B153" t="n">
        <x:v>10352</x:v>
      </x:c>
      <x:c r="C153" s="16" t="n">
        <x:v>46120</x:v>
      </x:c>
      <x:c r="D153" t="str">
        <x:v>10:31:00</x:v>
      </x:c>
      <x:c r="E153" t="str">
        <x:v>Card</x:v>
      </x:c>
      <x:c r="F153" t="str">
        <x:v>Retail</x:v>
      </x:c>
      <x:c r="G153" s="18" t="n">
        <x:v>108.86</x:v>
      </x:c>
      <x:c r="H153" t="n">
        <x:v>0</x:v>
      </x:c>
      <x:c r="I153" t="n">
        <x:v>1</x:v>
      </x:c>
      <x:c r="J153" t="n">
        <x:v>0</x:v>
      </x:c>
      <x:c r="K153" t="n">
        <x:v>0</x:v>
      </x:c>
      <x:c r="L153" t="n">
        <x:v>30</x:v>
      </x:c>
      <x:c r="M153" t="n">
        <x:v>0</x:v>
      </x:c>
      <x:c r="N153" t="str">
        <x:v>Approved</x:v>
      </x:c>
      <x:c r="O153" t="n">
        <x:v>0</x:v>
      </x:c>
      <x:c r="P153" t="str">
        <x:f>IF(L153&gt;=75,"High",IF(L153&gt;=55,"Medium","Low"))</x:f>
        <x:v>Low</x:v>
      </x:c>
    </x:row>
    <x:row r="154">
      <x:c r="A154" t="n">
        <x:v>153</x:v>
      </x:c>
      <x:c r="B154" t="n">
        <x:v>10113</x:v>
      </x:c>
      <x:c r="C154" s="16" t="n">
        <x:v>46224</x:v>
      </x:c>
      <x:c r="D154" t="str">
        <x:v>21:15:00</x:v>
      </x:c>
      <x:c r="E154" t="str">
        <x:v>P2P</x:v>
      </x:c>
      <x:c r="F154" t="str">
        <x:v>Dining</x:v>
      </x:c>
      <x:c r="G154" s="18" t="n">
        <x:v>104.66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10</x:v>
      </x:c>
      <x:c r="M154" t="n">
        <x:v>0</x:v>
      </x:c>
      <x:c r="N154" t="str">
        <x:v>Approved</x:v>
      </x:c>
      <x:c r="O154" t="n">
        <x:v>0</x:v>
      </x:c>
      <x:c r="P154" t="str">
        <x:f>IF(L154&gt;=75,"High",IF(L154&gt;=55,"Medium","Low"))</x:f>
        <x:v>Low</x:v>
      </x:c>
    </x:row>
    <x:row r="155">
      <x:c r="A155" t="n">
        <x:v>154</x:v>
      </x:c>
      <x:c r="B155" t="n">
        <x:v>10118</x:v>
      </x:c>
      <x:c r="C155" s="16" t="n">
        <x:v>46291</x:v>
      </x:c>
      <x:c r="D155" t="str">
        <x:v>20:01:00</x:v>
      </x:c>
      <x:c r="E155" t="str">
        <x:v>Card</x:v>
      </x:c>
      <x:c r="F155" t="str">
        <x:v>Subscriptions</x:v>
      </x:c>
      <x:c r="G155" s="18" t="n">
        <x:v>146.7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10</x:v>
      </x:c>
      <x:c r="M155" t="n">
        <x:v>0</x:v>
      </x:c>
      <x:c r="N155" t="str">
        <x:v>Approved</x:v>
      </x:c>
      <x:c r="O155" t="n">
        <x:v>0</x:v>
      </x:c>
      <x:c r="P155" t="str">
        <x:f>IF(L155&gt;=75,"High",IF(L155&gt;=55,"Medium","Low"))</x:f>
        <x:v>Low</x:v>
      </x:c>
    </x:row>
    <x:row r="156">
      <x:c r="A156" t="n">
        <x:v>155</x:v>
      </x:c>
      <x:c r="B156" t="n">
        <x:v>10177</x:v>
      </x:c>
      <x:c r="C156" s="16" t="n">
        <x:v>46229</x:v>
      </x:c>
      <x:c r="D156" t="str">
        <x:v>06:44:00</x:v>
      </x:c>
      <x:c r="E156" t="str">
        <x:v>Card</x:v>
      </x:c>
      <x:c r="F156" t="str">
        <x:v>Transfer</x:v>
      </x:c>
      <x:c r="G156" s="18" t="n">
        <x:v>47.75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10</x:v>
      </x:c>
      <x:c r="M156" t="n">
        <x:v>0</x:v>
      </x:c>
      <x:c r="N156" t="str">
        <x:v>Approved</x:v>
      </x:c>
      <x:c r="O156" t="n">
        <x:v>0</x:v>
      </x:c>
      <x:c r="P156" t="str">
        <x:f>IF(L156&gt;=75,"High",IF(L156&gt;=55,"Medium","Low"))</x:f>
        <x:v>Low</x:v>
      </x:c>
    </x:row>
    <x:row r="157">
      <x:c r="A157" t="n">
        <x:v>156</x:v>
      </x:c>
      <x:c r="B157" t="n">
        <x:v>10108</x:v>
      </x:c>
      <x:c r="C157" s="16" t="n">
        <x:v>46262</x:v>
      </x:c>
      <x:c r="D157" t="str">
        <x:v>13:54:00</x:v>
      </x:c>
      <x:c r="E157" t="str">
        <x:v>P2P</x:v>
      </x:c>
      <x:c r="F157" t="str">
        <x:v>Subscriptions</x:v>
      </x:c>
      <x:c r="G157" s="18" t="n">
        <x:v>169.57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10</x:v>
      </x:c>
      <x:c r="M157" t="n">
        <x:v>0</x:v>
      </x:c>
      <x:c r="N157" t="str">
        <x:v>Approved</x:v>
      </x:c>
      <x:c r="O157" t="n">
        <x:v>0</x:v>
      </x:c>
      <x:c r="P157" t="str">
        <x:f>IF(L157&gt;=75,"High",IF(L157&gt;=55,"Medium","Low"))</x:f>
        <x:v>Low</x:v>
      </x:c>
    </x:row>
    <x:row r="158">
      <x:c r="A158" t="n">
        <x:v>157</x:v>
      </x:c>
      <x:c r="B158" t="n">
        <x:v>10183</x:v>
      </x:c>
      <x:c r="C158" s="16" t="n">
        <x:v>46232</x:v>
      </x:c>
      <x:c r="D158" t="str">
        <x:v>23:00:00</x:v>
      </x:c>
      <x:c r="E158" t="str">
        <x:v>P2P</x:v>
      </x:c>
      <x:c r="F158" t="str">
        <x:v>Retail</x:v>
      </x:c>
      <x:c r="G158" s="18" t="n">
        <x:v>16.21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10</x:v>
      </x:c>
      <x:c r="M158" t="n">
        <x:v>0</x:v>
      </x:c>
      <x:c r="N158" t="str">
        <x:v>Approved</x:v>
      </x:c>
      <x:c r="O158" t="n">
        <x:v>0</x:v>
      </x:c>
      <x:c r="P158" t="str">
        <x:f>IF(L158&gt;=75,"High",IF(L158&gt;=55,"Medium","Low"))</x:f>
        <x:v>Low</x:v>
      </x:c>
    </x:row>
    <x:row r="159">
      <x:c r="A159" t="n">
        <x:v>158</x:v>
      </x:c>
      <x:c r="B159" t="n">
        <x:v>10042</x:v>
      </x:c>
      <x:c r="C159" s="16" t="n">
        <x:v>46225</x:v>
      </x:c>
      <x:c r="D159" t="str">
        <x:v>11:07:00</x:v>
      </x:c>
      <x:c r="E159" t="str">
        <x:v>Card</x:v>
      </x:c>
      <x:c r="F159" t="str">
        <x:v>Transfer</x:v>
      </x:c>
      <x:c r="G159" s="18" t="n">
        <x:v>144.7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10</x:v>
      </x:c>
      <x:c r="M159" t="n">
        <x:v>0</x:v>
      </x:c>
      <x:c r="N159" t="str">
        <x:v>Approved</x:v>
      </x:c>
      <x:c r="O159" t="n">
        <x:v>0</x:v>
      </x:c>
      <x:c r="P159" t="str">
        <x:f>IF(L159&gt;=75,"High",IF(L159&gt;=55,"Medium","Low"))</x:f>
        <x:v>Low</x:v>
      </x:c>
    </x:row>
    <x:row r="160">
      <x:c r="A160" t="n">
        <x:v>159</x:v>
      </x:c>
      <x:c r="B160" t="n">
        <x:v>10337</x:v>
      </x:c>
      <x:c r="C160" s="16" t="n">
        <x:v>46180</x:v>
      </x:c>
      <x:c r="D160" t="str">
        <x:v>06:26:00</x:v>
      </x:c>
      <x:c r="E160" t="str">
        <x:v>Card</x:v>
      </x:c>
      <x:c r="F160" t="str">
        <x:v>Transfer</x:v>
      </x:c>
      <x:c r="G160" s="18" t="n">
        <x:v>34.32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10</x:v>
      </x:c>
      <x:c r="M160" t="n">
        <x:v>0</x:v>
      </x:c>
      <x:c r="N160" t="str">
        <x:v>Approved</x:v>
      </x:c>
      <x:c r="O160" t="n">
        <x:v>0</x:v>
      </x:c>
      <x:c r="P160" t="str">
        <x:f>IF(L160&gt;=75,"High",IF(L160&gt;=55,"Medium","Low"))</x:f>
        <x:v>Low</x:v>
      </x:c>
    </x:row>
    <x:row r="161">
      <x:c r="A161" t="n">
        <x:v>160</x:v>
      </x:c>
      <x:c r="B161" t="n">
        <x:v>10207</x:v>
      </x:c>
      <x:c r="C161" s="16" t="n">
        <x:v>46155</x:v>
      </x:c>
      <x:c r="D161" t="str">
        <x:v>10:20:00</x:v>
      </x:c>
      <x:c r="E161" t="str">
        <x:v>Card</x:v>
      </x:c>
      <x:c r="F161" t="str">
        <x:v>Transfer</x:v>
      </x:c>
      <x:c r="G161" s="18" t="n">
        <x:v>112.5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10</x:v>
      </x:c>
      <x:c r="M161" t="n">
        <x:v>0</x:v>
      </x:c>
      <x:c r="N161" t="str">
        <x:v>Approved</x:v>
      </x:c>
      <x:c r="O161" t="n">
        <x:v>0</x:v>
      </x:c>
      <x:c r="P161" t="str">
        <x:f>IF(L161&gt;=75,"High",IF(L161&gt;=55,"Medium","Low"))</x:f>
        <x:v>Low</x:v>
      </x:c>
    </x:row>
    <x:row r="162">
      <x:c r="A162" t="n">
        <x:v>161</x:v>
      </x:c>
      <x:c r="B162" t="n">
        <x:v>10298</x:v>
      </x:c>
      <x:c r="C162" s="16" t="n">
        <x:v>46150</x:v>
      </x:c>
      <x:c r="D162" t="str">
        <x:v>08:51:00</x:v>
      </x:c>
      <x:c r="E162" t="str">
        <x:v>Card</x:v>
      </x:c>
      <x:c r="F162" t="str">
        <x:v>Transfer</x:v>
      </x:c>
      <x:c r="G162" s="18" t="n">
        <x:v>129.24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10</x:v>
      </x:c>
      <x:c r="M162" t="n">
        <x:v>0</x:v>
      </x:c>
      <x:c r="N162" t="str">
        <x:v>Approved</x:v>
      </x:c>
      <x:c r="O162" t="n">
        <x:v>0</x:v>
      </x:c>
      <x:c r="P162" t="str">
        <x:f>IF(L162&gt;=75,"High",IF(L162&gt;=55,"Medium","Low"))</x:f>
        <x:v>Low</x:v>
      </x:c>
    </x:row>
    <x:row r="163">
      <x:c r="A163" t="n">
        <x:v>162</x:v>
      </x:c>
      <x:c r="B163" t="n">
        <x:v>10089</x:v>
      </x:c>
      <x:c r="C163" s="16" t="n">
        <x:v>46224</x:v>
      </x:c>
      <x:c r="D163" t="str">
        <x:v>01:35:00</x:v>
      </x:c>
      <x:c r="E163" t="str">
        <x:v>Card</x:v>
      </x:c>
      <x:c r="F163" t="str">
        <x:v>Travel</x:v>
      </x:c>
      <x:c r="G163" s="18" t="n">
        <x:v>15.5</x:v>
      </x:c>
      <x:c r="H163" t="n">
        <x:v>1</x:v>
      </x:c>
      <x:c r="I163" t="n">
        <x:v>0</x:v>
      </x:c>
      <x:c r="J163" t="n">
        <x:v>0</x:v>
      </x:c>
      <x:c r="K163" t="n">
        <x:v>1</x:v>
      </x:c>
      <x:c r="L163" t="n">
        <x:v>51</x:v>
      </x:c>
      <x:c r="M163" t="n">
        <x:v>0</x:v>
      </x:c>
      <x:c r="N163" t="str">
        <x:v>Approved</x:v>
      </x:c>
      <x:c r="O163" t="n">
        <x:v>0</x:v>
      </x:c>
      <x:c r="P163" t="str">
        <x:f>IF(L163&gt;=75,"High",IF(L163&gt;=55,"Medium","Low"))</x:f>
        <x:v>Low</x:v>
      </x:c>
    </x:row>
    <x:row r="164">
      <x:c r="A164" t="n">
        <x:v>163</x:v>
      </x:c>
      <x:c r="B164" t="n">
        <x:v>10267</x:v>
      </x:c>
      <x:c r="C164" s="16" t="n">
        <x:v>46245</x:v>
      </x:c>
      <x:c r="D164" t="str">
        <x:v>06:40:00</x:v>
      </x:c>
      <x:c r="E164" t="str">
        <x:v>Card</x:v>
      </x:c>
      <x:c r="F164" t="str">
        <x:v>Electronics</x:v>
      </x:c>
      <x:c r="G164" s="18" t="n">
        <x:v>105.59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10</x:v>
      </x:c>
      <x:c r="M164" t="n">
        <x:v>0</x:v>
      </x:c>
      <x:c r="N164" t="str">
        <x:v>Approved</x:v>
      </x:c>
      <x:c r="O164" t="n">
        <x:v>0</x:v>
      </x:c>
      <x:c r="P164" t="str">
        <x:f>IF(L164&gt;=75,"High",IF(L164&gt;=55,"Medium","Low"))</x:f>
        <x:v>Low</x:v>
      </x:c>
    </x:row>
    <x:row r="165">
      <x:c r="A165" t="n">
        <x:v>164</x:v>
      </x:c>
      <x:c r="B165" t="n">
        <x:v>10228</x:v>
      </x:c>
      <x:c r="C165" s="16" t="n">
        <x:v>46210</x:v>
      </x:c>
      <x:c r="D165" t="str">
        <x:v>01:07:00</x:v>
      </x:c>
      <x:c r="E165" t="str">
        <x:v>Card</x:v>
      </x:c>
      <x:c r="F165" t="str">
        <x:v>Retail</x:v>
      </x:c>
      <x:c r="G165" s="18" t="n">
        <x:v>191.62</x:v>
      </x:c>
      <x:c r="H165" t="n">
        <x:v>0</x:v>
      </x:c>
      <x:c r="I165" t="n">
        <x:v>0</x:v>
      </x:c>
      <x:c r="J165" t="n">
        <x:v>0</x:v>
      </x:c>
      <x:c r="K165" t="n">
        <x:v>1</x:v>
      </x:c>
      <x:c r="L165" t="n">
        <x:v>25</x:v>
      </x:c>
      <x:c r="M165" t="n">
        <x:v>0</x:v>
      </x:c>
      <x:c r="N165" t="str">
        <x:v>Approved</x:v>
      </x:c>
      <x:c r="O165" t="n">
        <x:v>0</x:v>
      </x:c>
      <x:c r="P165" t="str">
        <x:f>IF(L165&gt;=75,"High",IF(L165&gt;=55,"Medium","Low"))</x:f>
        <x:v>Low</x:v>
      </x:c>
    </x:row>
    <x:row r="166">
      <x:c r="A166" t="n">
        <x:v>165</x:v>
      </x:c>
      <x:c r="B166" t="n">
        <x:v>10284</x:v>
      </x:c>
      <x:c r="C166" s="16" t="n">
        <x:v>46216</x:v>
      </x:c>
      <x:c r="D166" t="str">
        <x:v>15:35:00</x:v>
      </x:c>
      <x:c r="E166" t="str">
        <x:v>Card</x:v>
      </x:c>
      <x:c r="F166" t="str">
        <x:v>Dining</x:v>
      </x:c>
      <x:c r="G166" s="18" t="n">
        <x:v>48.03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10</x:v>
      </x:c>
      <x:c r="M166" t="n">
        <x:v>0</x:v>
      </x:c>
      <x:c r="N166" t="str">
        <x:v>Approved</x:v>
      </x:c>
      <x:c r="O166" t="n">
        <x:v>0</x:v>
      </x:c>
      <x:c r="P166" t="str">
        <x:f>IF(L166&gt;=75,"High",IF(L166&gt;=55,"Medium","Low"))</x:f>
        <x:v>Low</x:v>
      </x:c>
    </x:row>
    <x:row r="167">
      <x:c r="A167" t="n">
        <x:v>166</x:v>
      </x:c>
      <x:c r="B167" t="n">
        <x:v>10023</x:v>
      </x:c>
      <x:c r="C167" s="16" t="n">
        <x:v>46260</x:v>
      </x:c>
      <x:c r="D167" t="str">
        <x:v>16:02:00</x:v>
      </x:c>
      <x:c r="E167" t="str">
        <x:v>P2P</x:v>
      </x:c>
      <x:c r="F167" t="str">
        <x:v>Retail</x:v>
      </x:c>
      <x:c r="G167" s="18" t="n">
        <x:v>96.95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10</x:v>
      </x:c>
      <x:c r="M167" t="n">
        <x:v>0</x:v>
      </x:c>
      <x:c r="N167" t="str">
        <x:v>Approved</x:v>
      </x:c>
      <x:c r="O167" t="n">
        <x:v>0</x:v>
      </x:c>
      <x:c r="P167" t="str">
        <x:f>IF(L167&gt;=75,"High",IF(L167&gt;=55,"Medium","Low"))</x:f>
        <x:v>Low</x:v>
      </x:c>
    </x:row>
    <x:row r="168">
      <x:c r="A168" t="n">
        <x:v>167</x:v>
      </x:c>
      <x:c r="B168" t="n">
        <x:v>10311</x:v>
      </x:c>
      <x:c r="C168" s="16" t="n">
        <x:v>46247</x:v>
      </x:c>
      <x:c r="D168" t="str">
        <x:v>12:08:00</x:v>
      </x:c>
      <x:c r="E168" t="str">
        <x:v>Card</x:v>
      </x:c>
      <x:c r="F168" t="str">
        <x:v>Subscriptions</x:v>
      </x:c>
      <x:c r="G168" s="18" t="n">
        <x:v>54.02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10</x:v>
      </x:c>
      <x:c r="M168" t="n">
        <x:v>0</x:v>
      </x:c>
      <x:c r="N168" t="str">
        <x:v>Approved</x:v>
      </x:c>
      <x:c r="O168" t="n">
        <x:v>0</x:v>
      </x:c>
      <x:c r="P168" t="str">
        <x:f>IF(L168&gt;=75,"High",IF(L168&gt;=55,"Medium","Low"))</x:f>
        <x:v>Low</x:v>
      </x:c>
    </x:row>
    <x:row r="169">
      <x:c r="A169" t="n">
        <x:v>168</x:v>
      </x:c>
      <x:c r="B169" t="n">
        <x:v>10311</x:v>
      </x:c>
      <x:c r="C169" s="16" t="n">
        <x:v>46266</x:v>
      </x:c>
      <x:c r="D169" t="str">
        <x:v>16:08:00</x:v>
      </x:c>
      <x:c r="E169" t="str">
        <x:v>Bank Transfer</x:v>
      </x:c>
      <x:c r="F169" t="str">
        <x:v>Travel</x:v>
      </x:c>
      <x:c r="G169" s="18" t="n">
        <x:v>34.03</x:v>
      </x:c>
      <x:c r="H169" t="n">
        <x:v>1</x:v>
      </x:c>
      <x:c r="I169" t="n">
        <x:v>1</x:v>
      </x:c>
      <x:c r="J169" t="n">
        <x:v>0</x:v>
      </x:c>
      <x:c r="K169" t="n">
        <x:v>0</x:v>
      </x:c>
      <x:c r="L169" t="n">
        <x:v>56</x:v>
      </x:c>
      <x:c r="M169" t="n">
        <x:v>1</x:v>
      </x:c>
      <x:c r="N169" t="str">
        <x:v>Approved</x:v>
      </x:c>
      <x:c r="O169" t="n">
        <x:v>0</x:v>
      </x:c>
      <x:c r="P169" t="str">
        <x:f>IF(L169&gt;=75,"High",IF(L169&gt;=55,"Medium","Low"))</x:f>
        <x:v>Medium</x:v>
      </x:c>
    </x:row>
    <x:row r="170">
      <x:c r="A170" t="n">
        <x:v>169</x:v>
      </x:c>
      <x:c r="B170" t="n">
        <x:v>10067</x:v>
      </x:c>
      <x:c r="C170" s="16" t="n">
        <x:v>46253</x:v>
      </x:c>
      <x:c r="D170" t="str">
        <x:v>04:11:00</x:v>
      </x:c>
      <x:c r="E170" t="str">
        <x:v>Bank Transfer</x:v>
      </x:c>
      <x:c r="F170" t="str">
        <x:v>Transfer</x:v>
      </x:c>
      <x:c r="G170" s="18" t="n">
        <x:v>116.92</x:v>
      </x:c>
      <x:c r="H170" t="n">
        <x:v>0</x:v>
      </x:c>
      <x:c r="I170" t="n">
        <x:v>1</x:v>
      </x:c>
      <x:c r="J170" t="n">
        <x:v>0</x:v>
      </x:c>
      <x:c r="K170" t="n">
        <x:v>1</x:v>
      </x:c>
      <x:c r="L170" t="n">
        <x:v>45</x:v>
      </x:c>
      <x:c r="M170" t="n">
        <x:v>0</x:v>
      </x:c>
      <x:c r="N170" t="str">
        <x:v>Approved</x:v>
      </x:c>
      <x:c r="O170" t="n">
        <x:v>0</x:v>
      </x:c>
      <x:c r="P170" t="str">
        <x:f>IF(L170&gt;=75,"High",IF(L170&gt;=55,"Medium","Low"))</x:f>
        <x:v>Low</x:v>
      </x:c>
    </x:row>
    <x:row r="171">
      <x:c r="A171" t="n">
        <x:v>170</x:v>
      </x:c>
      <x:c r="B171" t="n">
        <x:v>10214</x:v>
      </x:c>
      <x:c r="C171" s="16" t="n">
        <x:v>46169</x:v>
      </x:c>
      <x:c r="D171" t="str">
        <x:v>15:04:00</x:v>
      </x:c>
      <x:c r="E171" t="str">
        <x:v>Bank Transfer</x:v>
      </x:c>
      <x:c r="F171" t="str">
        <x:v>Utilities</x:v>
      </x:c>
      <x:c r="G171" s="18" t="n">
        <x:v>403.63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10</x:v>
      </x:c>
      <x:c r="M171" t="n">
        <x:v>0</x:v>
      </x:c>
      <x:c r="N171" t="str">
        <x:v>Approved</x:v>
      </x:c>
      <x:c r="O171" t="n">
        <x:v>0</x:v>
      </x:c>
      <x:c r="P171" t="str">
        <x:f>IF(L171&gt;=75,"High",IF(L171&gt;=55,"Medium","Low"))</x:f>
        <x:v>Low</x:v>
      </x:c>
    </x:row>
    <x:row r="172">
      <x:c r="A172" t="n">
        <x:v>171</x:v>
      </x:c>
      <x:c r="B172" t="n">
        <x:v>10090</x:v>
      </x:c>
      <x:c r="C172" s="16" t="n">
        <x:v>46181</x:v>
      </x:c>
      <x:c r="D172" t="str">
        <x:v>03:30:00</x:v>
      </x:c>
      <x:c r="E172" t="str">
        <x:v>Card</x:v>
      </x:c>
      <x:c r="F172" t="str">
        <x:v>Utilities</x:v>
      </x:c>
      <x:c r="G172" s="18" t="n">
        <x:v>67.8</x:v>
      </x:c>
      <x:c r="H172" t="n">
        <x:v>0</x:v>
      </x:c>
      <x:c r="I172" t="n">
        <x:v>0</x:v>
      </x:c>
      <x:c r="J172" t="n">
        <x:v>0</x:v>
      </x:c>
      <x:c r="K172" t="n">
        <x:v>1</x:v>
      </x:c>
      <x:c r="L172" t="n">
        <x:v>25</x:v>
      </x:c>
      <x:c r="M172" t="n">
        <x:v>0</x:v>
      </x:c>
      <x:c r="N172" t="str">
        <x:v>Approved</x:v>
      </x:c>
      <x:c r="O172" t="n">
        <x:v>0</x:v>
      </x:c>
      <x:c r="P172" t="str">
        <x:f>IF(L172&gt;=75,"High",IF(L172&gt;=55,"Medium","Low"))</x:f>
        <x:v>Low</x:v>
      </x:c>
    </x:row>
    <x:row r="173">
      <x:c r="A173" t="n">
        <x:v>172</x:v>
      </x:c>
      <x:c r="B173" t="n">
        <x:v>10158</x:v>
      </x:c>
      <x:c r="C173" s="16" t="n">
        <x:v>46171</x:v>
      </x:c>
      <x:c r="D173" t="str">
        <x:v>21:14:00</x:v>
      </x:c>
      <x:c r="E173" t="str">
        <x:v>Card</x:v>
      </x:c>
      <x:c r="F173" t="str">
        <x:v>Dining</x:v>
      </x:c>
      <x:c r="G173" s="18" t="n">
        <x:v>62.96</x:v>
      </x:c>
      <x:c r="H173" t="n">
        <x:v>0</x:v>
      </x:c>
      <x:c r="I173" t="n">
        <x:v>1</x:v>
      </x:c>
      <x:c r="J173" t="n">
        <x:v>0</x:v>
      </x:c>
      <x:c r="K173" t="n">
        <x:v>0</x:v>
      </x:c>
      <x:c r="L173" t="n">
        <x:v>30</x:v>
      </x:c>
      <x:c r="M173" t="n">
        <x:v>0</x:v>
      </x:c>
      <x:c r="N173" t="str">
        <x:v>Approved</x:v>
      </x:c>
      <x:c r="O173" t="n">
        <x:v>0</x:v>
      </x:c>
      <x:c r="P173" t="str">
        <x:f>IF(L173&gt;=75,"High",IF(L173&gt;=55,"Medium","Low"))</x:f>
        <x:v>Low</x:v>
      </x:c>
    </x:row>
    <x:row r="174">
      <x:c r="A174" t="n">
        <x:v>173</x:v>
      </x:c>
      <x:c r="B174" t="n">
        <x:v>10287</x:v>
      </x:c>
      <x:c r="C174" s="16" t="n">
        <x:v>46145</x:v>
      </x:c>
      <x:c r="D174" t="str">
        <x:v>11:43:00</x:v>
      </x:c>
      <x:c r="E174" t="str">
        <x:v>Card</x:v>
      </x:c>
      <x:c r="F174" t="str">
        <x:v>Travel</x:v>
      </x:c>
      <x:c r="G174" s="18" t="n">
        <x:v>180.16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10</x:v>
      </x:c>
      <x:c r="M174" t="n">
        <x:v>0</x:v>
      </x:c>
      <x:c r="N174" t="str">
        <x:v>Approved</x:v>
      </x:c>
      <x:c r="O174" t="n">
        <x:v>0</x:v>
      </x:c>
      <x:c r="P174" t="str">
        <x:f>IF(L174&gt;=75,"High",IF(L174&gt;=55,"Medium","Low"))</x:f>
        <x:v>Low</x:v>
      </x:c>
    </x:row>
    <x:row r="175">
      <x:c r="A175" t="n">
        <x:v>174</x:v>
      </x:c>
      <x:c r="B175" t="n">
        <x:v>10149</x:v>
      </x:c>
      <x:c r="C175" s="16" t="n">
        <x:v>46205</x:v>
      </x:c>
      <x:c r="D175" t="str">
        <x:v>01:54:00</x:v>
      </x:c>
      <x:c r="E175" t="str">
        <x:v>Card</x:v>
      </x:c>
      <x:c r="F175" t="str">
        <x:v>Electronics</x:v>
      </x:c>
      <x:c r="G175" s="18" t="n">
        <x:v>288.92</x:v>
      </x:c>
      <x:c r="H175" t="n">
        <x:v>0</x:v>
      </x:c>
      <x:c r="I175" t="n">
        <x:v>1</x:v>
      </x:c>
      <x:c r="J175" t="n">
        <x:v>0</x:v>
      </x:c>
      <x:c r="K175" t="n">
        <x:v>1</x:v>
      </x:c>
      <x:c r="L175" t="n">
        <x:v>45</x:v>
      </x:c>
      <x:c r="M175" t="n">
        <x:v>0</x:v>
      </x:c>
      <x:c r="N175" t="str">
        <x:v>Approved</x:v>
      </x:c>
      <x:c r="O175" t="n">
        <x:v>0</x:v>
      </x:c>
      <x:c r="P175" t="str">
        <x:f>IF(L175&gt;=75,"High",IF(L175&gt;=55,"Medium","Low"))</x:f>
        <x:v>Low</x:v>
      </x:c>
    </x:row>
    <x:row r="176">
      <x:c r="A176" t="n">
        <x:v>175</x:v>
      </x:c>
      <x:c r="B176" t="n">
        <x:v>10049</x:v>
      </x:c>
      <x:c r="C176" s="16" t="n">
        <x:v>46189</x:v>
      </x:c>
      <x:c r="D176" t="str">
        <x:v>14:38:00</x:v>
      </x:c>
      <x:c r="E176" t="str">
        <x:v>Card</x:v>
      </x:c>
      <x:c r="F176" t="str">
        <x:v>Transfer</x:v>
      </x:c>
      <x:c r="G176" s="18" t="n">
        <x:v>47.19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10</x:v>
      </x:c>
      <x:c r="M176" t="n">
        <x:v>0</x:v>
      </x:c>
      <x:c r="N176" t="str">
        <x:v>Approved</x:v>
      </x:c>
      <x:c r="O176" t="n">
        <x:v>0</x:v>
      </x:c>
      <x:c r="P176" t="str">
        <x:f>IF(L176&gt;=75,"High",IF(L176&gt;=55,"Medium","Low"))</x:f>
        <x:v>Low</x:v>
      </x:c>
    </x:row>
    <x:row r="177">
      <x:c r="A177" t="n">
        <x:v>176</x:v>
      </x:c>
      <x:c r="B177" t="n">
        <x:v>10338</x:v>
      </x:c>
      <x:c r="C177" s="16" t="n">
        <x:v>46233</x:v>
      </x:c>
      <x:c r="D177" t="str">
        <x:v>02:33:00</x:v>
      </x:c>
      <x:c r="E177" t="str">
        <x:v>Card</x:v>
      </x:c>
      <x:c r="F177" t="str">
        <x:v>Subscriptions</x:v>
      </x:c>
      <x:c r="G177" s="18" t="n">
        <x:v>129.35</x:v>
      </x:c>
      <x:c r="H177" t="n">
        <x:v>0</x:v>
      </x:c>
      <x:c r="I177" t="n">
        <x:v>0</x:v>
      </x:c>
      <x:c r="J177" t="n">
        <x:v>0</x:v>
      </x:c>
      <x:c r="K177" t="n">
        <x:v>1</x:v>
      </x:c>
      <x:c r="L177" t="n">
        <x:v>25</x:v>
      </x:c>
      <x:c r="M177" t="n">
        <x:v>0</x:v>
      </x:c>
      <x:c r="N177" t="str">
        <x:v>Approved</x:v>
      </x:c>
      <x:c r="O177" t="n">
        <x:v>0</x:v>
      </x:c>
      <x:c r="P177" t="str">
        <x:f>IF(L177&gt;=75,"High",IF(L177&gt;=55,"Medium","Low"))</x:f>
        <x:v>Low</x:v>
      </x:c>
    </x:row>
    <x:row r="178">
      <x:c r="A178" t="n">
        <x:v>177</x:v>
      </x:c>
      <x:c r="B178" t="n">
        <x:v>10176</x:v>
      </x:c>
      <x:c r="C178" s="16" t="n">
        <x:v>46252</x:v>
      </x:c>
      <x:c r="D178" t="str">
        <x:v>04:44:00</x:v>
      </x:c>
      <x:c r="E178" t="str">
        <x:v>Card</x:v>
      </x:c>
      <x:c r="F178" t="str">
        <x:v>Subscriptions</x:v>
      </x:c>
      <x:c r="G178" s="18" t="n">
        <x:v>235.61</x:v>
      </x:c>
      <x:c r="H178" t="n">
        <x:v>0</x:v>
      </x:c>
      <x:c r="I178" t="n">
        <x:v>0</x:v>
      </x:c>
      <x:c r="J178" t="n">
        <x:v>0</x:v>
      </x:c>
      <x:c r="K178" t="n">
        <x:v>1</x:v>
      </x:c>
      <x:c r="L178" t="n">
        <x:v>25</x:v>
      </x:c>
      <x:c r="M178" t="n">
        <x:v>0</x:v>
      </x:c>
      <x:c r="N178" t="str">
        <x:v>Approved</x:v>
      </x:c>
      <x:c r="O178" t="n">
        <x:v>0</x:v>
      </x:c>
      <x:c r="P178" t="str">
        <x:f>IF(L178&gt;=75,"High",IF(L178&gt;=55,"Medium","Low"))</x:f>
        <x:v>Low</x:v>
      </x:c>
    </x:row>
    <x:row r="179">
      <x:c r="A179" t="n">
        <x:v>178</x:v>
      </x:c>
      <x:c r="B179" t="n">
        <x:v>10352</x:v>
      </x:c>
      <x:c r="C179" s="16" t="n">
        <x:v>46213</x:v>
      </x:c>
      <x:c r="D179" t="str">
        <x:v>01:41:00</x:v>
      </x:c>
      <x:c r="E179" t="str">
        <x:v>Card</x:v>
      </x:c>
      <x:c r="F179" t="str">
        <x:v>Utilities</x:v>
      </x:c>
      <x:c r="G179" s="18" t="n">
        <x:v>54.69</x:v>
      </x:c>
      <x:c r="H179" t="n">
        <x:v>0</x:v>
      </x:c>
      <x:c r="I179" t="n">
        <x:v>0</x:v>
      </x:c>
      <x:c r="J179" t="n">
        <x:v>0</x:v>
      </x:c>
      <x:c r="K179" t="n">
        <x:v>1</x:v>
      </x:c>
      <x:c r="L179" t="n">
        <x:v>25</x:v>
      </x:c>
      <x:c r="M179" t="n">
        <x:v>0</x:v>
      </x:c>
      <x:c r="N179" t="str">
        <x:v>Approved</x:v>
      </x:c>
      <x:c r="O179" t="n">
        <x:v>0</x:v>
      </x:c>
      <x:c r="P179" t="str">
        <x:f>IF(L179&gt;=75,"High",IF(L179&gt;=55,"Medium","Low"))</x:f>
        <x:v>Low</x:v>
      </x:c>
    </x:row>
    <x:row r="180">
      <x:c r="A180" t="n">
        <x:v>179</x:v>
      </x:c>
      <x:c r="B180" t="n">
        <x:v>10090</x:v>
      </x:c>
      <x:c r="C180" s="16" t="n">
        <x:v>46245</x:v>
      </x:c>
      <x:c r="D180" t="str">
        <x:v>17:12:00</x:v>
      </x:c>
      <x:c r="E180" t="str">
        <x:v>Bank Transfer</x:v>
      </x:c>
      <x:c r="F180" t="str">
        <x:v>Dining</x:v>
      </x:c>
      <x:c r="G180" s="18" t="n">
        <x:v>16.66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10</x:v>
      </x:c>
      <x:c r="M180" t="n">
        <x:v>0</x:v>
      </x:c>
      <x:c r="N180" t="str">
        <x:v>Approved</x:v>
      </x:c>
      <x:c r="O180" t="n">
        <x:v>0</x:v>
      </x:c>
      <x:c r="P180" t="str">
        <x:f>IF(L180&gt;=75,"High",IF(L180&gt;=55,"Medium","Low"))</x:f>
        <x:v>Low</x:v>
      </x:c>
    </x:row>
    <x:row r="181">
      <x:c r="A181" t="n">
        <x:v>180</x:v>
      </x:c>
      <x:c r="B181" t="n">
        <x:v>10258</x:v>
      </x:c>
      <x:c r="C181" s="16" t="n">
        <x:v>46283</x:v>
      </x:c>
      <x:c r="D181" t="str">
        <x:v>06:21:00</x:v>
      </x:c>
      <x:c r="E181" t="str">
        <x:v>Bank Transfer</x:v>
      </x:c>
      <x:c r="F181" t="str">
        <x:v>Travel</x:v>
      </x:c>
      <x:c r="G181" s="18" t="n">
        <x:v>47.47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10</x:v>
      </x:c>
      <x:c r="M181" t="n">
        <x:v>0</x:v>
      </x:c>
      <x:c r="N181" t="str">
        <x:v>Approved</x:v>
      </x:c>
      <x:c r="O181" t="n">
        <x:v>0</x:v>
      </x:c>
      <x:c r="P181" t="str">
        <x:f>IF(L181&gt;=75,"High",IF(L181&gt;=55,"Medium","Low"))</x:f>
        <x:v>Low</x:v>
      </x:c>
    </x:row>
    <x:row r="182">
      <x:c r="A182" t="n">
        <x:v>181</x:v>
      </x:c>
      <x:c r="B182" t="n">
        <x:v>10144</x:v>
      </x:c>
      <x:c r="C182" s="16" t="n">
        <x:v>46288</x:v>
      </x:c>
      <x:c r="D182" t="str">
        <x:v>19:18:00</x:v>
      </x:c>
      <x:c r="E182" t="str">
        <x:v>Card</x:v>
      </x:c>
      <x:c r="F182" t="str">
        <x:v>Subscriptions</x:v>
      </x:c>
      <x:c r="G182" s="18" t="n">
        <x:v>158.27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10</x:v>
      </x:c>
      <x:c r="M182" t="n">
        <x:v>0</x:v>
      </x:c>
      <x:c r="N182" t="str">
        <x:v>Approved</x:v>
      </x:c>
      <x:c r="O182" t="n">
        <x:v>0</x:v>
      </x:c>
      <x:c r="P182" t="str">
        <x:f>IF(L182&gt;=75,"High",IF(L182&gt;=55,"Medium","Low"))</x:f>
        <x:v>Low</x:v>
      </x:c>
    </x:row>
    <x:row r="183">
      <x:c r="A183" t="n">
        <x:v>182</x:v>
      </x:c>
      <x:c r="B183" t="n">
        <x:v>10089</x:v>
      </x:c>
      <x:c r="C183" s="16" t="n">
        <x:v>46164</x:v>
      </x:c>
      <x:c r="D183" t="str">
        <x:v>10:21:00</x:v>
      </x:c>
      <x:c r="E183" t="str">
        <x:v>P2P</x:v>
      </x:c>
      <x:c r="F183" t="str">
        <x:v>Utilities</x:v>
      </x:c>
      <x:c r="G183" s="18" t="n">
        <x:v>54.55</x:v>
      </x:c>
      <x:c r="H183" t="n">
        <x:v>0</x:v>
      </x:c>
      <x:c r="I183" t="n">
        <x:v>1</x:v>
      </x:c>
      <x:c r="J183" t="n">
        <x:v>0</x:v>
      </x:c>
      <x:c r="K183" t="n">
        <x:v>0</x:v>
      </x:c>
      <x:c r="L183" t="n">
        <x:v>30</x:v>
      </x:c>
      <x:c r="M183" t="n">
        <x:v>0</x:v>
      </x:c>
      <x:c r="N183" t="str">
        <x:v>Approved</x:v>
      </x:c>
      <x:c r="O183" t="n">
        <x:v>0</x:v>
      </x:c>
      <x:c r="P183" t="str">
        <x:f>IF(L183&gt;=75,"High",IF(L183&gt;=55,"Medium","Low"))</x:f>
        <x:v>Low</x:v>
      </x:c>
    </x:row>
    <x:row r="184">
      <x:c r="A184" t="n">
        <x:v>183</x:v>
      </x:c>
      <x:c r="B184" t="n">
        <x:v>10045</x:v>
      </x:c>
      <x:c r="C184" s="16" t="n">
        <x:v>46295</x:v>
      </x:c>
      <x:c r="D184" t="str">
        <x:v>09:32:00</x:v>
      </x:c>
      <x:c r="E184" t="str">
        <x:v>P2P</x:v>
      </x:c>
      <x:c r="F184" t="str">
        <x:v>Electronics</x:v>
      </x:c>
      <x:c r="G184" s="18" t="n">
        <x:v>148.2</x:v>
      </x:c>
      <x:c r="H184" t="n">
        <x:v>0</x:v>
      </x:c>
      <x:c r="I184" t="n">
        <x:v>1</x:v>
      </x:c>
      <x:c r="J184" t="n">
        <x:v>0</x:v>
      </x:c>
      <x:c r="K184" t="n">
        <x:v>0</x:v>
      </x:c>
      <x:c r="L184" t="n">
        <x:v>30</x:v>
      </x:c>
      <x:c r="M184" t="n">
        <x:v>0</x:v>
      </x:c>
      <x:c r="N184" t="str">
        <x:v>Approved</x:v>
      </x:c>
      <x:c r="O184" t="n">
        <x:v>0</x:v>
      </x:c>
      <x:c r="P184" t="str">
        <x:f>IF(L184&gt;=75,"High",IF(L184&gt;=55,"Medium","Low"))</x:f>
        <x:v>Low</x:v>
      </x:c>
    </x:row>
    <x:row r="185">
      <x:c r="A185" t="n">
        <x:v>184</x:v>
      </x:c>
      <x:c r="B185" t="n">
        <x:v>10093</x:v>
      </x:c>
      <x:c r="C185" s="16" t="n">
        <x:v>46236</x:v>
      </x:c>
      <x:c r="D185" t="str">
        <x:v>18:36:00</x:v>
      </x:c>
      <x:c r="E185" t="str">
        <x:v>Card</x:v>
      </x:c>
      <x:c r="F185" t="str">
        <x:v>Transfer</x:v>
      </x:c>
      <x:c r="G185" s="18" t="n">
        <x:v>19.09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10</x:v>
      </x:c>
      <x:c r="M185" t="n">
        <x:v>0</x:v>
      </x:c>
      <x:c r="N185" t="str">
        <x:v>Approved</x:v>
      </x:c>
      <x:c r="O185" t="n">
        <x:v>0</x:v>
      </x:c>
      <x:c r="P185" t="str">
        <x:f>IF(L185&gt;=75,"High",IF(L185&gt;=55,"Medium","Low"))</x:f>
        <x:v>Low</x:v>
      </x:c>
    </x:row>
    <x:row r="186">
      <x:c r="A186" t="n">
        <x:v>185</x:v>
      </x:c>
      <x:c r="B186" t="n">
        <x:v>10138</x:v>
      </x:c>
      <x:c r="C186" s="16" t="n">
        <x:v>46232</x:v>
      </x:c>
      <x:c r="D186" t="str">
        <x:v>03:51:00</x:v>
      </x:c>
      <x:c r="E186" t="str">
        <x:v>Card</x:v>
      </x:c>
      <x:c r="F186" t="str">
        <x:v>Retail</x:v>
      </x:c>
      <x:c r="G186" s="18" t="n">
        <x:v>168.58</x:v>
      </x:c>
      <x:c r="H186" t="n">
        <x:v>0</x:v>
      </x:c>
      <x:c r="I186" t="n">
        <x:v>0</x:v>
      </x:c>
      <x:c r="J186" t="n">
        <x:v>0</x:v>
      </x:c>
      <x:c r="K186" t="n">
        <x:v>1</x:v>
      </x:c>
      <x:c r="L186" t="n">
        <x:v>25</x:v>
      </x:c>
      <x:c r="M186" t="n">
        <x:v>0</x:v>
      </x:c>
      <x:c r="N186" t="str">
        <x:v>Declined</x:v>
      </x:c>
      <x:c r="O186" t="n">
        <x:v>0</x:v>
      </x:c>
      <x:c r="P186" t="str">
        <x:f>IF(L186&gt;=75,"High",IF(L186&gt;=55,"Medium","Low"))</x:f>
        <x:v>Low</x:v>
      </x:c>
    </x:row>
    <x:row r="187">
      <x:c r="A187" t="n">
        <x:v>186</x:v>
      </x:c>
      <x:c r="B187" t="n">
        <x:v>10157</x:v>
      </x:c>
      <x:c r="C187" s="16" t="n">
        <x:v>46264</x:v>
      </x:c>
      <x:c r="D187" t="str">
        <x:v>09:31:00</x:v>
      </x:c>
      <x:c r="E187" t="str">
        <x:v>P2P</x:v>
      </x:c>
      <x:c r="F187" t="str">
        <x:v>Electronics</x:v>
      </x:c>
      <x:c r="G187" s="18" t="n">
        <x:v>189.53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10</x:v>
      </x:c>
      <x:c r="M187" t="n">
        <x:v>0</x:v>
      </x:c>
      <x:c r="N187" t="str">
        <x:v>Approved</x:v>
      </x:c>
      <x:c r="O187" t="n">
        <x:v>0</x:v>
      </x:c>
      <x:c r="P187" t="str">
        <x:f>IF(L187&gt;=75,"High",IF(L187&gt;=55,"Medium","Low"))</x:f>
        <x:v>Low</x:v>
      </x:c>
    </x:row>
    <x:row r="188">
      <x:c r="A188" t="n">
        <x:v>187</x:v>
      </x:c>
      <x:c r="B188" t="n">
        <x:v>10106</x:v>
      </x:c>
      <x:c r="C188" s="16" t="n">
        <x:v>46289</x:v>
      </x:c>
      <x:c r="D188" t="str">
        <x:v>04:23:00</x:v>
      </x:c>
      <x:c r="E188" t="str">
        <x:v>Card</x:v>
      </x:c>
      <x:c r="F188" t="str">
        <x:v>Travel</x:v>
      </x:c>
      <x:c r="G188" s="18" t="n">
        <x:v>172.02</x:v>
      </x:c>
      <x:c r="H188" t="n">
        <x:v>0</x:v>
      </x:c>
      <x:c r="I188" t="n">
        <x:v>0</x:v>
      </x:c>
      <x:c r="J188" t="n">
        <x:v>0</x:v>
      </x:c>
      <x:c r="K188" t="n">
        <x:v>1</x:v>
      </x:c>
      <x:c r="L188" t="n">
        <x:v>25</x:v>
      </x:c>
      <x:c r="M188" t="n">
        <x:v>0</x:v>
      </x:c>
      <x:c r="N188" t="str">
        <x:v>Approved</x:v>
      </x:c>
      <x:c r="O188" t="n">
        <x:v>0</x:v>
      </x:c>
      <x:c r="P188" t="str">
        <x:f>IF(L188&gt;=75,"High",IF(L188&gt;=55,"Medium","Low"))</x:f>
        <x:v>Low</x:v>
      </x:c>
    </x:row>
    <x:row r="189">
      <x:c r="A189" t="n">
        <x:v>188</x:v>
      </x:c>
      <x:c r="B189" t="n">
        <x:v>10250</x:v>
      </x:c>
      <x:c r="C189" s="16" t="n">
        <x:v>46273</x:v>
      </x:c>
      <x:c r="D189" t="str">
        <x:v>22:12:00</x:v>
      </x:c>
      <x:c r="E189" t="str">
        <x:v>Card</x:v>
      </x:c>
      <x:c r="F189" t="str">
        <x:v>Electronics</x:v>
      </x:c>
      <x:c r="G189" s="18" t="n">
        <x:v>847.08</x:v>
      </x:c>
      <x:c r="H189" t="n">
        <x:v>0</x:v>
      </x:c>
      <x:c r="I189" t="n">
        <x:v>0</x:v>
      </x:c>
      <x:c r="J189" t="n">
        <x:v>1</x:v>
      </x:c>
      <x:c r="K189" t="n">
        <x:v>0</x:v>
      </x:c>
      <x:c r="L189" t="n">
        <x:v>44</x:v>
      </x:c>
      <x:c r="M189" t="n">
        <x:v>0</x:v>
      </x:c>
      <x:c r="N189" t="str">
        <x:v>Approved</x:v>
      </x:c>
      <x:c r="O189" t="n">
        <x:v>0</x:v>
      </x:c>
      <x:c r="P189" t="str">
        <x:f>IF(L189&gt;=75,"High",IF(L189&gt;=55,"Medium","Low"))</x:f>
        <x:v>Low</x:v>
      </x:c>
    </x:row>
    <x:row r="190">
      <x:c r="A190" t="n">
        <x:v>189</x:v>
      </x:c>
      <x:c r="B190" t="n">
        <x:v>10056</x:v>
      </x:c>
      <x:c r="C190" s="16" t="n">
        <x:v>46286</x:v>
      </x:c>
      <x:c r="D190" t="str">
        <x:v>23:48:00</x:v>
      </x:c>
      <x:c r="E190" t="str">
        <x:v>Card</x:v>
      </x:c>
      <x:c r="F190" t="str">
        <x:v>Electronics</x:v>
      </x:c>
      <x:c r="G190" s="18" t="n">
        <x:v>160.35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10</x:v>
      </x:c>
      <x:c r="M190" t="n">
        <x:v>0</x:v>
      </x:c>
      <x:c r="N190" t="str">
        <x:v>Approved</x:v>
      </x:c>
      <x:c r="O190" t="n">
        <x:v>0</x:v>
      </x:c>
      <x:c r="P190" t="str">
        <x:f>IF(L190&gt;=75,"High",IF(L190&gt;=55,"Medium","Low"))</x:f>
        <x:v>Low</x:v>
      </x:c>
    </x:row>
    <x:row r="191">
      <x:c r="A191" t="n">
        <x:v>190</x:v>
      </x:c>
      <x:c r="B191" t="n">
        <x:v>10150</x:v>
      </x:c>
      <x:c r="C191" s="16" t="n">
        <x:v>46277</x:v>
      </x:c>
      <x:c r="D191" t="str">
        <x:v>14:59:00</x:v>
      </x:c>
      <x:c r="E191" t="str">
        <x:v>Card</x:v>
      </x:c>
      <x:c r="F191" t="str">
        <x:v>Travel</x:v>
      </x:c>
      <x:c r="G191" s="18" t="n">
        <x:v>296.32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10</x:v>
      </x:c>
      <x:c r="M191" t="n">
        <x:v>0</x:v>
      </x:c>
      <x:c r="N191" t="str">
        <x:v>Approved</x:v>
      </x:c>
      <x:c r="O191" t="n">
        <x:v>0</x:v>
      </x:c>
      <x:c r="P191" t="str">
        <x:f>IF(L191&gt;=75,"High",IF(L191&gt;=55,"Medium","Low"))</x:f>
        <x:v>Low</x:v>
      </x:c>
    </x:row>
    <x:row r="192">
      <x:c r="A192" t="n">
        <x:v>191</x:v>
      </x:c>
      <x:c r="B192" t="n">
        <x:v>10167</x:v>
      </x:c>
      <x:c r="C192" s="16" t="n">
        <x:v>46289</x:v>
      </x:c>
      <x:c r="D192" t="str">
        <x:v>00:07:00</x:v>
      </x:c>
      <x:c r="E192" t="str">
        <x:v>Card</x:v>
      </x:c>
      <x:c r="F192" t="str">
        <x:v>Subscriptions</x:v>
      </x:c>
      <x:c r="G192" s="18" t="n">
        <x:v>283.4</x:v>
      </x:c>
      <x:c r="H192" t="n">
        <x:v>0</x:v>
      </x:c>
      <x:c r="I192" t="n">
        <x:v>0</x:v>
      </x:c>
      <x:c r="J192" t="n">
        <x:v>0</x:v>
      </x:c>
      <x:c r="K192" t="n">
        <x:v>1</x:v>
      </x:c>
      <x:c r="L192" t="n">
        <x:v>25</x:v>
      </x:c>
      <x:c r="M192" t="n">
        <x:v>0</x:v>
      </x:c>
      <x:c r="N192" t="str">
        <x:v>Approved</x:v>
      </x:c>
      <x:c r="O192" t="n">
        <x:v>0</x:v>
      </x:c>
      <x:c r="P192" t="str">
        <x:f>IF(L192&gt;=75,"High",IF(L192&gt;=55,"Medium","Low"))</x:f>
        <x:v>Low</x:v>
      </x:c>
    </x:row>
    <x:row r="193">
      <x:c r="A193" t="n">
        <x:v>192</x:v>
      </x:c>
      <x:c r="B193" t="n">
        <x:v>10053</x:v>
      </x:c>
      <x:c r="C193" s="16" t="n">
        <x:v>46267</x:v>
      </x:c>
      <x:c r="D193" t="str">
        <x:v>12:29:00</x:v>
      </x:c>
      <x:c r="E193" t="str">
        <x:v>Card</x:v>
      </x:c>
      <x:c r="F193" t="str">
        <x:v>Transfer</x:v>
      </x:c>
      <x:c r="G193" s="18" t="n">
        <x:v>112.25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10</x:v>
      </x:c>
      <x:c r="M193" t="n">
        <x:v>0</x:v>
      </x:c>
      <x:c r="N193" t="str">
        <x:v>Approved</x:v>
      </x:c>
      <x:c r="O193" t="n">
        <x:v>0</x:v>
      </x:c>
      <x:c r="P193" t="str">
        <x:f>IF(L193&gt;=75,"High",IF(L193&gt;=55,"Medium","Low"))</x:f>
        <x:v>Low</x:v>
      </x:c>
    </x:row>
    <x:row r="194">
      <x:c r="A194" t="n">
        <x:v>193</x:v>
      </x:c>
      <x:c r="B194" t="n">
        <x:v>10272</x:v>
      </x:c>
      <x:c r="C194" s="16" t="n">
        <x:v>46265</x:v>
      </x:c>
      <x:c r="D194" t="str">
        <x:v>06:25:00</x:v>
      </x:c>
      <x:c r="E194" t="str">
        <x:v>P2P</x:v>
      </x:c>
      <x:c r="F194" t="str">
        <x:v>Utilities</x:v>
      </x:c>
      <x:c r="G194" s="18" t="n">
        <x:v>749.23</x:v>
      </x:c>
      <x:c r="H194" t="n">
        <x:v>0</x:v>
      </x:c>
      <x:c r="I194" t="n">
        <x:v>0</x:v>
      </x:c>
      <x:c r="J194" t="n">
        <x:v>1</x:v>
      </x:c>
      <x:c r="K194" t="n">
        <x:v>0</x:v>
      </x:c>
      <x:c r="L194" t="n">
        <x:v>44</x:v>
      </x:c>
      <x:c r="M194" t="n">
        <x:v>0</x:v>
      </x:c>
      <x:c r="N194" t="str">
        <x:v>Approved</x:v>
      </x:c>
      <x:c r="O194" t="n">
        <x:v>0</x:v>
      </x:c>
      <x:c r="P194" t="str">
        <x:f>IF(L194&gt;=75,"High",IF(L194&gt;=55,"Medium","Low"))</x:f>
        <x:v>Low</x:v>
      </x:c>
    </x:row>
    <x:row r="195">
      <x:c r="A195" t="n">
        <x:v>194</x:v>
      </x:c>
      <x:c r="B195" t="n">
        <x:v>10035</x:v>
      </x:c>
      <x:c r="C195" s="16" t="n">
        <x:v>46131</x:v>
      </x:c>
      <x:c r="D195" t="str">
        <x:v>22:11:00</x:v>
      </x:c>
      <x:c r="E195" t="str">
        <x:v>Card</x:v>
      </x:c>
      <x:c r="F195" t="str">
        <x:v>Retail</x:v>
      </x:c>
      <x:c r="G195" s="18" t="n">
        <x:v>157.56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10</x:v>
      </x:c>
      <x:c r="M195" t="n">
        <x:v>0</x:v>
      </x:c>
      <x:c r="N195" t="str">
        <x:v>Approved</x:v>
      </x:c>
      <x:c r="O195" t="n">
        <x:v>0</x:v>
      </x:c>
      <x:c r="P195" t="str">
        <x:f>IF(L195&gt;=75,"High",IF(L195&gt;=55,"Medium","Low"))</x:f>
        <x:v>Low</x:v>
      </x:c>
    </x:row>
    <x:row r="196">
      <x:c r="A196" t="n">
        <x:v>195</x:v>
      </x:c>
      <x:c r="B196" t="n">
        <x:v>10103</x:v>
      </x:c>
      <x:c r="C196" s="16" t="n">
        <x:v>46211</x:v>
      </x:c>
      <x:c r="D196" t="str">
        <x:v>11:13:00</x:v>
      </x:c>
      <x:c r="E196" t="str">
        <x:v>Card</x:v>
      </x:c>
      <x:c r="F196" t="str">
        <x:v>Utilities</x:v>
      </x:c>
      <x:c r="G196" s="18" t="n">
        <x:v>22.35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10</x:v>
      </x:c>
      <x:c r="M196" t="n">
        <x:v>0</x:v>
      </x:c>
      <x:c r="N196" t="str">
        <x:v>Approved</x:v>
      </x:c>
      <x:c r="O196" t="n">
        <x:v>0</x:v>
      </x:c>
      <x:c r="P196" t="str">
        <x:f>IF(L196&gt;=75,"High",IF(L196&gt;=55,"Medium","Low"))</x:f>
        <x:v>Low</x:v>
      </x:c>
    </x:row>
    <x:row r="197">
      <x:c r="A197" t="n">
        <x:v>196</x:v>
      </x:c>
      <x:c r="B197" t="n">
        <x:v>10161</x:v>
      </x:c>
      <x:c r="C197" s="16" t="n">
        <x:v>46259</x:v>
      </x:c>
      <x:c r="D197" t="str">
        <x:v>15:04:00</x:v>
      </x:c>
      <x:c r="E197" t="str">
        <x:v>Card</x:v>
      </x:c>
      <x:c r="F197" t="str">
        <x:v>Utilities</x:v>
      </x:c>
      <x:c r="G197" s="18" t="n">
        <x:v>247.05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10</x:v>
      </x:c>
      <x:c r="M197" t="n">
        <x:v>0</x:v>
      </x:c>
      <x:c r="N197" t="str">
        <x:v>Approved</x:v>
      </x:c>
      <x:c r="O197" t="n">
        <x:v>0</x:v>
      </x:c>
      <x:c r="P197" t="str">
        <x:f>IF(L197&gt;=75,"High",IF(L197&gt;=55,"Medium","Low"))</x:f>
        <x:v>Low</x:v>
      </x:c>
    </x:row>
    <x:row r="198">
      <x:c r="A198" t="n">
        <x:v>197</x:v>
      </x:c>
      <x:c r="B198" t="n">
        <x:v>10057</x:v>
      </x:c>
      <x:c r="C198" s="16" t="n">
        <x:v>46285</x:v>
      </x:c>
      <x:c r="D198" t="str">
        <x:v>06:46:00</x:v>
      </x:c>
      <x:c r="E198" t="str">
        <x:v>Bank Transfer</x:v>
      </x:c>
      <x:c r="F198" t="str">
        <x:v>Travel</x:v>
      </x:c>
      <x:c r="G198" s="18" t="n">
        <x:v>193.55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10</x:v>
      </x:c>
      <x:c r="M198" t="n">
        <x:v>0</x:v>
      </x:c>
      <x:c r="N198" t="str">
        <x:v>Declined</x:v>
      </x:c>
      <x:c r="O198" t="n">
        <x:v>0</x:v>
      </x:c>
      <x:c r="P198" t="str">
        <x:f>IF(L198&gt;=75,"High",IF(L198&gt;=55,"Medium","Low"))</x:f>
        <x:v>Low</x:v>
      </x:c>
    </x:row>
    <x:row r="199">
      <x:c r="A199" t="n">
        <x:v>198</x:v>
      </x:c>
      <x:c r="B199" t="n">
        <x:v>10211</x:v>
      </x:c>
      <x:c r="C199" s="16" t="n">
        <x:v>46292</x:v>
      </x:c>
      <x:c r="D199" t="str">
        <x:v>13:34:00</x:v>
      </x:c>
      <x:c r="E199" t="str">
        <x:v>Bank Transfer</x:v>
      </x:c>
      <x:c r="F199" t="str">
        <x:v>Subscriptions</x:v>
      </x:c>
      <x:c r="G199" s="18" t="n">
        <x:v>38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10</x:v>
      </x:c>
      <x:c r="M199" t="n">
        <x:v>0</x:v>
      </x:c>
      <x:c r="N199" t="str">
        <x:v>Declined</x:v>
      </x:c>
      <x:c r="O199" t="n">
        <x:v>0</x:v>
      </x:c>
      <x:c r="P199" t="str">
        <x:f>IF(L199&gt;=75,"High",IF(L199&gt;=55,"Medium","Low"))</x:f>
        <x:v>Low</x:v>
      </x:c>
    </x:row>
    <x:row r="200">
      <x:c r="A200" t="n">
        <x:v>199</x:v>
      </x:c>
      <x:c r="B200" t="n">
        <x:v>10045</x:v>
      </x:c>
      <x:c r="C200" s="16" t="n">
        <x:v>46153</x:v>
      </x:c>
      <x:c r="D200" t="str">
        <x:v>14:19:00</x:v>
      </x:c>
      <x:c r="E200" t="str">
        <x:v>Card</x:v>
      </x:c>
      <x:c r="F200" t="str">
        <x:v>Electronics</x:v>
      </x:c>
      <x:c r="G200" s="18" t="n">
        <x:v>120.16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10</x:v>
      </x:c>
      <x:c r="M200" t="n">
        <x:v>0</x:v>
      </x:c>
      <x:c r="N200" t="str">
        <x:v>Declined</x:v>
      </x:c>
      <x:c r="O200" t="n">
        <x:v>0</x:v>
      </x:c>
      <x:c r="P200" t="str">
        <x:f>IF(L200&gt;=75,"High",IF(L200&gt;=55,"Medium","Low"))</x:f>
        <x:v>Low</x:v>
      </x:c>
    </x:row>
    <x:row r="201">
      <x:c r="A201" t="n">
        <x:v>200</x:v>
      </x:c>
      <x:c r="B201" t="n">
        <x:v>10217</x:v>
      </x:c>
      <x:c r="C201" s="16" t="n">
        <x:v>46123</x:v>
      </x:c>
      <x:c r="D201" t="str">
        <x:v>17:27:00</x:v>
      </x:c>
      <x:c r="E201" t="str">
        <x:v>Card</x:v>
      </x:c>
      <x:c r="F201" t="str">
        <x:v>Transfer</x:v>
      </x:c>
      <x:c r="G201" s="18" t="n">
        <x:v>222.95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10</x:v>
      </x:c>
      <x:c r="M201" t="n">
        <x:v>0</x:v>
      </x:c>
      <x:c r="N201" t="str">
        <x:v>Approved</x:v>
      </x:c>
      <x:c r="O201" t="n">
        <x:v>0</x:v>
      </x:c>
      <x:c r="P201" t="str">
        <x:f>IF(L201&gt;=75,"High",IF(L201&gt;=55,"Medium","Low"))</x:f>
        <x:v>Low</x:v>
      </x:c>
    </x:row>
    <x:row r="202">
      <x:c r="A202" t="n">
        <x:v>201</x:v>
      </x:c>
      <x:c r="B202" t="n">
        <x:v>10026</x:v>
      </x:c>
      <x:c r="C202" s="16" t="n">
        <x:v>46218</x:v>
      </x:c>
      <x:c r="D202" t="str">
        <x:v>18:13:00</x:v>
      </x:c>
      <x:c r="E202" t="str">
        <x:v>Card</x:v>
      </x:c>
      <x:c r="F202" t="str">
        <x:v>Electronics</x:v>
      </x:c>
      <x:c r="G202" s="18" t="n">
        <x:v>64.76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10</x:v>
      </x:c>
      <x:c r="M202" t="n">
        <x:v>0</x:v>
      </x:c>
      <x:c r="N202" t="str">
        <x:v>Approved</x:v>
      </x:c>
      <x:c r="O202" t="n">
        <x:v>0</x:v>
      </x:c>
      <x:c r="P202" t="str">
        <x:f>IF(L202&gt;=75,"High",IF(L202&gt;=55,"Medium","Low"))</x:f>
        <x:v>Low</x:v>
      </x:c>
    </x:row>
    <x:row r="203">
      <x:c r="A203" t="n">
        <x:v>202</x:v>
      </x:c>
      <x:c r="B203" t="n">
        <x:v>10289</x:v>
      </x:c>
      <x:c r="C203" s="16" t="n">
        <x:v>46166</x:v>
      </x:c>
      <x:c r="D203" t="str">
        <x:v>10:56:00</x:v>
      </x:c>
      <x:c r="E203" t="str">
        <x:v>Bank Transfer</x:v>
      </x:c>
      <x:c r="F203" t="str">
        <x:v>Retail</x:v>
      </x:c>
      <x:c r="G203" s="18" t="n">
        <x:v>20.35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10</x:v>
      </x:c>
      <x:c r="M203" t="n">
        <x:v>0</x:v>
      </x:c>
      <x:c r="N203" t="str">
        <x:v>Approved</x:v>
      </x:c>
      <x:c r="O203" t="n">
        <x:v>0</x:v>
      </x:c>
      <x:c r="P203" t="str">
        <x:f>IF(L203&gt;=75,"High",IF(L203&gt;=55,"Medium","Low"))</x:f>
        <x:v>Low</x:v>
      </x:c>
    </x:row>
    <x:row r="204">
      <x:c r="A204" t="n">
        <x:v>203</x:v>
      </x:c>
      <x:c r="B204" t="n">
        <x:v>10252</x:v>
      </x:c>
      <x:c r="C204" s="16" t="n">
        <x:v>46222</x:v>
      </x:c>
      <x:c r="D204" t="str">
        <x:v>02:15:00</x:v>
      </x:c>
      <x:c r="E204" t="str">
        <x:v>Card</x:v>
      </x:c>
      <x:c r="F204" t="str">
        <x:v>Electronics</x:v>
      </x:c>
      <x:c r="G204" s="18" t="n">
        <x:v>70.28</x:v>
      </x:c>
      <x:c r="H204" t="n">
        <x:v>0</x:v>
      </x:c>
      <x:c r="I204" t="n">
        <x:v>0</x:v>
      </x:c>
      <x:c r="J204" t="n">
        <x:v>0</x:v>
      </x:c>
      <x:c r="K204" t="n">
        <x:v>1</x:v>
      </x:c>
      <x:c r="L204" t="n">
        <x:v>25</x:v>
      </x:c>
      <x:c r="M204" t="n">
        <x:v>0</x:v>
      </x:c>
      <x:c r="N204" t="str">
        <x:v>Declined</x:v>
      </x:c>
      <x:c r="O204" t="n">
        <x:v>0</x:v>
      </x:c>
      <x:c r="P204" t="str">
        <x:f>IF(L204&gt;=75,"High",IF(L204&gt;=55,"Medium","Low"))</x:f>
        <x:v>Low</x:v>
      </x:c>
    </x:row>
    <x:row r="205">
      <x:c r="A205" t="n">
        <x:v>204</x:v>
      </x:c>
      <x:c r="B205" t="n">
        <x:v>10215</x:v>
      </x:c>
      <x:c r="C205" s="16" t="n">
        <x:v>46229</x:v>
      </x:c>
      <x:c r="D205" t="str">
        <x:v>11:26:00</x:v>
      </x:c>
      <x:c r="E205" t="str">
        <x:v>P2P</x:v>
      </x:c>
      <x:c r="F205" t="str">
        <x:v>Transfer</x:v>
      </x:c>
      <x:c r="G205" s="18" t="n">
        <x:v>64.36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10</x:v>
      </x:c>
      <x:c r="M205" t="n">
        <x:v>0</x:v>
      </x:c>
      <x:c r="N205" t="str">
        <x:v>Approved</x:v>
      </x:c>
      <x:c r="O205" t="n">
        <x:v>0</x:v>
      </x:c>
      <x:c r="P205" t="str">
        <x:f>IF(L205&gt;=75,"High",IF(L205&gt;=55,"Medium","Low"))</x:f>
        <x:v>Low</x:v>
      </x:c>
    </x:row>
    <x:row r="206">
      <x:c r="A206" t="n">
        <x:v>205</x:v>
      </x:c>
      <x:c r="B206" t="n">
        <x:v>10311</x:v>
      </x:c>
      <x:c r="C206" s="16" t="n">
        <x:v>46204</x:v>
      </x:c>
      <x:c r="D206" t="str">
        <x:v>16:49:00</x:v>
      </x:c>
      <x:c r="E206" t="str">
        <x:v>Card</x:v>
      </x:c>
      <x:c r="F206" t="str">
        <x:v>Dining</x:v>
      </x:c>
      <x:c r="G206" s="18" t="n">
        <x:v>248.65</x:v>
      </x:c>
      <x:c r="H206" t="n">
        <x:v>0</x:v>
      </x:c>
      <x:c r="I206" t="n">
        <x:v>1</x:v>
      </x:c>
      <x:c r="J206" t="n">
        <x:v>0</x:v>
      </x:c>
      <x:c r="K206" t="n">
        <x:v>0</x:v>
      </x:c>
      <x:c r="L206" t="n">
        <x:v>30</x:v>
      </x:c>
      <x:c r="M206" t="n">
        <x:v>0</x:v>
      </x:c>
      <x:c r="N206" t="str">
        <x:v>Approved</x:v>
      </x:c>
      <x:c r="O206" t="n">
        <x:v>0</x:v>
      </x:c>
      <x:c r="P206" t="str">
        <x:f>IF(L206&gt;=75,"High",IF(L206&gt;=55,"Medium","Low"))</x:f>
        <x:v>Low</x:v>
      </x:c>
    </x:row>
    <x:row r="207">
      <x:c r="A207" t="n">
        <x:v>206</x:v>
      </x:c>
      <x:c r="B207" t="n">
        <x:v>10335</x:v>
      </x:c>
      <x:c r="C207" s="16" t="n">
        <x:v>46207</x:v>
      </x:c>
      <x:c r="D207" t="str">
        <x:v>22:40:00</x:v>
      </x:c>
      <x:c r="E207" t="str">
        <x:v>Card</x:v>
      </x:c>
      <x:c r="F207" t="str">
        <x:v>Utilities</x:v>
      </x:c>
      <x:c r="G207" s="18" t="n">
        <x:v>10.88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10</x:v>
      </x:c>
      <x:c r="M207" t="n">
        <x:v>0</x:v>
      </x:c>
      <x:c r="N207" t="str">
        <x:v>Approved</x:v>
      </x:c>
      <x:c r="O207" t="n">
        <x:v>0</x:v>
      </x:c>
      <x:c r="P207" t="str">
        <x:f>IF(L207&gt;=75,"High",IF(L207&gt;=55,"Medium","Low"))</x:f>
        <x:v>Low</x:v>
      </x:c>
    </x:row>
    <x:row r="208">
      <x:c r="A208" t="n">
        <x:v>207</x:v>
      </x:c>
      <x:c r="B208" t="n">
        <x:v>10139</x:v>
      </x:c>
      <x:c r="C208" s="16" t="n">
        <x:v>46289</x:v>
      </x:c>
      <x:c r="D208" t="str">
        <x:v>05:03:00</x:v>
      </x:c>
      <x:c r="E208" t="str">
        <x:v>Bank Transfer</x:v>
      </x:c>
      <x:c r="F208" t="str">
        <x:v>Electronics</x:v>
      </x:c>
      <x:c r="G208" s="18" t="n">
        <x:v>32.28</x:v>
      </x:c>
      <x:c r="H208" t="n">
        <x:v>0</x:v>
      </x:c>
      <x:c r="I208" t="n">
        <x:v>1</x:v>
      </x:c>
      <x:c r="J208" t="n">
        <x:v>0</x:v>
      </x:c>
      <x:c r="K208" t="n">
        <x:v>0</x:v>
      </x:c>
      <x:c r="L208" t="n">
        <x:v>30</x:v>
      </x:c>
      <x:c r="M208" t="n">
        <x:v>0</x:v>
      </x:c>
      <x:c r="N208" t="str">
        <x:v>Approved</x:v>
      </x:c>
      <x:c r="O208" t="n">
        <x:v>0</x:v>
      </x:c>
      <x:c r="P208" t="str">
        <x:f>IF(L208&gt;=75,"High",IF(L208&gt;=55,"Medium","Low"))</x:f>
        <x:v>Low</x:v>
      </x:c>
    </x:row>
    <x:row r="209">
      <x:c r="A209" t="n">
        <x:v>208</x:v>
      </x:c>
      <x:c r="B209" t="n">
        <x:v>10256</x:v>
      </x:c>
      <x:c r="C209" s="16" t="n">
        <x:v>46286</x:v>
      </x:c>
      <x:c r="D209" t="str">
        <x:v>16:19:00</x:v>
      </x:c>
      <x:c r="E209" t="str">
        <x:v>Bank Transfer</x:v>
      </x:c>
      <x:c r="F209" t="str">
        <x:v>Transfer</x:v>
      </x:c>
      <x:c r="G209" s="18" t="n">
        <x:v>113.3</x:v>
      </x:c>
      <x:c r="H209" t="n">
        <x:v>1</x:v>
      </x:c>
      <x:c r="I209" t="n">
        <x:v>0</x:v>
      </x:c>
      <x:c r="J209" t="n">
        <x:v>0</x:v>
      </x:c>
      <x:c r="K209" t="n">
        <x:v>0</x:v>
      </x:c>
      <x:c r="L209" t="n">
        <x:v>36</x:v>
      </x:c>
      <x:c r="M209" t="n">
        <x:v>0</x:v>
      </x:c>
      <x:c r="N209" t="str">
        <x:v>Approved</x:v>
      </x:c>
      <x:c r="O209" t="n">
        <x:v>0</x:v>
      </x:c>
      <x:c r="P209" t="str">
        <x:f>IF(L209&gt;=75,"High",IF(L209&gt;=55,"Medium","Low"))</x:f>
        <x:v>Low</x:v>
      </x:c>
    </x:row>
    <x:row r="210">
      <x:c r="A210" t="n">
        <x:v>209</x:v>
      </x:c>
      <x:c r="B210" t="n">
        <x:v>10302</x:v>
      </x:c>
      <x:c r="C210" s="16" t="n">
        <x:v>46180</x:v>
      </x:c>
      <x:c r="D210" t="str">
        <x:v>07:32:00</x:v>
      </x:c>
      <x:c r="E210" t="str">
        <x:v>Card</x:v>
      </x:c>
      <x:c r="F210" t="str">
        <x:v>Electronics</x:v>
      </x:c>
      <x:c r="G210" s="18" t="n">
        <x:v>45.2</x:v>
      </x:c>
      <x:c r="H210" t="n">
        <x:v>0</x:v>
      </x:c>
      <x:c r="I210" t="n">
        <x:v>1</x:v>
      </x:c>
      <x:c r="J210" t="n">
        <x:v>0</x:v>
      </x:c>
      <x:c r="K210" t="n">
        <x:v>0</x:v>
      </x:c>
      <x:c r="L210" t="n">
        <x:v>30</x:v>
      </x:c>
      <x:c r="M210" t="n">
        <x:v>0</x:v>
      </x:c>
      <x:c r="N210" t="str">
        <x:v>Approved</x:v>
      </x:c>
      <x:c r="O210" t="n">
        <x:v>0</x:v>
      </x:c>
      <x:c r="P210" t="str">
        <x:f>IF(L210&gt;=75,"High",IF(L210&gt;=55,"Medium","Low"))</x:f>
        <x:v>Low</x:v>
      </x:c>
    </x:row>
    <x:row r="211">
      <x:c r="A211" t="n">
        <x:v>210</x:v>
      </x:c>
      <x:c r="B211" t="n">
        <x:v>10198</x:v>
      </x:c>
      <x:c r="C211" s="16" t="n">
        <x:v>46223</x:v>
      </x:c>
      <x:c r="D211" t="str">
        <x:v>20:55:00</x:v>
      </x:c>
      <x:c r="E211" t="str">
        <x:v>Card</x:v>
      </x:c>
      <x:c r="F211" t="str">
        <x:v>Transfer</x:v>
      </x:c>
      <x:c r="G211" s="18" t="n">
        <x:v>123.73</x:v>
      </x:c>
      <x:c r="H211" t="n">
        <x:v>0</x:v>
      </x:c>
      <x:c r="I211" t="n">
        <x:v>1</x:v>
      </x:c>
      <x:c r="J211" t="n">
        <x:v>0</x:v>
      </x:c>
      <x:c r="K211" t="n">
        <x:v>0</x:v>
      </x:c>
      <x:c r="L211" t="n">
        <x:v>30</x:v>
      </x:c>
      <x:c r="M211" t="n">
        <x:v>0</x:v>
      </x:c>
      <x:c r="N211" t="str">
        <x:v>Approved</x:v>
      </x:c>
      <x:c r="O211" t="n">
        <x:v>0</x:v>
      </x:c>
      <x:c r="P211" t="str">
        <x:f>IF(L211&gt;=75,"High",IF(L211&gt;=55,"Medium","Low"))</x:f>
        <x:v>Low</x:v>
      </x:c>
    </x:row>
    <x:row r="212">
      <x:c r="A212" t="n">
        <x:v>211</x:v>
      </x:c>
      <x:c r="B212" t="n">
        <x:v>10220</x:v>
      </x:c>
      <x:c r="C212" s="16" t="n">
        <x:v>46136</x:v>
      </x:c>
      <x:c r="D212" t="str">
        <x:v>04:13:00</x:v>
      </x:c>
      <x:c r="E212" t="str">
        <x:v>Card</x:v>
      </x:c>
      <x:c r="F212" t="str">
        <x:v>Travel</x:v>
      </x:c>
      <x:c r="G212" s="18" t="n">
        <x:v>79.37</x:v>
      </x:c>
      <x:c r="H212" t="n">
        <x:v>0</x:v>
      </x:c>
      <x:c r="I212" t="n">
        <x:v>1</x:v>
      </x:c>
      <x:c r="J212" t="n">
        <x:v>0</x:v>
      </x:c>
      <x:c r="K212" t="n">
        <x:v>1</x:v>
      </x:c>
      <x:c r="L212" t="n">
        <x:v>45</x:v>
      </x:c>
      <x:c r="M212" t="n">
        <x:v>0</x:v>
      </x:c>
      <x:c r="N212" t="str">
        <x:v>Approved</x:v>
      </x:c>
      <x:c r="O212" t="n">
        <x:v>0</x:v>
      </x:c>
      <x:c r="P212" t="str">
        <x:f>IF(L212&gt;=75,"High",IF(L212&gt;=55,"Medium","Low"))</x:f>
        <x:v>Low</x:v>
      </x:c>
    </x:row>
    <x:row r="213">
      <x:c r="A213" t="n">
        <x:v>212</x:v>
      </x:c>
      <x:c r="B213" t="n">
        <x:v>10002</x:v>
      </x:c>
      <x:c r="C213" s="16" t="n">
        <x:v>46174</x:v>
      </x:c>
      <x:c r="D213" t="str">
        <x:v>16:05:00</x:v>
      </x:c>
      <x:c r="E213" t="str">
        <x:v>Card</x:v>
      </x:c>
      <x:c r="F213" t="str">
        <x:v>Transfer</x:v>
      </x:c>
      <x:c r="G213" s="18" t="n">
        <x:v>60.1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10</x:v>
      </x:c>
      <x:c r="M213" t="n">
        <x:v>0</x:v>
      </x:c>
      <x:c r="N213" t="str">
        <x:v>Approved</x:v>
      </x:c>
      <x:c r="O213" t="n">
        <x:v>0</x:v>
      </x:c>
      <x:c r="P213" t="str">
        <x:f>IF(L213&gt;=75,"High",IF(L213&gt;=55,"Medium","Low"))</x:f>
        <x:v>Low</x:v>
      </x:c>
    </x:row>
    <x:row r="214">
      <x:c r="A214" t="n">
        <x:v>213</x:v>
      </x:c>
      <x:c r="B214" t="n">
        <x:v>10088</x:v>
      </x:c>
      <x:c r="C214" s="16" t="n">
        <x:v>46256</x:v>
      </x:c>
      <x:c r="D214" t="str">
        <x:v>22:33:00</x:v>
      </x:c>
      <x:c r="E214" t="str">
        <x:v>Card</x:v>
      </x:c>
      <x:c r="F214" t="str">
        <x:v>Retail</x:v>
      </x:c>
      <x:c r="G214" s="18" t="n">
        <x:v>38.55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10</x:v>
      </x:c>
      <x:c r="M214" t="n">
        <x:v>0</x:v>
      </x:c>
      <x:c r="N214" t="str">
        <x:v>Approved</x:v>
      </x:c>
      <x:c r="O214" t="n">
        <x:v>0</x:v>
      </x:c>
      <x:c r="P214" t="str">
        <x:f>IF(L214&gt;=75,"High",IF(L214&gt;=55,"Medium","Low"))</x:f>
        <x:v>Low</x:v>
      </x:c>
    </x:row>
    <x:row r="215">
      <x:c r="A215" t="n">
        <x:v>214</x:v>
      </x:c>
      <x:c r="B215" t="n">
        <x:v>10129</x:v>
      </x:c>
      <x:c r="C215" s="16" t="n">
        <x:v>46220</x:v>
      </x:c>
      <x:c r="D215" t="str">
        <x:v>19:29:00</x:v>
      </x:c>
      <x:c r="E215" t="str">
        <x:v>Card</x:v>
      </x:c>
      <x:c r="F215" t="str">
        <x:v>Utilities</x:v>
      </x:c>
      <x:c r="G215" s="18" t="n">
        <x:v>338.2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10</x:v>
      </x:c>
      <x:c r="M215" t="n">
        <x:v>0</x:v>
      </x:c>
      <x:c r="N215" t="str">
        <x:v>Approved</x:v>
      </x:c>
      <x:c r="O215" t="n">
        <x:v>0</x:v>
      </x:c>
      <x:c r="P215" t="str">
        <x:f>IF(L215&gt;=75,"High",IF(L215&gt;=55,"Medium","Low"))</x:f>
        <x:v>Low</x:v>
      </x:c>
    </x:row>
    <x:row r="216">
      <x:c r="A216" t="n">
        <x:v>215</x:v>
      </x:c>
      <x:c r="B216" t="n">
        <x:v>10209</x:v>
      </x:c>
      <x:c r="C216" s="16" t="n">
        <x:v>46212</x:v>
      </x:c>
      <x:c r="D216" t="str">
        <x:v>17:47:00</x:v>
      </x:c>
      <x:c r="E216" t="str">
        <x:v>Card</x:v>
      </x:c>
      <x:c r="F216" t="str">
        <x:v>Dining</x:v>
      </x:c>
      <x:c r="G216" s="18" t="n">
        <x:v>95.95</x:v>
      </x:c>
      <x:c r="H216" t="n">
        <x:v>0</x:v>
      </x:c>
      <x:c r="I216" t="n">
        <x:v>1</x:v>
      </x:c>
      <x:c r="J216" t="n">
        <x:v>0</x:v>
      </x:c>
      <x:c r="K216" t="n">
        <x:v>0</x:v>
      </x:c>
      <x:c r="L216" t="n">
        <x:v>30</x:v>
      </x:c>
      <x:c r="M216" t="n">
        <x:v>0</x:v>
      </x:c>
      <x:c r="N216" t="str">
        <x:v>Approved</x:v>
      </x:c>
      <x:c r="O216" t="n">
        <x:v>0</x:v>
      </x:c>
      <x:c r="P216" t="str">
        <x:f>IF(L216&gt;=75,"High",IF(L216&gt;=55,"Medium","Low"))</x:f>
        <x:v>Low</x:v>
      </x:c>
    </x:row>
    <x:row r="217">
      <x:c r="A217" t="n">
        <x:v>216</x:v>
      </x:c>
      <x:c r="B217" t="n">
        <x:v>10049</x:v>
      </x:c>
      <x:c r="C217" s="16" t="n">
        <x:v>46222</x:v>
      </x:c>
      <x:c r="D217" t="str">
        <x:v>16:31:00</x:v>
      </x:c>
      <x:c r="E217" t="str">
        <x:v>Card</x:v>
      </x:c>
      <x:c r="F217" t="str">
        <x:v>Utilities</x:v>
      </x:c>
      <x:c r="G217" s="18" t="n">
        <x:v>104.54</x:v>
      </x:c>
      <x:c r="H217" t="n">
        <x:v>1</x:v>
      </x:c>
      <x:c r="I217" t="n">
        <x:v>0</x:v>
      </x:c>
      <x:c r="J217" t="n">
        <x:v>0</x:v>
      </x:c>
      <x:c r="K217" t="n">
        <x:v>0</x:v>
      </x:c>
      <x:c r="L217" t="n">
        <x:v>36</x:v>
      </x:c>
      <x:c r="M217" t="n">
        <x:v>0</x:v>
      </x:c>
      <x:c r="N217" t="str">
        <x:v>Approved</x:v>
      </x:c>
      <x:c r="O217" t="n">
        <x:v>0</x:v>
      </x:c>
      <x:c r="P217" t="str">
        <x:f>IF(L217&gt;=75,"High",IF(L217&gt;=55,"Medium","Low"))</x:f>
        <x:v>Low</x:v>
      </x:c>
    </x:row>
    <x:row r="218">
      <x:c r="A218" t="n">
        <x:v>217</x:v>
      </x:c>
      <x:c r="B218" t="n">
        <x:v>10145</x:v>
      </x:c>
      <x:c r="C218" s="16" t="n">
        <x:v>46265</x:v>
      </x:c>
      <x:c r="D218" t="str">
        <x:v>10:54:00</x:v>
      </x:c>
      <x:c r="E218" t="str">
        <x:v>Card</x:v>
      </x:c>
      <x:c r="F218" t="str">
        <x:v>Dining</x:v>
      </x:c>
      <x:c r="G218" s="18" t="n">
        <x:v>85.52</x:v>
      </x:c>
      <x:c r="H218" t="n">
        <x:v>0</x:v>
      </x:c>
      <x:c r="I218" t="n">
        <x:v>1</x:v>
      </x:c>
      <x:c r="J218" t="n">
        <x:v>0</x:v>
      </x:c>
      <x:c r="K218" t="n">
        <x:v>0</x:v>
      </x:c>
      <x:c r="L218" t="n">
        <x:v>30</x:v>
      </x:c>
      <x:c r="M218" t="n">
        <x:v>0</x:v>
      </x:c>
      <x:c r="N218" t="str">
        <x:v>Approved</x:v>
      </x:c>
      <x:c r="O218" t="n">
        <x:v>0</x:v>
      </x:c>
      <x:c r="P218" t="str">
        <x:f>IF(L218&gt;=75,"High",IF(L218&gt;=55,"Medium","Low"))</x:f>
        <x:v>Low</x:v>
      </x:c>
    </x:row>
    <x:row r="219">
      <x:c r="A219" t="n">
        <x:v>218</x:v>
      </x:c>
      <x:c r="B219" t="n">
        <x:v>10219</x:v>
      </x:c>
      <x:c r="C219" s="16" t="n">
        <x:v>46171</x:v>
      </x:c>
      <x:c r="D219" t="str">
        <x:v>09:40:00</x:v>
      </x:c>
      <x:c r="E219" t="str">
        <x:v>Bank Transfer</x:v>
      </x:c>
      <x:c r="F219" t="str">
        <x:v>Subscriptions</x:v>
      </x:c>
      <x:c r="G219" s="18" t="n">
        <x:v>19.64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10</x:v>
      </x:c>
      <x:c r="M219" t="n">
        <x:v>0</x:v>
      </x:c>
      <x:c r="N219" t="str">
        <x:v>Approved</x:v>
      </x:c>
      <x:c r="O219" t="n">
        <x:v>0</x:v>
      </x:c>
      <x:c r="P219" t="str">
        <x:f>IF(L219&gt;=75,"High",IF(L219&gt;=55,"Medium","Low"))</x:f>
        <x:v>Low</x:v>
      </x:c>
    </x:row>
    <x:row r="220">
      <x:c r="A220" t="n">
        <x:v>219</x:v>
      </x:c>
      <x:c r="B220" t="n">
        <x:v>10322</x:v>
      </x:c>
      <x:c r="C220" s="16" t="n">
        <x:v>46174</x:v>
      </x:c>
      <x:c r="D220" t="str">
        <x:v>12:52:00</x:v>
      </x:c>
      <x:c r="E220" t="str">
        <x:v>Card</x:v>
      </x:c>
      <x:c r="F220" t="str">
        <x:v>Subscriptions</x:v>
      </x:c>
      <x:c r="G220" s="18" t="n">
        <x:v>16.45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10</x:v>
      </x:c>
      <x:c r="M220" t="n">
        <x:v>0</x:v>
      </x:c>
      <x:c r="N220" t="str">
        <x:v>Approved</x:v>
      </x:c>
      <x:c r="O220" t="n">
        <x:v>0</x:v>
      </x:c>
      <x:c r="P220" t="str">
        <x:f>IF(L220&gt;=75,"High",IF(L220&gt;=55,"Medium","Low"))</x:f>
        <x:v>Low</x:v>
      </x:c>
    </x:row>
    <x:row r="221">
      <x:c r="A221" t="n">
        <x:v>220</x:v>
      </x:c>
      <x:c r="B221" t="n">
        <x:v>10241</x:v>
      </x:c>
      <x:c r="C221" s="16" t="n">
        <x:v>46124</x:v>
      </x:c>
      <x:c r="D221" t="str">
        <x:v>09:39:00</x:v>
      </x:c>
      <x:c r="E221" t="str">
        <x:v>Card</x:v>
      </x:c>
      <x:c r="F221" t="str">
        <x:v>Transfer</x:v>
      </x:c>
      <x:c r="G221" s="18" t="n">
        <x:v>41.6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10</x:v>
      </x:c>
      <x:c r="M221" t="n">
        <x:v>0</x:v>
      </x:c>
      <x:c r="N221" t="str">
        <x:v>Approved</x:v>
      </x:c>
      <x:c r="O221" t="n">
        <x:v>0</x:v>
      </x:c>
      <x:c r="P221" t="str">
        <x:f>IF(L221&gt;=75,"High",IF(L221&gt;=55,"Medium","Low"))</x:f>
        <x:v>Low</x:v>
      </x:c>
    </x:row>
    <x:row r="222">
      <x:c r="A222" t="n">
        <x:v>221</x:v>
      </x:c>
      <x:c r="B222" t="n">
        <x:v>10138</x:v>
      </x:c>
      <x:c r="C222" s="16" t="n">
        <x:v>46194</x:v>
      </x:c>
      <x:c r="D222" t="str">
        <x:v>18:18:00</x:v>
      </x:c>
      <x:c r="E222" t="str">
        <x:v>Card</x:v>
      </x:c>
      <x:c r="F222" t="str">
        <x:v>Transfer</x:v>
      </x:c>
      <x:c r="G222" s="18" t="n">
        <x:v>298.89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10</x:v>
      </x:c>
      <x:c r="M222" t="n">
        <x:v>0</x:v>
      </x:c>
      <x:c r="N222" t="str">
        <x:v>Approved</x:v>
      </x:c>
      <x:c r="O222" t="n">
        <x:v>0</x:v>
      </x:c>
      <x:c r="P222" t="str">
        <x:f>IF(L222&gt;=75,"High",IF(L222&gt;=55,"Medium","Low"))</x:f>
        <x:v>Low</x:v>
      </x:c>
    </x:row>
    <x:row r="223">
      <x:c r="A223" t="n">
        <x:v>222</x:v>
      </x:c>
      <x:c r="B223" t="n">
        <x:v>10025</x:v>
      </x:c>
      <x:c r="C223" s="16" t="n">
        <x:v>46236</x:v>
      </x:c>
      <x:c r="D223" t="str">
        <x:v>09:37:00</x:v>
      </x:c>
      <x:c r="E223" t="str">
        <x:v>Bank Transfer</x:v>
      </x:c>
      <x:c r="F223" t="str">
        <x:v>Utilities</x:v>
      </x:c>
      <x:c r="G223" s="18" t="n">
        <x:v>19.84</x:v>
      </x:c>
      <x:c r="H223" t="n">
        <x:v>0</x:v>
      </x:c>
      <x:c r="I223" t="n">
        <x:v>1</x:v>
      </x:c>
      <x:c r="J223" t="n">
        <x:v>0</x:v>
      </x:c>
      <x:c r="K223" t="n">
        <x:v>0</x:v>
      </x:c>
      <x:c r="L223" t="n">
        <x:v>30</x:v>
      </x:c>
      <x:c r="M223" t="n">
        <x:v>0</x:v>
      </x:c>
      <x:c r="N223" t="str">
        <x:v>Declined</x:v>
      </x:c>
      <x:c r="O223" t="n">
        <x:v>0</x:v>
      </x:c>
      <x:c r="P223" t="str">
        <x:f>IF(L223&gt;=75,"High",IF(L223&gt;=55,"Medium","Low"))</x:f>
        <x:v>Low</x:v>
      </x:c>
    </x:row>
    <x:row r="224">
      <x:c r="A224" t="n">
        <x:v>223</x:v>
      </x:c>
      <x:c r="B224" t="n">
        <x:v>10009</x:v>
      </x:c>
      <x:c r="C224" s="16" t="n">
        <x:v>46242</x:v>
      </x:c>
      <x:c r="D224" t="str">
        <x:v>00:45:00</x:v>
      </x:c>
      <x:c r="E224" t="str">
        <x:v>Card</x:v>
      </x:c>
      <x:c r="F224" t="str">
        <x:v>Electronics</x:v>
      </x:c>
      <x:c r="G224" s="18" t="n">
        <x:v>67.17</x:v>
      </x:c>
      <x:c r="H224" t="n">
        <x:v>1</x:v>
      </x:c>
      <x:c r="I224" t="n">
        <x:v>0</x:v>
      </x:c>
      <x:c r="J224" t="n">
        <x:v>0</x:v>
      </x:c>
      <x:c r="K224" t="n">
        <x:v>1</x:v>
      </x:c>
      <x:c r="L224" t="n">
        <x:v>51</x:v>
      </x:c>
      <x:c r="M224" t="n">
        <x:v>0</x:v>
      </x:c>
      <x:c r="N224" t="str">
        <x:v>Approved</x:v>
      </x:c>
      <x:c r="O224" t="n">
        <x:v>0</x:v>
      </x:c>
      <x:c r="P224" t="str">
        <x:f>IF(L224&gt;=75,"High",IF(L224&gt;=55,"Medium","Low"))</x:f>
        <x:v>Low</x:v>
      </x:c>
    </x:row>
    <x:row r="225">
      <x:c r="A225" t="n">
        <x:v>224</x:v>
      </x:c>
      <x:c r="B225" t="n">
        <x:v>10020</x:v>
      </x:c>
      <x:c r="C225" s="16" t="n">
        <x:v>46283</x:v>
      </x:c>
      <x:c r="D225" t="str">
        <x:v>08:10:00</x:v>
      </x:c>
      <x:c r="E225" t="str">
        <x:v>P2P</x:v>
      </x:c>
      <x:c r="F225" t="str">
        <x:v>Dining</x:v>
      </x:c>
      <x:c r="G225" s="18" t="n">
        <x:v>10.92</x:v>
      </x:c>
      <x:c r="H225" t="n">
        <x:v>0</x:v>
      </x:c>
      <x:c r="I225" t="n">
        <x:v>1</x:v>
      </x:c>
      <x:c r="J225" t="n">
        <x:v>0</x:v>
      </x:c>
      <x:c r="K225" t="n">
        <x:v>0</x:v>
      </x:c>
      <x:c r="L225" t="n">
        <x:v>30</x:v>
      </x:c>
      <x:c r="M225" t="n">
        <x:v>0</x:v>
      </x:c>
      <x:c r="N225" t="str">
        <x:v>Approved</x:v>
      </x:c>
      <x:c r="O225" t="n">
        <x:v>0</x:v>
      </x:c>
      <x:c r="P225" t="str">
        <x:f>IF(L225&gt;=75,"High",IF(L225&gt;=55,"Medium","Low"))</x:f>
        <x:v>Low</x:v>
      </x:c>
    </x:row>
    <x:row r="226">
      <x:c r="A226" t="n">
        <x:v>225</x:v>
      </x:c>
      <x:c r="B226" t="n">
        <x:v>10087</x:v>
      </x:c>
      <x:c r="C226" s="16" t="n">
        <x:v>46171</x:v>
      </x:c>
      <x:c r="D226" t="str">
        <x:v>05:43:00</x:v>
      </x:c>
      <x:c r="E226" t="str">
        <x:v>P2P</x:v>
      </x:c>
      <x:c r="F226" t="str">
        <x:v>Travel</x:v>
      </x:c>
      <x:c r="G226" s="18" t="n">
        <x:v>81.94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10</x:v>
      </x:c>
      <x:c r="M226" t="n">
        <x:v>0</x:v>
      </x:c>
      <x:c r="N226" t="str">
        <x:v>Approved</x:v>
      </x:c>
      <x:c r="O226" t="n">
        <x:v>0</x:v>
      </x:c>
      <x:c r="P226" t="str">
        <x:f>IF(L226&gt;=75,"High",IF(L226&gt;=55,"Medium","Low"))</x:f>
        <x:v>Low</x:v>
      </x:c>
    </x:row>
    <x:row r="227">
      <x:c r="A227" t="n">
        <x:v>226</x:v>
      </x:c>
      <x:c r="B227" t="n">
        <x:v>10213</x:v>
      </x:c>
      <x:c r="C227" s="16" t="n">
        <x:v>46293</x:v>
      </x:c>
      <x:c r="D227" t="str">
        <x:v>19:24:00</x:v>
      </x:c>
      <x:c r="E227" t="str">
        <x:v>P2P</x:v>
      </x:c>
      <x:c r="F227" t="str">
        <x:v>Electronics</x:v>
      </x:c>
      <x:c r="G227" s="18" t="n">
        <x:v>95.09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10</x:v>
      </x:c>
      <x:c r="M227" t="n">
        <x:v>0</x:v>
      </x:c>
      <x:c r="N227" t="str">
        <x:v>Approved</x:v>
      </x:c>
      <x:c r="O227" t="n">
        <x:v>0</x:v>
      </x:c>
      <x:c r="P227" t="str">
        <x:f>IF(L227&gt;=75,"High",IF(L227&gt;=55,"Medium","Low"))</x:f>
        <x:v>Low</x:v>
      </x:c>
    </x:row>
    <x:row r="228">
      <x:c r="A228" t="n">
        <x:v>227</x:v>
      </x:c>
      <x:c r="B228" t="n">
        <x:v>10049</x:v>
      </x:c>
      <x:c r="C228" s="16" t="n">
        <x:v>46215</x:v>
      </x:c>
      <x:c r="D228" t="str">
        <x:v>06:40:00</x:v>
      </x:c>
      <x:c r="E228" t="str">
        <x:v>P2P</x:v>
      </x:c>
      <x:c r="F228" t="str">
        <x:v>Transfer</x:v>
      </x:c>
      <x:c r="G228" s="18" t="n">
        <x:v>121.89</x:v>
      </x:c>
      <x:c r="H228" t="n">
        <x:v>1</x:v>
      </x:c>
      <x:c r="I228" t="n">
        <x:v>0</x:v>
      </x:c>
      <x:c r="J228" t="n">
        <x:v>0</x:v>
      </x:c>
      <x:c r="K228" t="n">
        <x:v>0</x:v>
      </x:c>
      <x:c r="L228" t="n">
        <x:v>36</x:v>
      </x:c>
      <x:c r="M228" t="n">
        <x:v>0</x:v>
      </x:c>
      <x:c r="N228" t="str">
        <x:v>Approved</x:v>
      </x:c>
      <x:c r="O228" t="n">
        <x:v>0</x:v>
      </x:c>
      <x:c r="P228" t="str">
        <x:f>IF(L228&gt;=75,"High",IF(L228&gt;=55,"Medium","Low"))</x:f>
        <x:v>Low</x:v>
      </x:c>
    </x:row>
    <x:row r="229">
      <x:c r="A229" t="n">
        <x:v>228</x:v>
      </x:c>
      <x:c r="B229" t="n">
        <x:v>10150</x:v>
      </x:c>
      <x:c r="C229" s="16" t="n">
        <x:v>46240</x:v>
      </x:c>
      <x:c r="D229" t="str">
        <x:v>04:19:00</x:v>
      </x:c>
      <x:c r="E229" t="str">
        <x:v>Bank Transfer</x:v>
      </x:c>
      <x:c r="F229" t="str">
        <x:v>Travel</x:v>
      </x:c>
      <x:c r="G229" s="18" t="n">
        <x:v>64.77</x:v>
      </x:c>
      <x:c r="H229" t="n">
        <x:v>0</x:v>
      </x:c>
      <x:c r="I229" t="n">
        <x:v>0</x:v>
      </x:c>
      <x:c r="J229" t="n">
        <x:v>0</x:v>
      </x:c>
      <x:c r="K229" t="n">
        <x:v>1</x:v>
      </x:c>
      <x:c r="L229" t="n">
        <x:v>25</x:v>
      </x:c>
      <x:c r="M229" t="n">
        <x:v>0</x:v>
      </x:c>
      <x:c r="N229" t="str">
        <x:v>Approved</x:v>
      </x:c>
      <x:c r="O229" t="n">
        <x:v>0</x:v>
      </x:c>
      <x:c r="P229" t="str">
        <x:f>IF(L229&gt;=75,"High",IF(L229&gt;=55,"Medium","Low"))</x:f>
        <x:v>Low</x:v>
      </x:c>
    </x:row>
    <x:row r="230">
      <x:c r="A230" t="n">
        <x:v>229</x:v>
      </x:c>
      <x:c r="B230" t="n">
        <x:v>10057</x:v>
      </x:c>
      <x:c r="C230" s="16" t="n">
        <x:v>46113</x:v>
      </x:c>
      <x:c r="D230" t="str">
        <x:v>00:50:00</x:v>
      </x:c>
      <x:c r="E230" t="str">
        <x:v>P2P</x:v>
      </x:c>
      <x:c r="F230" t="str">
        <x:v>Electronics</x:v>
      </x:c>
      <x:c r="G230" s="18" t="n">
        <x:v>22.42</x:v>
      </x:c>
      <x:c r="H230" t="n">
        <x:v>0</x:v>
      </x:c>
      <x:c r="I230" t="n">
        <x:v>0</x:v>
      </x:c>
      <x:c r="J230" t="n">
        <x:v>0</x:v>
      </x:c>
      <x:c r="K230" t="n">
        <x:v>1</x:v>
      </x:c>
      <x:c r="L230" t="n">
        <x:v>25</x:v>
      </x:c>
      <x:c r="M230" t="n">
        <x:v>0</x:v>
      </x:c>
      <x:c r="N230" t="str">
        <x:v>Approved</x:v>
      </x:c>
      <x:c r="O230" t="n">
        <x:v>0</x:v>
      </x:c>
      <x:c r="P230" t="str">
        <x:f>IF(L230&gt;=75,"High",IF(L230&gt;=55,"Medium","Low"))</x:f>
        <x:v>Low</x:v>
      </x:c>
    </x:row>
    <x:row r="231">
      <x:c r="A231" t="n">
        <x:v>230</x:v>
      </x:c>
      <x:c r="B231" t="n">
        <x:v>10214</x:v>
      </x:c>
      <x:c r="C231" s="16" t="n">
        <x:v>46256</x:v>
      </x:c>
      <x:c r="D231" t="str">
        <x:v>13:03:00</x:v>
      </x:c>
      <x:c r="E231" t="str">
        <x:v>Bank Transfer</x:v>
      </x:c>
      <x:c r="F231" t="str">
        <x:v>Utilities</x:v>
      </x:c>
      <x:c r="G231" s="18" t="n">
        <x:v>29.83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10</x:v>
      </x:c>
      <x:c r="M231" t="n">
        <x:v>0</x:v>
      </x:c>
      <x:c r="N231" t="str">
        <x:v>Approved</x:v>
      </x:c>
      <x:c r="O231" t="n">
        <x:v>0</x:v>
      </x:c>
      <x:c r="P231" t="str">
        <x:f>IF(L231&gt;=75,"High",IF(L231&gt;=55,"Medium","Low"))</x:f>
        <x:v>Low</x:v>
      </x:c>
    </x:row>
    <x:row r="232">
      <x:c r="A232" t="n">
        <x:v>231</x:v>
      </x:c>
      <x:c r="B232" t="n">
        <x:v>10031</x:v>
      </x:c>
      <x:c r="C232" s="16" t="n">
        <x:v>46202</x:v>
      </x:c>
      <x:c r="D232" t="str">
        <x:v>11:36:00</x:v>
      </x:c>
      <x:c r="E232" t="str">
        <x:v>Bank Transfer</x:v>
      </x:c>
      <x:c r="F232" t="str">
        <x:v>Utilities</x:v>
      </x:c>
      <x:c r="G232" s="18" t="n">
        <x:v>163.54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10</x:v>
      </x:c>
      <x:c r="M232" t="n">
        <x:v>0</x:v>
      </x:c>
      <x:c r="N232" t="str">
        <x:v>Approved</x:v>
      </x:c>
      <x:c r="O232" t="n">
        <x:v>0</x:v>
      </x:c>
      <x:c r="P232" t="str">
        <x:f>IF(L232&gt;=75,"High",IF(L232&gt;=55,"Medium","Low"))</x:f>
        <x:v>Low</x:v>
      </x:c>
    </x:row>
    <x:row r="233">
      <x:c r="A233" t="n">
        <x:v>232</x:v>
      </x:c>
      <x:c r="B233" t="n">
        <x:v>10020</x:v>
      </x:c>
      <x:c r="C233" s="16" t="n">
        <x:v>46194</x:v>
      </x:c>
      <x:c r="D233" t="str">
        <x:v>16:56:00</x:v>
      </x:c>
      <x:c r="E233" t="str">
        <x:v>Card</x:v>
      </x:c>
      <x:c r="F233" t="str">
        <x:v>Retail</x:v>
      </x:c>
      <x:c r="G233" s="18" t="n">
        <x:v>117.04</x:v>
      </x:c>
      <x:c r="H233" t="n">
        <x:v>0</x:v>
      </x:c>
      <x:c r="I233" t="n">
        <x:v>1</x:v>
      </x:c>
      <x:c r="J233" t="n">
        <x:v>0</x:v>
      </x:c>
      <x:c r="K233" t="n">
        <x:v>0</x:v>
      </x:c>
      <x:c r="L233" t="n">
        <x:v>30</x:v>
      </x:c>
      <x:c r="M233" t="n">
        <x:v>0</x:v>
      </x:c>
      <x:c r="N233" t="str">
        <x:v>Declined</x:v>
      </x:c>
      <x:c r="O233" t="n">
        <x:v>0</x:v>
      </x:c>
      <x:c r="P233" t="str">
        <x:f>IF(L233&gt;=75,"High",IF(L233&gt;=55,"Medium","Low"))</x:f>
        <x:v>Low</x:v>
      </x:c>
    </x:row>
    <x:row r="234">
      <x:c r="A234" t="n">
        <x:v>233</x:v>
      </x:c>
      <x:c r="B234" t="n">
        <x:v>10125</x:v>
      </x:c>
      <x:c r="C234" s="16" t="n">
        <x:v>46117</x:v>
      </x:c>
      <x:c r="D234" t="str">
        <x:v>13:01:00</x:v>
      </x:c>
      <x:c r="E234" t="str">
        <x:v>Card</x:v>
      </x:c>
      <x:c r="F234" t="str">
        <x:v>Travel</x:v>
      </x:c>
      <x:c r="G234" s="18" t="n">
        <x:v>185.68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10</x:v>
      </x:c>
      <x:c r="M234" t="n">
        <x:v>0</x:v>
      </x:c>
      <x:c r="N234" t="str">
        <x:v>Approved</x:v>
      </x:c>
      <x:c r="O234" t="n">
        <x:v>0</x:v>
      </x:c>
      <x:c r="P234" t="str">
        <x:f>IF(L234&gt;=75,"High",IF(L234&gt;=55,"Medium","Low"))</x:f>
        <x:v>Low</x:v>
      </x:c>
    </x:row>
    <x:row r="235">
      <x:c r="A235" t="n">
        <x:v>234</x:v>
      </x:c>
      <x:c r="B235" t="n">
        <x:v>10314</x:v>
      </x:c>
      <x:c r="C235" s="16" t="n">
        <x:v>46127</x:v>
      </x:c>
      <x:c r="D235" t="str">
        <x:v>17:04:00</x:v>
      </x:c>
      <x:c r="E235" t="str">
        <x:v>Card</x:v>
      </x:c>
      <x:c r="F235" t="str">
        <x:v>Dining</x:v>
      </x:c>
      <x:c r="G235" s="18" t="n">
        <x:v>86.11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10</x:v>
      </x:c>
      <x:c r="M235" t="n">
        <x:v>0</x:v>
      </x:c>
      <x:c r="N235" t="str">
        <x:v>Approved</x:v>
      </x:c>
      <x:c r="O235" t="n">
        <x:v>0</x:v>
      </x:c>
      <x:c r="P235" t="str">
        <x:f>IF(L235&gt;=75,"High",IF(L235&gt;=55,"Medium","Low"))</x:f>
        <x:v>Low</x:v>
      </x:c>
    </x:row>
    <x:row r="236">
      <x:c r="A236" t="n">
        <x:v>235</x:v>
      </x:c>
      <x:c r="B236" t="n">
        <x:v>10016</x:v>
      </x:c>
      <x:c r="C236" s="16" t="n">
        <x:v>46232</x:v>
      </x:c>
      <x:c r="D236" t="str">
        <x:v>20:12:00</x:v>
      </x:c>
      <x:c r="E236" t="str">
        <x:v>P2P</x:v>
      </x:c>
      <x:c r="F236" t="str">
        <x:v>Transfer</x:v>
      </x:c>
      <x:c r="G236" s="18" t="n">
        <x:v>10.47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10</x:v>
      </x:c>
      <x:c r="M236" t="n">
        <x:v>0</x:v>
      </x:c>
      <x:c r="N236" t="str">
        <x:v>Approved</x:v>
      </x:c>
      <x:c r="O236" t="n">
        <x:v>0</x:v>
      </x:c>
      <x:c r="P236" t="str">
        <x:f>IF(L236&gt;=75,"High",IF(L236&gt;=55,"Medium","Low"))</x:f>
        <x:v>Low</x:v>
      </x:c>
    </x:row>
    <x:row r="237">
      <x:c r="A237" t="n">
        <x:v>236</x:v>
      </x:c>
      <x:c r="B237" t="n">
        <x:v>10265</x:v>
      </x:c>
      <x:c r="C237" s="16" t="n">
        <x:v>46287</x:v>
      </x:c>
      <x:c r="D237" t="str">
        <x:v>14:12:00</x:v>
      </x:c>
      <x:c r="E237" t="str">
        <x:v>Card</x:v>
      </x:c>
      <x:c r="F237" t="str">
        <x:v>Subscriptions</x:v>
      </x:c>
      <x:c r="G237" s="18" t="n">
        <x:v>105.92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10</x:v>
      </x:c>
      <x:c r="M237" t="n">
        <x:v>0</x:v>
      </x:c>
      <x:c r="N237" t="str">
        <x:v>Approved</x:v>
      </x:c>
      <x:c r="O237" t="n">
        <x:v>1</x:v>
      </x:c>
      <x:c r="P237" t="str">
        <x:f>IF(L237&gt;=75,"High",IF(L237&gt;=55,"Medium","Low"))</x:f>
        <x:v>Low</x:v>
      </x:c>
    </x:row>
    <x:row r="238">
      <x:c r="A238" t="n">
        <x:v>237</x:v>
      </x:c>
      <x:c r="B238" t="n">
        <x:v>10238</x:v>
      </x:c>
      <x:c r="C238" s="16" t="n">
        <x:v>46260</x:v>
      </x:c>
      <x:c r="D238" t="str">
        <x:v>16:48:00</x:v>
      </x:c>
      <x:c r="E238" t="str">
        <x:v>Card</x:v>
      </x:c>
      <x:c r="F238" t="str">
        <x:v>Transfer</x:v>
      </x:c>
      <x:c r="G238" s="18" t="n">
        <x:v>497.41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10</x:v>
      </x:c>
      <x:c r="M238" t="n">
        <x:v>0</x:v>
      </x:c>
      <x:c r="N238" t="str">
        <x:v>Approved</x:v>
      </x:c>
      <x:c r="O238" t="n">
        <x:v>0</x:v>
      </x:c>
      <x:c r="P238" t="str">
        <x:f>IF(L238&gt;=75,"High",IF(L238&gt;=55,"Medium","Low"))</x:f>
        <x:v>Low</x:v>
      </x:c>
    </x:row>
    <x:row r="239">
      <x:c r="A239" t="n">
        <x:v>238</x:v>
      </x:c>
      <x:c r="B239" t="n">
        <x:v>10215</x:v>
      </x:c>
      <x:c r="C239" s="16" t="n">
        <x:v>46247</x:v>
      </x:c>
      <x:c r="D239" t="str">
        <x:v>13:34:00</x:v>
      </x:c>
      <x:c r="E239" t="str">
        <x:v>Card</x:v>
      </x:c>
      <x:c r="F239" t="str">
        <x:v>Electronics</x:v>
      </x:c>
      <x:c r="G239" s="18" t="n">
        <x:v>75.47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10</x:v>
      </x:c>
      <x:c r="M239" t="n">
        <x:v>0</x:v>
      </x:c>
      <x:c r="N239" t="str">
        <x:v>Approved</x:v>
      </x:c>
      <x:c r="O239" t="n">
        <x:v>0</x:v>
      </x:c>
      <x:c r="P239" t="str">
        <x:f>IF(L239&gt;=75,"High",IF(L239&gt;=55,"Medium","Low"))</x:f>
        <x:v>Low</x:v>
      </x:c>
    </x:row>
    <x:row r="240">
      <x:c r="A240" t="n">
        <x:v>239</x:v>
      </x:c>
      <x:c r="B240" t="n">
        <x:v>10270</x:v>
      </x:c>
      <x:c r="C240" s="16" t="n">
        <x:v>46188</x:v>
      </x:c>
      <x:c r="D240" t="str">
        <x:v>06:15:00</x:v>
      </x:c>
      <x:c r="E240" t="str">
        <x:v>Card</x:v>
      </x:c>
      <x:c r="F240" t="str">
        <x:v>Dining</x:v>
      </x:c>
      <x:c r="G240" s="18" t="n">
        <x:v>403.07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10</x:v>
      </x:c>
      <x:c r="M240" t="n">
        <x:v>0</x:v>
      </x:c>
      <x:c r="N240" t="str">
        <x:v>Approved</x:v>
      </x:c>
      <x:c r="O240" t="n">
        <x:v>0</x:v>
      </x:c>
      <x:c r="P240" t="str">
        <x:f>IF(L240&gt;=75,"High",IF(L240&gt;=55,"Medium","Low"))</x:f>
        <x:v>Low</x:v>
      </x:c>
    </x:row>
    <x:row r="241">
      <x:c r="A241" t="n">
        <x:v>240</x:v>
      </x:c>
      <x:c r="B241" t="n">
        <x:v>10282</x:v>
      </x:c>
      <x:c r="C241" s="16" t="n">
        <x:v>46173</x:v>
      </x:c>
      <x:c r="D241" t="str">
        <x:v>11:49:00</x:v>
      </x:c>
      <x:c r="E241" t="str">
        <x:v>Card</x:v>
      </x:c>
      <x:c r="F241" t="str">
        <x:v>Electronics</x:v>
      </x:c>
      <x:c r="G241" s="18" t="n">
        <x:v>83.96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10</x:v>
      </x:c>
      <x:c r="M241" t="n">
        <x:v>0</x:v>
      </x:c>
      <x:c r="N241" t="str">
        <x:v>Approved</x:v>
      </x:c>
      <x:c r="O241" t="n">
        <x:v>0</x:v>
      </x:c>
      <x:c r="P241" t="str">
        <x:f>IF(L241&gt;=75,"High",IF(L241&gt;=55,"Medium","Low"))</x:f>
        <x:v>Low</x:v>
      </x:c>
    </x:row>
    <x:row r="242">
      <x:c r="A242" t="n">
        <x:v>241</x:v>
      </x:c>
      <x:c r="B242" t="n">
        <x:v>10290</x:v>
      </x:c>
      <x:c r="C242" s="16" t="n">
        <x:v>46282</x:v>
      </x:c>
      <x:c r="D242" t="str">
        <x:v>06:47:00</x:v>
      </x:c>
      <x:c r="E242" t="str">
        <x:v>Bank Transfer</x:v>
      </x:c>
      <x:c r="F242" t="str">
        <x:v>Subscriptions</x:v>
      </x:c>
      <x:c r="G242" s="18" t="n">
        <x:v>188.83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10</x:v>
      </x:c>
      <x:c r="M242" t="n">
        <x:v>0</x:v>
      </x:c>
      <x:c r="N242" t="str">
        <x:v>Approved</x:v>
      </x:c>
      <x:c r="O242" t="n">
        <x:v>0</x:v>
      </x:c>
      <x:c r="P242" t="str">
        <x:f>IF(L242&gt;=75,"High",IF(L242&gt;=55,"Medium","Low"))</x:f>
        <x:v>Low</x:v>
      </x:c>
    </x:row>
    <x:row r="243">
      <x:c r="A243" t="n">
        <x:v>242</x:v>
      </x:c>
      <x:c r="B243" t="n">
        <x:v>10120</x:v>
      </x:c>
      <x:c r="C243" s="16" t="n">
        <x:v>46288</x:v>
      </x:c>
      <x:c r="D243" t="str">
        <x:v>23:17:00</x:v>
      </x:c>
      <x:c r="E243" t="str">
        <x:v>Card</x:v>
      </x:c>
      <x:c r="F243" t="str">
        <x:v>Subscriptions</x:v>
      </x:c>
      <x:c r="G243" s="18" t="n">
        <x:v>79.32</x:v>
      </x:c>
      <x:c r="H243" t="n">
        <x:v>0</x:v>
      </x:c>
      <x:c r="I243" t="n">
        <x:v>1</x:v>
      </x:c>
      <x:c r="J243" t="n">
        <x:v>0</x:v>
      </x:c>
      <x:c r="K243" t="n">
        <x:v>0</x:v>
      </x:c>
      <x:c r="L243" t="n">
        <x:v>30</x:v>
      </x:c>
      <x:c r="M243" t="n">
        <x:v>0</x:v>
      </x:c>
      <x:c r="N243" t="str">
        <x:v>Approved</x:v>
      </x:c>
      <x:c r="O243" t="n">
        <x:v>0</x:v>
      </x:c>
      <x:c r="P243" t="str">
        <x:f>IF(L243&gt;=75,"High",IF(L243&gt;=55,"Medium","Low"))</x:f>
        <x:v>Low</x:v>
      </x:c>
    </x:row>
    <x:row r="244">
      <x:c r="A244" t="n">
        <x:v>243</x:v>
      </x:c>
      <x:c r="B244" t="n">
        <x:v>10022</x:v>
      </x:c>
      <x:c r="C244" s="16" t="n">
        <x:v>46191</x:v>
      </x:c>
      <x:c r="D244" t="str">
        <x:v>14:15:00</x:v>
      </x:c>
      <x:c r="E244" t="str">
        <x:v>P2P</x:v>
      </x:c>
      <x:c r="F244" t="str">
        <x:v>Retail</x:v>
      </x:c>
      <x:c r="G244" s="18" t="n">
        <x:v>13.71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10</x:v>
      </x:c>
      <x:c r="M244" t="n">
        <x:v>0</x:v>
      </x:c>
      <x:c r="N244" t="str">
        <x:v>Approved</x:v>
      </x:c>
      <x:c r="O244" t="n">
        <x:v>0</x:v>
      </x:c>
      <x:c r="P244" t="str">
        <x:f>IF(L244&gt;=75,"High",IF(L244&gt;=55,"Medium","Low"))</x:f>
        <x:v>Low</x:v>
      </x:c>
    </x:row>
    <x:row r="245">
      <x:c r="A245" t="n">
        <x:v>244</x:v>
      </x:c>
      <x:c r="B245" t="n">
        <x:v>10018</x:v>
      </x:c>
      <x:c r="C245" s="16" t="n">
        <x:v>46281</x:v>
      </x:c>
      <x:c r="D245" t="str">
        <x:v>07:54:00</x:v>
      </x:c>
      <x:c r="E245" t="str">
        <x:v>Bank Transfer</x:v>
      </x:c>
      <x:c r="F245" t="str">
        <x:v>Utilities</x:v>
      </x:c>
      <x:c r="G245" s="18" t="n">
        <x:v>28.97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10</x:v>
      </x:c>
      <x:c r="M245" t="n">
        <x:v>0</x:v>
      </x:c>
      <x:c r="N245" t="str">
        <x:v>Approved</x:v>
      </x:c>
      <x:c r="O245" t="n">
        <x:v>0</x:v>
      </x:c>
      <x:c r="P245" t="str">
        <x:f>IF(L245&gt;=75,"High",IF(L245&gt;=55,"Medium","Low"))</x:f>
        <x:v>Low</x:v>
      </x:c>
    </x:row>
    <x:row r="246">
      <x:c r="A246" t="n">
        <x:v>245</x:v>
      </x:c>
      <x:c r="B246" t="n">
        <x:v>10355</x:v>
      </x:c>
      <x:c r="C246" s="16" t="n">
        <x:v>46186</x:v>
      </x:c>
      <x:c r="D246" t="str">
        <x:v>05:53:00</x:v>
      </x:c>
      <x:c r="E246" t="str">
        <x:v>Card</x:v>
      </x:c>
      <x:c r="F246" t="str">
        <x:v>Travel</x:v>
      </x:c>
      <x:c r="G246" s="18" t="n">
        <x:v>1119.62</x:v>
      </x:c>
      <x:c r="H246" t="n">
        <x:v>0</x:v>
      </x:c>
      <x:c r="I246" t="n">
        <x:v>0</x:v>
      </x:c>
      <x:c r="J246" t="n">
        <x:v>1</x:v>
      </x:c>
      <x:c r="K246" t="n">
        <x:v>0</x:v>
      </x:c>
      <x:c r="L246" t="n">
        <x:v>44</x:v>
      </x:c>
      <x:c r="M246" t="n">
        <x:v>0</x:v>
      </x:c>
      <x:c r="N246" t="str">
        <x:v>Approved</x:v>
      </x:c>
      <x:c r="O246" t="n">
        <x:v>0</x:v>
      </x:c>
      <x:c r="P246" t="str">
        <x:f>IF(L246&gt;=75,"High",IF(L246&gt;=55,"Medium","Low"))</x:f>
        <x:v>Low</x:v>
      </x:c>
    </x:row>
    <x:row r="247">
      <x:c r="A247" t="n">
        <x:v>246</x:v>
      </x:c>
      <x:c r="B247" t="n">
        <x:v>10129</x:v>
      </x:c>
      <x:c r="C247" s="16" t="n">
        <x:v>46249</x:v>
      </x:c>
      <x:c r="D247" t="str">
        <x:v>04:26:00</x:v>
      </x:c>
      <x:c r="E247" t="str">
        <x:v>P2P</x:v>
      </x:c>
      <x:c r="F247" t="str">
        <x:v>Travel</x:v>
      </x:c>
      <x:c r="G247" s="18" t="n">
        <x:v>102.12</x:v>
      </x:c>
      <x:c r="H247" t="n">
        <x:v>0</x:v>
      </x:c>
      <x:c r="I247" t="n">
        <x:v>0</x:v>
      </x:c>
      <x:c r="J247" t="n">
        <x:v>0</x:v>
      </x:c>
      <x:c r="K247" t="n">
        <x:v>1</x:v>
      </x:c>
      <x:c r="L247" t="n">
        <x:v>25</x:v>
      </x:c>
      <x:c r="M247" t="n">
        <x:v>0</x:v>
      </x:c>
      <x:c r="N247" t="str">
        <x:v>Approved</x:v>
      </x:c>
      <x:c r="O247" t="n">
        <x:v>0</x:v>
      </x:c>
      <x:c r="P247" t="str">
        <x:f>IF(L247&gt;=75,"High",IF(L247&gt;=55,"Medium","Low"))</x:f>
        <x:v>Low</x:v>
      </x:c>
    </x:row>
    <x:row r="248">
      <x:c r="A248" t="n">
        <x:v>247</x:v>
      </x:c>
      <x:c r="B248" t="n">
        <x:v>10168</x:v>
      </x:c>
      <x:c r="C248" s="16" t="n">
        <x:v>46259</x:v>
      </x:c>
      <x:c r="D248" t="str">
        <x:v>11:10:00</x:v>
      </x:c>
      <x:c r="E248" t="str">
        <x:v>Card</x:v>
      </x:c>
      <x:c r="F248" t="str">
        <x:v>Electronics</x:v>
      </x:c>
      <x:c r="G248" s="18" t="n">
        <x:v>17.98</x:v>
      </x:c>
      <x:c r="H248" t="n">
        <x:v>1</x:v>
      </x:c>
      <x:c r="I248" t="n">
        <x:v>0</x:v>
      </x:c>
      <x:c r="J248" t="n">
        <x:v>0</x:v>
      </x:c>
      <x:c r="K248" t="n">
        <x:v>0</x:v>
      </x:c>
      <x:c r="L248" t="n">
        <x:v>36</x:v>
      </x:c>
      <x:c r="M248" t="n">
        <x:v>0</x:v>
      </x:c>
      <x:c r="N248" t="str">
        <x:v>Approved</x:v>
      </x:c>
      <x:c r="O248" t="n">
        <x:v>0</x:v>
      </x:c>
      <x:c r="P248" t="str">
        <x:f>IF(L248&gt;=75,"High",IF(L248&gt;=55,"Medium","Low"))</x:f>
        <x:v>Low</x:v>
      </x:c>
    </x:row>
    <x:row r="249">
      <x:c r="A249" t="n">
        <x:v>248</x:v>
      </x:c>
      <x:c r="B249" t="n">
        <x:v>10340</x:v>
      </x:c>
      <x:c r="C249" s="16" t="n">
        <x:v>46191</x:v>
      </x:c>
      <x:c r="D249" t="str">
        <x:v>22:01:00</x:v>
      </x:c>
      <x:c r="E249" t="str">
        <x:v>Bank Transfer</x:v>
      </x:c>
      <x:c r="F249" t="str">
        <x:v>Retail</x:v>
      </x:c>
      <x:c r="G249" s="18" t="n">
        <x:v>396.68</x:v>
      </x:c>
      <x:c r="H249" t="n">
        <x:v>1</x:v>
      </x:c>
      <x:c r="I249" t="n">
        <x:v>0</x:v>
      </x:c>
      <x:c r="J249" t="n">
        <x:v>0</x:v>
      </x:c>
      <x:c r="K249" t="n">
        <x:v>0</x:v>
      </x:c>
      <x:c r="L249" t="n">
        <x:v>36</x:v>
      </x:c>
      <x:c r="M249" t="n">
        <x:v>0</x:v>
      </x:c>
      <x:c r="N249" t="str">
        <x:v>Approved</x:v>
      </x:c>
      <x:c r="O249" t="n">
        <x:v>0</x:v>
      </x:c>
      <x:c r="P249" t="str">
        <x:f>IF(L249&gt;=75,"High",IF(L249&gt;=55,"Medium","Low"))</x:f>
        <x:v>Low</x:v>
      </x:c>
    </x:row>
    <x:row r="250">
      <x:c r="A250" t="n">
        <x:v>249</x:v>
      </x:c>
      <x:c r="B250" t="n">
        <x:v>10339</x:v>
      </x:c>
      <x:c r="C250" s="16" t="n">
        <x:v>46294</x:v>
      </x:c>
      <x:c r="D250" t="str">
        <x:v>06:59:00</x:v>
      </x:c>
      <x:c r="E250" t="str">
        <x:v>Card</x:v>
      </x:c>
      <x:c r="F250" t="str">
        <x:v>Transfer</x:v>
      </x:c>
      <x:c r="G250" s="18" t="n">
        <x:v>162.68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10</x:v>
      </x:c>
      <x:c r="M250" t="n">
        <x:v>0</x:v>
      </x:c>
      <x:c r="N250" t="str">
        <x:v>Approved</x:v>
      </x:c>
      <x:c r="O250" t="n">
        <x:v>0</x:v>
      </x:c>
      <x:c r="P250" t="str">
        <x:f>IF(L250&gt;=75,"High",IF(L250&gt;=55,"Medium","Low"))</x:f>
        <x:v>Low</x:v>
      </x:c>
    </x:row>
    <x:row r="251">
      <x:c r="A251" t="n">
        <x:v>250</x:v>
      </x:c>
      <x:c r="B251" t="n">
        <x:v>10300</x:v>
      </x:c>
      <x:c r="C251" s="16" t="n">
        <x:v>46138</x:v>
      </x:c>
      <x:c r="D251" t="str">
        <x:v>20:18:00</x:v>
      </x:c>
      <x:c r="E251" t="str">
        <x:v>Card</x:v>
      </x:c>
      <x:c r="F251" t="str">
        <x:v>Subscriptions</x:v>
      </x:c>
      <x:c r="G251" s="18" t="n">
        <x:v>84.08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10</x:v>
      </x:c>
      <x:c r="M251" t="n">
        <x:v>0</x:v>
      </x:c>
      <x:c r="N251" t="str">
        <x:v>Approved</x:v>
      </x:c>
      <x:c r="O251" t="n">
        <x:v>0</x:v>
      </x:c>
      <x:c r="P251" t="str">
        <x:f>IF(L251&gt;=75,"High",IF(L251&gt;=55,"Medium","Low"))</x:f>
        <x:v>Low</x:v>
      </x:c>
    </x:row>
    <x:row r="252">
      <x:c r="A252" t="n">
        <x:v>251</x:v>
      </x:c>
      <x:c r="B252" t="n">
        <x:v>10229</x:v>
      </x:c>
      <x:c r="C252" s="16" t="n">
        <x:v>46147</x:v>
      </x:c>
      <x:c r="D252" t="str">
        <x:v>23:38:00</x:v>
      </x:c>
      <x:c r="E252" t="str">
        <x:v>Card</x:v>
      </x:c>
      <x:c r="F252" t="str">
        <x:v>Dining</x:v>
      </x:c>
      <x:c r="G252" s="18" t="n">
        <x:v>200.98</x:v>
      </x:c>
      <x:c r="H252" t="n">
        <x:v>0</x:v>
      </x:c>
      <x:c r="I252" t="n">
        <x:v>1</x:v>
      </x:c>
      <x:c r="J252" t="n">
        <x:v>0</x:v>
      </x:c>
      <x:c r="K252" t="n">
        <x:v>0</x:v>
      </x:c>
      <x:c r="L252" t="n">
        <x:v>30</x:v>
      </x:c>
      <x:c r="M252" t="n">
        <x:v>0</x:v>
      </x:c>
      <x:c r="N252" t="str">
        <x:v>Approved</x:v>
      </x:c>
      <x:c r="O252" t="n">
        <x:v>0</x:v>
      </x:c>
      <x:c r="P252" t="str">
        <x:f>IF(L252&gt;=75,"High",IF(L252&gt;=55,"Medium","Low"))</x:f>
        <x:v>Low</x:v>
      </x:c>
    </x:row>
    <x:row r="253">
      <x:c r="A253" t="n">
        <x:v>252</x:v>
      </x:c>
      <x:c r="B253" t="n">
        <x:v>10095</x:v>
      </x:c>
      <x:c r="C253" s="16" t="n">
        <x:v>46181</x:v>
      </x:c>
      <x:c r="D253" t="str">
        <x:v>14:33:00</x:v>
      </x:c>
      <x:c r="E253" t="str">
        <x:v>P2P</x:v>
      </x:c>
      <x:c r="F253" t="str">
        <x:v>Retail</x:v>
      </x:c>
      <x:c r="G253" s="18" t="n">
        <x:v>60.29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10</x:v>
      </x:c>
      <x:c r="M253" t="n">
        <x:v>0</x:v>
      </x:c>
      <x:c r="N253" t="str">
        <x:v>Approved</x:v>
      </x:c>
      <x:c r="O253" t="n">
        <x:v>0</x:v>
      </x:c>
      <x:c r="P253" t="str">
        <x:f>IF(L253&gt;=75,"High",IF(L253&gt;=55,"Medium","Low"))</x:f>
        <x:v>Low</x:v>
      </x:c>
    </x:row>
    <x:row r="254">
      <x:c r="A254" t="n">
        <x:v>253</x:v>
      </x:c>
      <x:c r="B254" t="n">
        <x:v>10001</x:v>
      </x:c>
      <x:c r="C254" s="16" t="n">
        <x:v>46146</x:v>
      </x:c>
      <x:c r="D254" t="str">
        <x:v>09:06:00</x:v>
      </x:c>
      <x:c r="E254" t="str">
        <x:v>Card</x:v>
      </x:c>
      <x:c r="F254" t="str">
        <x:v>Travel</x:v>
      </x:c>
      <x:c r="G254" s="18" t="n">
        <x:v>111.19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10</x:v>
      </x:c>
      <x:c r="M254" t="n">
        <x:v>0</x:v>
      </x:c>
      <x:c r="N254" t="str">
        <x:v>Approved</x:v>
      </x:c>
      <x:c r="O254" t="n">
        <x:v>0</x:v>
      </x:c>
      <x:c r="P254" t="str">
        <x:f>IF(L254&gt;=75,"High",IF(L254&gt;=55,"Medium","Low"))</x:f>
        <x:v>Low</x:v>
      </x:c>
    </x:row>
    <x:row r="255">
      <x:c r="A255" t="n">
        <x:v>254</x:v>
      </x:c>
      <x:c r="B255" t="n">
        <x:v>10337</x:v>
      </x:c>
      <x:c r="C255" s="16" t="n">
        <x:v>46191</x:v>
      </x:c>
      <x:c r="D255" t="str">
        <x:v>01:06:00</x:v>
      </x:c>
      <x:c r="E255" t="str">
        <x:v>P2P</x:v>
      </x:c>
      <x:c r="F255" t="str">
        <x:v>Transfer</x:v>
      </x:c>
      <x:c r="G255" s="18" t="n">
        <x:v>23.43</x:v>
      </x:c>
      <x:c r="H255" t="n">
        <x:v>0</x:v>
      </x:c>
      <x:c r="I255" t="n">
        <x:v>0</x:v>
      </x:c>
      <x:c r="J255" t="n">
        <x:v>0</x:v>
      </x:c>
      <x:c r="K255" t="n">
        <x:v>1</x:v>
      </x:c>
      <x:c r="L255" t="n">
        <x:v>25</x:v>
      </x:c>
      <x:c r="M255" t="n">
        <x:v>0</x:v>
      </x:c>
      <x:c r="N255" t="str">
        <x:v>Approved</x:v>
      </x:c>
      <x:c r="O255" t="n">
        <x:v>0</x:v>
      </x:c>
      <x:c r="P255" t="str">
        <x:f>IF(L255&gt;=75,"High",IF(L255&gt;=55,"Medium","Low"))</x:f>
        <x:v>Low</x:v>
      </x:c>
    </x:row>
    <x:row r="256">
      <x:c r="A256" t="n">
        <x:v>255</x:v>
      </x:c>
      <x:c r="B256" t="n">
        <x:v>10241</x:v>
      </x:c>
      <x:c r="C256" s="16" t="n">
        <x:v>46172</x:v>
      </x:c>
      <x:c r="D256" t="str">
        <x:v>15:44:00</x:v>
      </x:c>
      <x:c r="E256" t="str">
        <x:v>Card</x:v>
      </x:c>
      <x:c r="F256" t="str">
        <x:v>Travel</x:v>
      </x:c>
      <x:c r="G256" s="18" t="n">
        <x:v>139.16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10</x:v>
      </x:c>
      <x:c r="M256" t="n">
        <x:v>0</x:v>
      </x:c>
      <x:c r="N256" t="str">
        <x:v>Declined</x:v>
      </x:c>
      <x:c r="O256" t="n">
        <x:v>0</x:v>
      </x:c>
      <x:c r="P256" t="str">
        <x:f>IF(L256&gt;=75,"High",IF(L256&gt;=55,"Medium","Low"))</x:f>
        <x:v>Low</x:v>
      </x:c>
    </x:row>
    <x:row r="257">
      <x:c r="A257" t="n">
        <x:v>256</x:v>
      </x:c>
      <x:c r="B257" t="n">
        <x:v>10057</x:v>
      </x:c>
      <x:c r="C257" s="16" t="n">
        <x:v>46196</x:v>
      </x:c>
      <x:c r="D257" t="str">
        <x:v>03:01:00</x:v>
      </x:c>
      <x:c r="E257" t="str">
        <x:v>Bank Transfer</x:v>
      </x:c>
      <x:c r="F257" t="str">
        <x:v>Dining</x:v>
      </x:c>
      <x:c r="G257" s="18" t="n">
        <x:v>46.09</x:v>
      </x:c>
      <x:c r="H257" t="n">
        <x:v>0</x:v>
      </x:c>
      <x:c r="I257" t="n">
        <x:v>0</x:v>
      </x:c>
      <x:c r="J257" t="n">
        <x:v>0</x:v>
      </x:c>
      <x:c r="K257" t="n">
        <x:v>1</x:v>
      </x:c>
      <x:c r="L257" t="n">
        <x:v>25</x:v>
      </x:c>
      <x:c r="M257" t="n">
        <x:v>0</x:v>
      </x:c>
      <x:c r="N257" t="str">
        <x:v>Approved</x:v>
      </x:c>
      <x:c r="O257" t="n">
        <x:v>0</x:v>
      </x:c>
      <x:c r="P257" t="str">
        <x:f>IF(L257&gt;=75,"High",IF(L257&gt;=55,"Medium","Low"))</x:f>
        <x:v>Low</x:v>
      </x:c>
    </x:row>
    <x:row r="258">
      <x:c r="A258" t="n">
        <x:v>257</x:v>
      </x:c>
      <x:c r="B258" t="n">
        <x:v>10159</x:v>
      </x:c>
      <x:c r="C258" s="16" t="n">
        <x:v>46212</x:v>
      </x:c>
      <x:c r="D258" t="str">
        <x:v>13:52:00</x:v>
      </x:c>
      <x:c r="E258" t="str">
        <x:v>Bank Transfer</x:v>
      </x:c>
      <x:c r="F258" t="str">
        <x:v>Dining</x:v>
      </x:c>
      <x:c r="G258" s="18" t="n">
        <x:v>172.19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10</x:v>
      </x:c>
      <x:c r="M258" t="n">
        <x:v>0</x:v>
      </x:c>
      <x:c r="N258" t="str">
        <x:v>Approved</x:v>
      </x:c>
      <x:c r="O258" t="n">
        <x:v>0</x:v>
      </x:c>
      <x:c r="P258" t="str">
        <x:f>IF(L258&gt;=75,"High",IF(L258&gt;=55,"Medium","Low"))</x:f>
        <x:v>Low</x:v>
      </x:c>
    </x:row>
    <x:row r="259">
      <x:c r="A259" t="n">
        <x:v>258</x:v>
      </x:c>
      <x:c r="B259" t="n">
        <x:v>10107</x:v>
      </x:c>
      <x:c r="C259" s="16" t="n">
        <x:v>46159</x:v>
      </x:c>
      <x:c r="D259" t="str">
        <x:v>04:04:00</x:v>
      </x:c>
      <x:c r="E259" t="str">
        <x:v>Bank Transfer</x:v>
      </x:c>
      <x:c r="F259" t="str">
        <x:v>Subscriptions</x:v>
      </x:c>
      <x:c r="G259" s="18" t="n">
        <x:v>131.81</x:v>
      </x:c>
      <x:c r="H259" t="n">
        <x:v>0</x:v>
      </x:c>
      <x:c r="I259" t="n">
        <x:v>0</x:v>
      </x:c>
      <x:c r="J259" t="n">
        <x:v>0</x:v>
      </x:c>
      <x:c r="K259" t="n">
        <x:v>1</x:v>
      </x:c>
      <x:c r="L259" t="n">
        <x:v>25</x:v>
      </x:c>
      <x:c r="M259" t="n">
        <x:v>0</x:v>
      </x:c>
      <x:c r="N259" t="str">
        <x:v>Approved</x:v>
      </x:c>
      <x:c r="O259" t="n">
        <x:v>0</x:v>
      </x:c>
      <x:c r="P259" t="str">
        <x:f>IF(L259&gt;=75,"High",IF(L259&gt;=55,"Medium","Low"))</x:f>
        <x:v>Low</x:v>
      </x:c>
    </x:row>
    <x:row r="260">
      <x:c r="A260" t="n">
        <x:v>259</x:v>
      </x:c>
      <x:c r="B260" t="n">
        <x:v>10176</x:v>
      </x:c>
      <x:c r="C260" s="16" t="n">
        <x:v>46233</x:v>
      </x:c>
      <x:c r="D260" t="str">
        <x:v>04:51:00</x:v>
      </x:c>
      <x:c r="E260" t="str">
        <x:v>Card</x:v>
      </x:c>
      <x:c r="F260" t="str">
        <x:v>Transfer</x:v>
      </x:c>
      <x:c r="G260" s="18" t="n">
        <x:v>48.78</x:v>
      </x:c>
      <x:c r="H260" t="n">
        <x:v>0</x:v>
      </x:c>
      <x:c r="I260" t="n">
        <x:v>0</x:v>
      </x:c>
      <x:c r="J260" t="n">
        <x:v>0</x:v>
      </x:c>
      <x:c r="K260" t="n">
        <x:v>1</x:v>
      </x:c>
      <x:c r="L260" t="n">
        <x:v>25</x:v>
      </x:c>
      <x:c r="M260" t="n">
        <x:v>0</x:v>
      </x:c>
      <x:c r="N260" t="str">
        <x:v>Approved</x:v>
      </x:c>
      <x:c r="O260" t="n">
        <x:v>0</x:v>
      </x:c>
      <x:c r="P260" t="str">
        <x:f>IF(L260&gt;=75,"High",IF(L260&gt;=55,"Medium","Low"))</x:f>
        <x:v>Low</x:v>
      </x:c>
    </x:row>
    <x:row r="261">
      <x:c r="A261" t="n">
        <x:v>260</x:v>
      </x:c>
      <x:c r="B261" t="n">
        <x:v>10108</x:v>
      </x:c>
      <x:c r="C261" s="16" t="n">
        <x:v>46154</x:v>
      </x:c>
      <x:c r="D261" t="str">
        <x:v>14:14:00</x:v>
      </x:c>
      <x:c r="E261" t="str">
        <x:v>Card</x:v>
      </x:c>
      <x:c r="F261" t="str">
        <x:v>Dining</x:v>
      </x:c>
      <x:c r="G261" s="18" t="n">
        <x:v>224.61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10</x:v>
      </x:c>
      <x:c r="M261" t="n">
        <x:v>0</x:v>
      </x:c>
      <x:c r="N261" t="str">
        <x:v>Approved</x:v>
      </x:c>
      <x:c r="O261" t="n">
        <x:v>0</x:v>
      </x:c>
      <x:c r="P261" t="str">
        <x:f>IF(L261&gt;=75,"High",IF(L261&gt;=55,"Medium","Low"))</x:f>
        <x:v>Low</x:v>
      </x:c>
    </x:row>
    <x:row r="262">
      <x:c r="A262" t="n">
        <x:v>261</x:v>
      </x:c>
      <x:c r="B262" t="n">
        <x:v>10215</x:v>
      </x:c>
      <x:c r="C262" s="16" t="n">
        <x:v>46260</x:v>
      </x:c>
      <x:c r="D262" t="str">
        <x:v>06:35:00</x:v>
      </x:c>
      <x:c r="E262" t="str">
        <x:v>Bank Transfer</x:v>
      </x:c>
      <x:c r="F262" t="str">
        <x:v>Travel</x:v>
      </x:c>
      <x:c r="G262" s="18" t="n">
        <x:v>143.85</x:v>
      </x:c>
      <x:c r="H262" t="n">
        <x:v>1</x:v>
      </x:c>
      <x:c r="I262" t="n">
        <x:v>0</x:v>
      </x:c>
      <x:c r="J262" t="n">
        <x:v>0</x:v>
      </x:c>
      <x:c r="K262" t="n">
        <x:v>0</x:v>
      </x:c>
      <x:c r="L262" t="n">
        <x:v>36</x:v>
      </x:c>
      <x:c r="M262" t="n">
        <x:v>0</x:v>
      </x:c>
      <x:c r="N262" t="str">
        <x:v>Approved</x:v>
      </x:c>
      <x:c r="O262" t="n">
        <x:v>0</x:v>
      </x:c>
      <x:c r="P262" t="str">
        <x:f>IF(L262&gt;=75,"High",IF(L262&gt;=55,"Medium","Low"))</x:f>
        <x:v>Low</x:v>
      </x:c>
    </x:row>
    <x:row r="263">
      <x:c r="A263" t="n">
        <x:v>262</x:v>
      </x:c>
      <x:c r="B263" t="n">
        <x:v>10171</x:v>
      </x:c>
      <x:c r="C263" s="16" t="n">
        <x:v>46133</x:v>
      </x:c>
      <x:c r="D263" t="str">
        <x:v>19:44:00</x:v>
      </x:c>
      <x:c r="E263" t="str">
        <x:v>Card</x:v>
      </x:c>
      <x:c r="F263" t="str">
        <x:v>Retail</x:v>
      </x:c>
      <x:c r="G263" s="18" t="n">
        <x:v>122.94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10</x:v>
      </x:c>
      <x:c r="M263" t="n">
        <x:v>0</x:v>
      </x:c>
      <x:c r="N263" t="str">
        <x:v>Approved</x:v>
      </x:c>
      <x:c r="O263" t="n">
        <x:v>0</x:v>
      </x:c>
      <x:c r="P263" t="str">
        <x:f>IF(L263&gt;=75,"High",IF(L263&gt;=55,"Medium","Low"))</x:f>
        <x:v>Low</x:v>
      </x:c>
    </x:row>
    <x:row r="264">
      <x:c r="A264" t="n">
        <x:v>263</x:v>
      </x:c>
      <x:c r="B264" t="n">
        <x:v>10286</x:v>
      </x:c>
      <x:c r="C264" s="16" t="n">
        <x:v>46225</x:v>
      </x:c>
      <x:c r="D264" t="str">
        <x:v>14:12:00</x:v>
      </x:c>
      <x:c r="E264" t="str">
        <x:v>Card</x:v>
      </x:c>
      <x:c r="F264" t="str">
        <x:v>Utilities</x:v>
      </x:c>
      <x:c r="G264" s="18" t="n">
        <x:v>115.11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10</x:v>
      </x:c>
      <x:c r="M264" t="n">
        <x:v>0</x:v>
      </x:c>
      <x:c r="N264" t="str">
        <x:v>Approved</x:v>
      </x:c>
      <x:c r="O264" t="n">
        <x:v>0</x:v>
      </x:c>
      <x:c r="P264" t="str">
        <x:f>IF(L264&gt;=75,"High",IF(L264&gt;=55,"Medium","Low"))</x:f>
        <x:v>Low</x:v>
      </x:c>
    </x:row>
    <x:row r="265">
      <x:c r="A265" t="n">
        <x:v>264</x:v>
      </x:c>
      <x:c r="B265" t="n">
        <x:v>10151</x:v>
      </x:c>
      <x:c r="C265" s="16" t="n">
        <x:v>46169</x:v>
      </x:c>
      <x:c r="D265" t="str">
        <x:v>23:26:00</x:v>
      </x:c>
      <x:c r="E265" t="str">
        <x:v>Bank Transfer</x:v>
      </x:c>
      <x:c r="F265" t="str">
        <x:v>Retail</x:v>
      </x:c>
      <x:c r="G265" s="18" t="n">
        <x:v>81.46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10</x:v>
      </x:c>
      <x:c r="M265" t="n">
        <x:v>0</x:v>
      </x:c>
      <x:c r="N265" t="str">
        <x:v>Approved</x:v>
      </x:c>
      <x:c r="O265" t="n">
        <x:v>0</x:v>
      </x:c>
      <x:c r="P265" t="str">
        <x:f>IF(L265&gt;=75,"High",IF(L265&gt;=55,"Medium","Low"))</x:f>
        <x:v>Low</x:v>
      </x:c>
    </x:row>
    <x:row r="266">
      <x:c r="A266" t="n">
        <x:v>265</x:v>
      </x:c>
      <x:c r="B266" t="n">
        <x:v>10255</x:v>
      </x:c>
      <x:c r="C266" s="16" t="n">
        <x:v>46243</x:v>
      </x:c>
      <x:c r="D266" t="str">
        <x:v>10:17:00</x:v>
      </x:c>
      <x:c r="E266" t="str">
        <x:v>Bank Transfer</x:v>
      </x:c>
      <x:c r="F266" t="str">
        <x:v>Utilities</x:v>
      </x:c>
      <x:c r="G266" s="18" t="n">
        <x:v>101.09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10</x:v>
      </x:c>
      <x:c r="M266" t="n">
        <x:v>0</x:v>
      </x:c>
      <x:c r="N266" t="str">
        <x:v>Approved</x:v>
      </x:c>
      <x:c r="O266" t="n">
        <x:v>0</x:v>
      </x:c>
      <x:c r="P266" t="str">
        <x:f>IF(L266&gt;=75,"High",IF(L266&gt;=55,"Medium","Low"))</x:f>
        <x:v>Low</x:v>
      </x:c>
    </x:row>
    <x:row r="267">
      <x:c r="A267" t="n">
        <x:v>266</x:v>
      </x:c>
      <x:c r="B267" t="n">
        <x:v>10050</x:v>
      </x:c>
      <x:c r="C267" s="16" t="n">
        <x:v>46285</x:v>
      </x:c>
      <x:c r="D267" t="str">
        <x:v>15:42:00</x:v>
      </x:c>
      <x:c r="E267" t="str">
        <x:v>Card</x:v>
      </x:c>
      <x:c r="F267" t="str">
        <x:v>Dining</x:v>
      </x:c>
      <x:c r="G267" s="18" t="n">
        <x:v>381.12</x:v>
      </x:c>
      <x:c r="H267" t="n">
        <x:v>0</x:v>
      </x:c>
      <x:c r="I267" t="n">
        <x:v>1</x:v>
      </x:c>
      <x:c r="J267" t="n">
        <x:v>0</x:v>
      </x:c>
      <x:c r="K267" t="n">
        <x:v>0</x:v>
      </x:c>
      <x:c r="L267" t="n">
        <x:v>30</x:v>
      </x:c>
      <x:c r="M267" t="n">
        <x:v>0</x:v>
      </x:c>
      <x:c r="N267" t="str">
        <x:v>Approved</x:v>
      </x:c>
      <x:c r="O267" t="n">
        <x:v>0</x:v>
      </x:c>
      <x:c r="P267" t="str">
        <x:f>IF(L267&gt;=75,"High",IF(L267&gt;=55,"Medium","Low"))</x:f>
        <x:v>Low</x:v>
      </x:c>
    </x:row>
    <x:row r="268">
      <x:c r="A268" t="n">
        <x:v>267</x:v>
      </x:c>
      <x:c r="B268" t="n">
        <x:v>10336</x:v>
      </x:c>
      <x:c r="C268" s="16" t="n">
        <x:v>46229</x:v>
      </x:c>
      <x:c r="D268" t="str">
        <x:v>23:44:00</x:v>
      </x:c>
      <x:c r="E268" t="str">
        <x:v>Card</x:v>
      </x:c>
      <x:c r="F268" t="str">
        <x:v>Utilities</x:v>
      </x:c>
      <x:c r="G268" s="18" t="n">
        <x:v>89.34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10</x:v>
      </x:c>
      <x:c r="M268" t="n">
        <x:v>0</x:v>
      </x:c>
      <x:c r="N268" t="str">
        <x:v>Approved</x:v>
      </x:c>
      <x:c r="O268" t="n">
        <x:v>0</x:v>
      </x:c>
      <x:c r="P268" t="str">
        <x:f>IF(L268&gt;=75,"High",IF(L268&gt;=55,"Medium","Low"))</x:f>
        <x:v>Low</x:v>
      </x:c>
    </x:row>
    <x:row r="269">
      <x:c r="A269" t="n">
        <x:v>268</x:v>
      </x:c>
      <x:c r="B269" t="n">
        <x:v>10352</x:v>
      </x:c>
      <x:c r="C269" s="16" t="n">
        <x:v>46294</x:v>
      </x:c>
      <x:c r="D269" t="str">
        <x:v>19:22:00</x:v>
      </x:c>
      <x:c r="E269" t="str">
        <x:v>Card</x:v>
      </x:c>
      <x:c r="F269" t="str">
        <x:v>Transfer</x:v>
      </x:c>
      <x:c r="G269" s="18" t="n">
        <x:v>125.28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10</x:v>
      </x:c>
      <x:c r="M269" t="n">
        <x:v>0</x:v>
      </x:c>
      <x:c r="N269" t="str">
        <x:v>Approved</x:v>
      </x:c>
      <x:c r="O269" t="n">
        <x:v>0</x:v>
      </x:c>
      <x:c r="P269" t="str">
        <x:f>IF(L269&gt;=75,"High",IF(L269&gt;=55,"Medium","Low"))</x:f>
        <x:v>Low</x:v>
      </x:c>
    </x:row>
    <x:row r="270">
      <x:c r="A270" t="n">
        <x:v>269</x:v>
      </x:c>
      <x:c r="B270" t="n">
        <x:v>10066</x:v>
      </x:c>
      <x:c r="C270" s="16" t="n">
        <x:v>46139</x:v>
      </x:c>
      <x:c r="D270" t="str">
        <x:v>06:26:00</x:v>
      </x:c>
      <x:c r="E270" t="str">
        <x:v>Bank Transfer</x:v>
      </x:c>
      <x:c r="F270" t="str">
        <x:v>Travel</x:v>
      </x:c>
      <x:c r="G270" s="18" t="n">
        <x:v>44.95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10</x:v>
      </x:c>
      <x:c r="M270" t="n">
        <x:v>0</x:v>
      </x:c>
      <x:c r="N270" t="str">
        <x:v>Approved</x:v>
      </x:c>
      <x:c r="O270" t="n">
        <x:v>0</x:v>
      </x:c>
      <x:c r="P270" t="str">
        <x:f>IF(L270&gt;=75,"High",IF(L270&gt;=55,"Medium","Low"))</x:f>
        <x:v>Low</x:v>
      </x:c>
    </x:row>
    <x:row r="271">
      <x:c r="A271" t="n">
        <x:v>270</x:v>
      </x:c>
      <x:c r="B271" t="n">
        <x:v>10213</x:v>
      </x:c>
      <x:c r="C271" s="16" t="n">
        <x:v>46276</x:v>
      </x:c>
      <x:c r="D271" t="str">
        <x:v>12:15:00</x:v>
      </x:c>
      <x:c r="E271" t="str">
        <x:v>P2P</x:v>
      </x:c>
      <x:c r="F271" t="str">
        <x:v>Electronics</x:v>
      </x:c>
      <x:c r="G271" s="18" t="n">
        <x:v>209.65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10</x:v>
      </x:c>
      <x:c r="M271" t="n">
        <x:v>0</x:v>
      </x:c>
      <x:c r="N271" t="str">
        <x:v>Approved</x:v>
      </x:c>
      <x:c r="O271" t="n">
        <x:v>0</x:v>
      </x:c>
      <x:c r="P271" t="str">
        <x:f>IF(L271&gt;=75,"High",IF(L271&gt;=55,"Medium","Low"))</x:f>
        <x:v>Low</x:v>
      </x:c>
    </x:row>
    <x:row r="272">
      <x:c r="A272" t="n">
        <x:v>271</x:v>
      </x:c>
      <x:c r="B272" t="n">
        <x:v>10317</x:v>
      </x:c>
      <x:c r="C272" s="16" t="n">
        <x:v>46233</x:v>
      </x:c>
      <x:c r="D272" t="str">
        <x:v>20:30:00</x:v>
      </x:c>
      <x:c r="E272" t="str">
        <x:v>Card</x:v>
      </x:c>
      <x:c r="F272" t="str">
        <x:v>Dining</x:v>
      </x:c>
      <x:c r="G272" s="18" t="n">
        <x:v>193.53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10</x:v>
      </x:c>
      <x:c r="M272" t="n">
        <x:v>0</x:v>
      </x:c>
      <x:c r="N272" t="str">
        <x:v>Approved</x:v>
      </x:c>
      <x:c r="O272" t="n">
        <x:v>0</x:v>
      </x:c>
      <x:c r="P272" t="str">
        <x:f>IF(L272&gt;=75,"High",IF(L272&gt;=55,"Medium","Low"))</x:f>
        <x:v>Low</x:v>
      </x:c>
    </x:row>
    <x:row r="273">
      <x:c r="A273" t="n">
        <x:v>272</x:v>
      </x:c>
      <x:c r="B273" t="n">
        <x:v>10188</x:v>
      </x:c>
      <x:c r="C273" s="16" t="n">
        <x:v>46206</x:v>
      </x:c>
      <x:c r="D273" t="str">
        <x:v>19:50:00</x:v>
      </x:c>
      <x:c r="E273" t="str">
        <x:v>Bank Transfer</x:v>
      </x:c>
      <x:c r="F273" t="str">
        <x:v>Subscriptions</x:v>
      </x:c>
      <x:c r="G273" s="18" t="n">
        <x:v>89.55</x:v>
      </x:c>
      <x:c r="H273" t="n">
        <x:v>0</x:v>
      </x:c>
      <x:c r="I273" t="n">
        <x:v>1</x:v>
      </x:c>
      <x:c r="J273" t="n">
        <x:v>0</x:v>
      </x:c>
      <x:c r="K273" t="n">
        <x:v>0</x:v>
      </x:c>
      <x:c r="L273" t="n">
        <x:v>30</x:v>
      </x:c>
      <x:c r="M273" t="n">
        <x:v>0</x:v>
      </x:c>
      <x:c r="N273" t="str">
        <x:v>Approved</x:v>
      </x:c>
      <x:c r="O273" t="n">
        <x:v>0</x:v>
      </x:c>
      <x:c r="P273" t="str">
        <x:f>IF(L273&gt;=75,"High",IF(L273&gt;=55,"Medium","Low"))</x:f>
        <x:v>Low</x:v>
      </x:c>
    </x:row>
    <x:row r="274">
      <x:c r="A274" t="n">
        <x:v>273</x:v>
      </x:c>
      <x:c r="B274" t="n">
        <x:v>10057</x:v>
      </x:c>
      <x:c r="C274" s="16" t="n">
        <x:v>46185</x:v>
      </x:c>
      <x:c r="D274" t="str">
        <x:v>02:30:00</x:v>
      </x:c>
      <x:c r="E274" t="str">
        <x:v>Card</x:v>
      </x:c>
      <x:c r="F274" t="str">
        <x:v>Travel</x:v>
      </x:c>
      <x:c r="G274" s="18" t="n">
        <x:v>48.53</x:v>
      </x:c>
      <x:c r="H274" t="n">
        <x:v>0</x:v>
      </x:c>
      <x:c r="I274" t="n">
        <x:v>0</x:v>
      </x:c>
      <x:c r="J274" t="n">
        <x:v>0</x:v>
      </x:c>
      <x:c r="K274" t="n">
        <x:v>1</x:v>
      </x:c>
      <x:c r="L274" t="n">
        <x:v>25</x:v>
      </x:c>
      <x:c r="M274" t="n">
        <x:v>0</x:v>
      </x:c>
      <x:c r="N274" t="str">
        <x:v>Approved</x:v>
      </x:c>
      <x:c r="O274" t="n">
        <x:v>0</x:v>
      </x:c>
      <x:c r="P274" t="str">
        <x:f>IF(L274&gt;=75,"High",IF(L274&gt;=55,"Medium","Low"))</x:f>
        <x:v>Low</x:v>
      </x:c>
    </x:row>
    <x:row r="275">
      <x:c r="A275" t="n">
        <x:v>274</x:v>
      </x:c>
      <x:c r="B275" t="n">
        <x:v>10113</x:v>
      </x:c>
      <x:c r="C275" s="16" t="n">
        <x:v>46251</x:v>
      </x:c>
      <x:c r="D275" t="str">
        <x:v>06:56:00</x:v>
      </x:c>
      <x:c r="E275" t="str">
        <x:v>Card</x:v>
      </x:c>
      <x:c r="F275" t="str">
        <x:v>Electronics</x:v>
      </x:c>
      <x:c r="G275" s="18" t="n">
        <x:v>171.59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10</x:v>
      </x:c>
      <x:c r="M275" t="n">
        <x:v>0</x:v>
      </x:c>
      <x:c r="N275" t="str">
        <x:v>Approved</x:v>
      </x:c>
      <x:c r="O275" t="n">
        <x:v>0</x:v>
      </x:c>
      <x:c r="P275" t="str">
        <x:f>IF(L275&gt;=75,"High",IF(L275&gt;=55,"Medium","Low"))</x:f>
        <x:v>Low</x:v>
      </x:c>
    </x:row>
    <x:row r="276">
      <x:c r="A276" t="n">
        <x:v>275</x:v>
      </x:c>
      <x:c r="B276" t="n">
        <x:v>10193</x:v>
      </x:c>
      <x:c r="C276" s="16" t="n">
        <x:v>46114</x:v>
      </x:c>
      <x:c r="D276" t="str">
        <x:v>09:53:00</x:v>
      </x:c>
      <x:c r="E276" t="str">
        <x:v>Card</x:v>
      </x:c>
      <x:c r="F276" t="str">
        <x:v>Electronics</x:v>
      </x:c>
      <x:c r="G276" s="18" t="n">
        <x:v>305.58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10</x:v>
      </x:c>
      <x:c r="M276" t="n">
        <x:v>0</x:v>
      </x:c>
      <x:c r="N276" t="str">
        <x:v>Approved</x:v>
      </x:c>
      <x:c r="O276" t="n">
        <x:v>1</x:v>
      </x:c>
      <x:c r="P276" t="str">
        <x:f>IF(L276&gt;=75,"High",IF(L276&gt;=55,"Medium","Low"))</x:f>
        <x:v>Low</x:v>
      </x:c>
    </x:row>
    <x:row r="277">
      <x:c r="A277" t="n">
        <x:v>276</x:v>
      </x:c>
      <x:c r="B277" t="n">
        <x:v>10067</x:v>
      </x:c>
      <x:c r="C277" s="16" t="n">
        <x:v>46202</x:v>
      </x:c>
      <x:c r="D277" t="str">
        <x:v>17:03:00</x:v>
      </x:c>
      <x:c r="E277" t="str">
        <x:v>Card</x:v>
      </x:c>
      <x:c r="F277" t="str">
        <x:v>Subscriptions</x:v>
      </x:c>
      <x:c r="G277" s="18" t="n">
        <x:v>241.15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10</x:v>
      </x:c>
      <x:c r="M277" t="n">
        <x:v>0</x:v>
      </x:c>
      <x:c r="N277" t="str">
        <x:v>Approved</x:v>
      </x:c>
      <x:c r="O277" t="n">
        <x:v>0</x:v>
      </x:c>
      <x:c r="P277" t="str">
        <x:f>IF(L277&gt;=75,"High",IF(L277&gt;=55,"Medium","Low"))</x:f>
        <x:v>Low</x:v>
      </x:c>
    </x:row>
    <x:row r="278">
      <x:c r="A278" t="n">
        <x:v>277</x:v>
      </x:c>
      <x:c r="B278" t="n">
        <x:v>10310</x:v>
      </x:c>
      <x:c r="C278" s="16" t="n">
        <x:v>46239</x:v>
      </x:c>
      <x:c r="D278" t="str">
        <x:v>20:32:00</x:v>
      </x:c>
      <x:c r="E278" t="str">
        <x:v>Card</x:v>
      </x:c>
      <x:c r="F278" t="str">
        <x:v>Transfer</x:v>
      </x:c>
      <x:c r="G278" s="18" t="n">
        <x:v>108.71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10</x:v>
      </x:c>
      <x:c r="M278" t="n">
        <x:v>0</x:v>
      </x:c>
      <x:c r="N278" t="str">
        <x:v>Approved</x:v>
      </x:c>
      <x:c r="O278" t="n">
        <x:v>0</x:v>
      </x:c>
      <x:c r="P278" t="str">
        <x:f>IF(L278&gt;=75,"High",IF(L278&gt;=55,"Medium","Low"))</x:f>
        <x:v>Low</x:v>
      </x:c>
    </x:row>
    <x:row r="279">
      <x:c r="A279" t="n">
        <x:v>278</x:v>
      </x:c>
      <x:c r="B279" t="n">
        <x:v>10177</x:v>
      </x:c>
      <x:c r="C279" s="16" t="n">
        <x:v>46229</x:v>
      </x:c>
      <x:c r="D279" t="str">
        <x:v>12:49:00</x:v>
      </x:c>
      <x:c r="E279" t="str">
        <x:v>Card</x:v>
      </x:c>
      <x:c r="F279" t="str">
        <x:v>Retail</x:v>
      </x:c>
      <x:c r="G279" s="18" t="n">
        <x:v>136.17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10</x:v>
      </x:c>
      <x:c r="M279" t="n">
        <x:v>0</x:v>
      </x:c>
      <x:c r="N279" t="str">
        <x:v>Approved</x:v>
      </x:c>
      <x:c r="O279" t="n">
        <x:v>0</x:v>
      </x:c>
      <x:c r="P279" t="str">
        <x:f>IF(L279&gt;=75,"High",IF(L279&gt;=55,"Medium","Low"))</x:f>
        <x:v>Low</x:v>
      </x:c>
    </x:row>
    <x:row r="280">
      <x:c r="A280" t="n">
        <x:v>279</x:v>
      </x:c>
      <x:c r="B280" t="n">
        <x:v>10214</x:v>
      </x:c>
      <x:c r="C280" s="16" t="n">
        <x:v>46195</x:v>
      </x:c>
      <x:c r="D280" t="str">
        <x:v>18:11:00</x:v>
      </x:c>
      <x:c r="E280" t="str">
        <x:v>Bank Transfer</x:v>
      </x:c>
      <x:c r="F280" t="str">
        <x:v>Subscriptions</x:v>
      </x:c>
      <x:c r="G280" s="18" t="n">
        <x:v>65.65</x:v>
      </x:c>
      <x:c r="H280" t="n">
        <x:v>1</x:v>
      </x:c>
      <x:c r="I280" t="n">
        <x:v>0</x:v>
      </x:c>
      <x:c r="J280" t="n">
        <x:v>0</x:v>
      </x:c>
      <x:c r="K280" t="n">
        <x:v>0</x:v>
      </x:c>
      <x:c r="L280" t="n">
        <x:v>36</x:v>
      </x:c>
      <x:c r="M280" t="n">
        <x:v>0</x:v>
      </x:c>
      <x:c r="N280" t="str">
        <x:v>Declined</x:v>
      </x:c>
      <x:c r="O280" t="n">
        <x:v>0</x:v>
      </x:c>
      <x:c r="P280" t="str">
        <x:f>IF(L280&gt;=75,"High",IF(L280&gt;=55,"Medium","Low"))</x:f>
        <x:v>Low</x:v>
      </x:c>
    </x:row>
    <x:row r="281">
      <x:c r="A281" t="n">
        <x:v>280</x:v>
      </x:c>
      <x:c r="B281" t="n">
        <x:v>10102</x:v>
      </x:c>
      <x:c r="C281" s="16" t="n">
        <x:v>46129</x:v>
      </x:c>
      <x:c r="D281" t="str">
        <x:v>06:46:00</x:v>
      </x:c>
      <x:c r="E281" t="str">
        <x:v>Card</x:v>
      </x:c>
      <x:c r="F281" t="str">
        <x:v>Dining</x:v>
      </x:c>
      <x:c r="G281" s="18" t="n">
        <x:v>294.52</x:v>
      </x:c>
      <x:c r="H281" t="n">
        <x:v>1</x:v>
      </x:c>
      <x:c r="I281" t="n">
        <x:v>1</x:v>
      </x:c>
      <x:c r="J281" t="n">
        <x:v>0</x:v>
      </x:c>
      <x:c r="K281" t="n">
        <x:v>0</x:v>
      </x:c>
      <x:c r="L281" t="n">
        <x:v>56</x:v>
      </x:c>
      <x:c r="M281" t="n">
        <x:v>1</x:v>
      </x:c>
      <x:c r="N281" t="str">
        <x:v>Approved</x:v>
      </x:c>
      <x:c r="O281" t="n">
        <x:v>0</x:v>
      </x:c>
      <x:c r="P281" t="str">
        <x:f>IF(L281&gt;=75,"High",IF(L281&gt;=55,"Medium","Low"))</x:f>
        <x:v>Medium</x:v>
      </x:c>
    </x:row>
    <x:row r="282">
      <x:c r="A282" t="n">
        <x:v>281</x:v>
      </x:c>
      <x:c r="B282" t="n">
        <x:v>10249</x:v>
      </x:c>
      <x:c r="C282" s="16" t="n">
        <x:v>46219</x:v>
      </x:c>
      <x:c r="D282" t="str">
        <x:v>17:18:00</x:v>
      </x:c>
      <x:c r="E282" t="str">
        <x:v>Card</x:v>
      </x:c>
      <x:c r="F282" t="str">
        <x:v>Dining</x:v>
      </x:c>
      <x:c r="G282" s="18" t="n">
        <x:v>70.32</x:v>
      </x:c>
      <x:c r="H282" t="n">
        <x:v>1</x:v>
      </x:c>
      <x:c r="I282" t="n">
        <x:v>0</x:v>
      </x:c>
      <x:c r="J282" t="n">
        <x:v>0</x:v>
      </x:c>
      <x:c r="K282" t="n">
        <x:v>0</x:v>
      </x:c>
      <x:c r="L282" t="n">
        <x:v>36</x:v>
      </x:c>
      <x:c r="M282" t="n">
        <x:v>0</x:v>
      </x:c>
      <x:c r="N282" t="str">
        <x:v>Approved</x:v>
      </x:c>
      <x:c r="O282" t="n">
        <x:v>0</x:v>
      </x:c>
      <x:c r="P282" t="str">
        <x:f>IF(L282&gt;=75,"High",IF(L282&gt;=55,"Medium","Low"))</x:f>
        <x:v>Low</x:v>
      </x:c>
    </x:row>
    <x:row r="283">
      <x:c r="A283" t="n">
        <x:v>282</x:v>
      </x:c>
      <x:c r="B283" t="n">
        <x:v>10099</x:v>
      </x:c>
      <x:c r="C283" s="16" t="n">
        <x:v>46268</x:v>
      </x:c>
      <x:c r="D283" t="str">
        <x:v>07:14:00</x:v>
      </x:c>
      <x:c r="E283" t="str">
        <x:v>P2P</x:v>
      </x:c>
      <x:c r="F283" t="str">
        <x:v>Retail</x:v>
      </x:c>
      <x:c r="G283" s="18" t="n">
        <x:v>14.17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10</x:v>
      </x:c>
      <x:c r="M283" t="n">
        <x:v>0</x:v>
      </x:c>
      <x:c r="N283" t="str">
        <x:v>Approved</x:v>
      </x:c>
      <x:c r="O283" t="n">
        <x:v>0</x:v>
      </x:c>
      <x:c r="P283" t="str">
        <x:f>IF(L283&gt;=75,"High",IF(L283&gt;=55,"Medium","Low"))</x:f>
        <x:v>Low</x:v>
      </x:c>
    </x:row>
    <x:row r="284">
      <x:c r="A284" t="n">
        <x:v>283</x:v>
      </x:c>
      <x:c r="B284" t="n">
        <x:v>10270</x:v>
      </x:c>
      <x:c r="C284" s="16" t="n">
        <x:v>46273</x:v>
      </x:c>
      <x:c r="D284" t="str">
        <x:v>22:38:00</x:v>
      </x:c>
      <x:c r="E284" t="str">
        <x:v>P2P</x:v>
      </x:c>
      <x:c r="F284" t="str">
        <x:v>Transfer</x:v>
      </x:c>
      <x:c r="G284" s="18" t="n">
        <x:v>51.16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10</x:v>
      </x:c>
      <x:c r="M284" t="n">
        <x:v>0</x:v>
      </x:c>
      <x:c r="N284" t="str">
        <x:v>Approved</x:v>
      </x:c>
      <x:c r="O284" t="n">
        <x:v>0</x:v>
      </x:c>
      <x:c r="P284" t="str">
        <x:f>IF(L284&gt;=75,"High",IF(L284&gt;=55,"Medium","Low"))</x:f>
        <x:v>Low</x:v>
      </x:c>
    </x:row>
    <x:row r="285">
      <x:c r="A285" t="n">
        <x:v>284</x:v>
      </x:c>
      <x:c r="B285" t="n">
        <x:v>10039</x:v>
      </x:c>
      <x:c r="C285" s="16" t="n">
        <x:v>46240</x:v>
      </x:c>
      <x:c r="D285" t="str">
        <x:v>18:16:00</x:v>
      </x:c>
      <x:c r="E285" t="str">
        <x:v>Card</x:v>
      </x:c>
      <x:c r="F285" t="str">
        <x:v>Utilities</x:v>
      </x:c>
      <x:c r="G285" s="18" t="n">
        <x:v>45.31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10</x:v>
      </x:c>
      <x:c r="M285" t="n">
        <x:v>0</x:v>
      </x:c>
      <x:c r="N285" t="str">
        <x:v>Approved</x:v>
      </x:c>
      <x:c r="O285" t="n">
        <x:v>0</x:v>
      </x:c>
      <x:c r="P285" t="str">
        <x:f>IF(L285&gt;=75,"High",IF(L285&gt;=55,"Medium","Low"))</x:f>
        <x:v>Low</x:v>
      </x:c>
    </x:row>
    <x:row r="286">
      <x:c r="A286" t="n">
        <x:v>285</x:v>
      </x:c>
      <x:c r="B286" t="n">
        <x:v>10281</x:v>
      </x:c>
      <x:c r="C286" s="16" t="n">
        <x:v>46152</x:v>
      </x:c>
      <x:c r="D286" t="str">
        <x:v>14:08:00</x:v>
      </x:c>
      <x:c r="E286" t="str">
        <x:v>Bank Transfer</x:v>
      </x:c>
      <x:c r="F286" t="str">
        <x:v>Subscriptions</x:v>
      </x:c>
      <x:c r="G286" s="18" t="n">
        <x:v>284.6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10</x:v>
      </x:c>
      <x:c r="M286" t="n">
        <x:v>0</x:v>
      </x:c>
      <x:c r="N286" t="str">
        <x:v>Approved</x:v>
      </x:c>
      <x:c r="O286" t="n">
        <x:v>0</x:v>
      </x:c>
      <x:c r="P286" t="str">
        <x:f>IF(L286&gt;=75,"High",IF(L286&gt;=55,"Medium","Low"))</x:f>
        <x:v>Low</x:v>
      </x:c>
    </x:row>
    <x:row r="287">
      <x:c r="A287" t="n">
        <x:v>286</x:v>
      </x:c>
      <x:c r="B287" t="n">
        <x:v>10152</x:v>
      </x:c>
      <x:c r="C287" s="16" t="n">
        <x:v>46267</x:v>
      </x:c>
      <x:c r="D287" t="str">
        <x:v>05:32:00</x:v>
      </x:c>
      <x:c r="E287" t="str">
        <x:v>P2P</x:v>
      </x:c>
      <x:c r="F287" t="str">
        <x:v>Electronics</x:v>
      </x:c>
      <x:c r="G287" s="18" t="n">
        <x:v>186.79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10</x:v>
      </x:c>
      <x:c r="M287" t="n">
        <x:v>0</x:v>
      </x:c>
      <x:c r="N287" t="str">
        <x:v>Approved</x:v>
      </x:c>
      <x:c r="O287" t="n">
        <x:v>0</x:v>
      </x:c>
      <x:c r="P287" t="str">
        <x:f>IF(L287&gt;=75,"High",IF(L287&gt;=55,"Medium","Low"))</x:f>
        <x:v>Low</x:v>
      </x:c>
    </x:row>
    <x:row r="288">
      <x:c r="A288" t="n">
        <x:v>287</x:v>
      </x:c>
      <x:c r="B288" t="n">
        <x:v>10201</x:v>
      </x:c>
      <x:c r="C288" s="16" t="n">
        <x:v>46215</x:v>
      </x:c>
      <x:c r="D288" t="str">
        <x:v>01:55:00</x:v>
      </x:c>
      <x:c r="E288" t="str">
        <x:v>Card</x:v>
      </x:c>
      <x:c r="F288" t="str">
        <x:v>Transfer</x:v>
      </x:c>
      <x:c r="G288" s="18" t="n">
        <x:v>67.03</x:v>
      </x:c>
      <x:c r="H288" t="n">
        <x:v>0</x:v>
      </x:c>
      <x:c r="I288" t="n">
        <x:v>0</x:v>
      </x:c>
      <x:c r="J288" t="n">
        <x:v>0</x:v>
      </x:c>
      <x:c r="K288" t="n">
        <x:v>1</x:v>
      </x:c>
      <x:c r="L288" t="n">
        <x:v>25</x:v>
      </x:c>
      <x:c r="M288" t="n">
        <x:v>0</x:v>
      </x:c>
      <x:c r="N288" t="str">
        <x:v>Approved</x:v>
      </x:c>
      <x:c r="O288" t="n">
        <x:v>0</x:v>
      </x:c>
      <x:c r="P288" t="str">
        <x:f>IF(L288&gt;=75,"High",IF(L288&gt;=55,"Medium","Low"))</x:f>
        <x:v>Low</x:v>
      </x:c>
    </x:row>
    <x:row r="289">
      <x:c r="A289" t="n">
        <x:v>288</x:v>
      </x:c>
      <x:c r="B289" t="n">
        <x:v>10304</x:v>
      </x:c>
      <x:c r="C289" s="16" t="n">
        <x:v>46218</x:v>
      </x:c>
      <x:c r="D289" t="str">
        <x:v>14:34:00</x:v>
      </x:c>
      <x:c r="E289" t="str">
        <x:v>Card</x:v>
      </x:c>
      <x:c r="F289" t="str">
        <x:v>Utilities</x:v>
      </x:c>
      <x:c r="G289" s="18" t="n">
        <x:v>189.88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10</x:v>
      </x:c>
      <x:c r="M289" t="n">
        <x:v>0</x:v>
      </x:c>
      <x:c r="N289" t="str">
        <x:v>Approved</x:v>
      </x:c>
      <x:c r="O289" t="n">
        <x:v>0</x:v>
      </x:c>
      <x:c r="P289" t="str">
        <x:f>IF(L289&gt;=75,"High",IF(L289&gt;=55,"Medium","Low"))</x:f>
        <x:v>Low</x:v>
      </x:c>
    </x:row>
    <x:row r="290">
      <x:c r="A290" t="n">
        <x:v>289</x:v>
      </x:c>
      <x:c r="B290" t="n">
        <x:v>10121</x:v>
      </x:c>
      <x:c r="C290" s="16" t="n">
        <x:v>46116</x:v>
      </x:c>
      <x:c r="D290" t="str">
        <x:v>08:59:00</x:v>
      </x:c>
      <x:c r="E290" t="str">
        <x:v>Card</x:v>
      </x:c>
      <x:c r="F290" t="str">
        <x:v>Utilities</x:v>
      </x:c>
      <x:c r="G290" s="18" t="n">
        <x:v>55.29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10</x:v>
      </x:c>
      <x:c r="M290" t="n">
        <x:v>0</x:v>
      </x:c>
      <x:c r="N290" t="str">
        <x:v>Approved</x:v>
      </x:c>
      <x:c r="O290" t="n">
        <x:v>0</x:v>
      </x:c>
      <x:c r="P290" t="str">
        <x:f>IF(L290&gt;=75,"High",IF(L290&gt;=55,"Medium","Low"))</x:f>
        <x:v>Low</x:v>
      </x:c>
    </x:row>
    <x:row r="291">
      <x:c r="A291" t="n">
        <x:v>290</x:v>
      </x:c>
      <x:c r="B291" t="n">
        <x:v>10114</x:v>
      </x:c>
      <x:c r="C291" s="16" t="n">
        <x:v>46129</x:v>
      </x:c>
      <x:c r="D291" t="str">
        <x:v>19:24:00</x:v>
      </x:c>
      <x:c r="E291" t="str">
        <x:v>Card</x:v>
      </x:c>
      <x:c r="F291" t="str">
        <x:v>Subscriptions</x:v>
      </x:c>
      <x:c r="G291" s="18" t="n">
        <x:v>30.24</x:v>
      </x:c>
      <x:c r="H291" t="n">
        <x:v>0</x:v>
      </x:c>
      <x:c r="I291" t="n">
        <x:v>1</x:v>
      </x:c>
      <x:c r="J291" t="n">
        <x:v>0</x:v>
      </x:c>
      <x:c r="K291" t="n">
        <x:v>0</x:v>
      </x:c>
      <x:c r="L291" t="n">
        <x:v>30</x:v>
      </x:c>
      <x:c r="M291" t="n">
        <x:v>0</x:v>
      </x:c>
      <x:c r="N291" t="str">
        <x:v>Approved</x:v>
      </x:c>
      <x:c r="O291" t="n">
        <x:v>0</x:v>
      </x:c>
      <x:c r="P291" t="str">
        <x:f>IF(L291&gt;=75,"High",IF(L291&gt;=55,"Medium","Low"))</x:f>
        <x:v>Low</x:v>
      </x:c>
    </x:row>
    <x:row r="292">
      <x:c r="A292" t="n">
        <x:v>291</x:v>
      </x:c>
      <x:c r="B292" t="n">
        <x:v>10082</x:v>
      </x:c>
      <x:c r="C292" s="16" t="n">
        <x:v>46256</x:v>
      </x:c>
      <x:c r="D292" t="str">
        <x:v>07:13:00</x:v>
      </x:c>
      <x:c r="E292" t="str">
        <x:v>Bank Transfer</x:v>
      </x:c>
      <x:c r="F292" t="str">
        <x:v>Retail</x:v>
      </x:c>
      <x:c r="G292" s="18" t="n">
        <x:v>141.61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10</x:v>
      </x:c>
      <x:c r="M292" t="n">
        <x:v>0</x:v>
      </x:c>
      <x:c r="N292" t="str">
        <x:v>Approved</x:v>
      </x:c>
      <x:c r="O292" t="n">
        <x:v>0</x:v>
      </x:c>
      <x:c r="P292" t="str">
        <x:f>IF(L292&gt;=75,"High",IF(L292&gt;=55,"Medium","Low"))</x:f>
        <x:v>Low</x:v>
      </x:c>
    </x:row>
    <x:row r="293">
      <x:c r="A293" t="n">
        <x:v>292</x:v>
      </x:c>
      <x:c r="B293" t="n">
        <x:v>10182</x:v>
      </x:c>
      <x:c r="C293" s="16" t="n">
        <x:v>46196</x:v>
      </x:c>
      <x:c r="D293" t="str">
        <x:v>16:43:00</x:v>
      </x:c>
      <x:c r="E293" t="str">
        <x:v>Card</x:v>
      </x:c>
      <x:c r="F293" t="str">
        <x:v>Dining</x:v>
      </x:c>
      <x:c r="G293" s="18" t="n">
        <x:v>13.26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10</x:v>
      </x:c>
      <x:c r="M293" t="n">
        <x:v>0</x:v>
      </x:c>
      <x:c r="N293" t="str">
        <x:v>Approved</x:v>
      </x:c>
      <x:c r="O293" t="n">
        <x:v>0</x:v>
      </x:c>
      <x:c r="P293" t="str">
        <x:f>IF(L293&gt;=75,"High",IF(L293&gt;=55,"Medium","Low"))</x:f>
        <x:v>Low</x:v>
      </x:c>
    </x:row>
    <x:row r="294">
      <x:c r="A294" t="n">
        <x:v>293</x:v>
      </x:c>
      <x:c r="B294" t="n">
        <x:v>10123</x:v>
      </x:c>
      <x:c r="C294" s="16" t="n">
        <x:v>46170</x:v>
      </x:c>
      <x:c r="D294" t="str">
        <x:v>18:16:00</x:v>
      </x:c>
      <x:c r="E294" t="str">
        <x:v>Bank Transfer</x:v>
      </x:c>
      <x:c r="F294" t="str">
        <x:v>Utilities</x:v>
      </x:c>
      <x:c r="G294" s="18" t="n">
        <x:v>96.18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10</x:v>
      </x:c>
      <x:c r="M294" t="n">
        <x:v>0</x:v>
      </x:c>
      <x:c r="N294" t="str">
        <x:v>Approved</x:v>
      </x:c>
      <x:c r="O294" t="n">
        <x:v>0</x:v>
      </x:c>
      <x:c r="P294" t="str">
        <x:f>IF(L294&gt;=75,"High",IF(L294&gt;=55,"Medium","Low"))</x:f>
        <x:v>Low</x:v>
      </x:c>
    </x:row>
    <x:row r="295">
      <x:c r="A295" t="n">
        <x:v>294</x:v>
      </x:c>
      <x:c r="B295" t="n">
        <x:v>10245</x:v>
      </x:c>
      <x:c r="C295" s="16" t="n">
        <x:v>46124</x:v>
      </x:c>
      <x:c r="D295" t="str">
        <x:v>00:48:00</x:v>
      </x:c>
      <x:c r="E295" t="str">
        <x:v>P2P</x:v>
      </x:c>
      <x:c r="F295" t="str">
        <x:v>Utilities</x:v>
      </x:c>
      <x:c r="G295" s="18" t="n">
        <x:v>160.6</x:v>
      </x:c>
      <x:c r="H295" t="n">
        <x:v>0</x:v>
      </x:c>
      <x:c r="I295" t="n">
        <x:v>0</x:v>
      </x:c>
      <x:c r="J295" t="n">
        <x:v>0</x:v>
      </x:c>
      <x:c r="K295" t="n">
        <x:v>1</x:v>
      </x:c>
      <x:c r="L295" t="n">
        <x:v>25</x:v>
      </x:c>
      <x:c r="M295" t="n">
        <x:v>0</x:v>
      </x:c>
      <x:c r="N295" t="str">
        <x:v>Approved</x:v>
      </x:c>
      <x:c r="O295" t="n">
        <x:v>0</x:v>
      </x:c>
      <x:c r="P295" t="str">
        <x:f>IF(L295&gt;=75,"High",IF(L295&gt;=55,"Medium","Low"))</x:f>
        <x:v>Low</x:v>
      </x:c>
    </x:row>
    <x:row r="296">
      <x:c r="A296" t="n">
        <x:v>295</x:v>
      </x:c>
      <x:c r="B296" t="n">
        <x:v>10189</x:v>
      </x:c>
      <x:c r="C296" s="16" t="n">
        <x:v>46161</x:v>
      </x:c>
      <x:c r="D296" t="str">
        <x:v>02:55:00</x:v>
      </x:c>
      <x:c r="E296" t="str">
        <x:v>Card</x:v>
      </x:c>
      <x:c r="F296" t="str">
        <x:v>Travel</x:v>
      </x:c>
      <x:c r="G296" s="18" t="n">
        <x:v>78.85</x:v>
      </x:c>
      <x:c r="H296" t="n">
        <x:v>0</x:v>
      </x:c>
      <x:c r="I296" t="n">
        <x:v>0</x:v>
      </x:c>
      <x:c r="J296" t="n">
        <x:v>0</x:v>
      </x:c>
      <x:c r="K296" t="n">
        <x:v>1</x:v>
      </x:c>
      <x:c r="L296" t="n">
        <x:v>25</x:v>
      </x:c>
      <x:c r="M296" t="n">
        <x:v>0</x:v>
      </x:c>
      <x:c r="N296" t="str">
        <x:v>Approved</x:v>
      </x:c>
      <x:c r="O296" t="n">
        <x:v>0</x:v>
      </x:c>
      <x:c r="P296" t="str">
        <x:f>IF(L296&gt;=75,"High",IF(L296&gt;=55,"Medium","Low"))</x:f>
        <x:v>Low</x:v>
      </x:c>
    </x:row>
    <x:row r="297">
      <x:c r="A297" t="n">
        <x:v>296</x:v>
      </x:c>
      <x:c r="B297" t="n">
        <x:v>10140</x:v>
      </x:c>
      <x:c r="C297" s="16" t="n">
        <x:v>46215</x:v>
      </x:c>
      <x:c r="D297" t="str">
        <x:v>00:04:00</x:v>
      </x:c>
      <x:c r="E297" t="str">
        <x:v>Card</x:v>
      </x:c>
      <x:c r="F297" t="str">
        <x:v>Utilities</x:v>
      </x:c>
      <x:c r="G297" s="18" t="n">
        <x:v>87.42</x:v>
      </x:c>
      <x:c r="H297" t="n">
        <x:v>0</x:v>
      </x:c>
      <x:c r="I297" t="n">
        <x:v>0</x:v>
      </x:c>
      <x:c r="J297" t="n">
        <x:v>0</x:v>
      </x:c>
      <x:c r="K297" t="n">
        <x:v>1</x:v>
      </x:c>
      <x:c r="L297" t="n">
        <x:v>25</x:v>
      </x:c>
      <x:c r="M297" t="n">
        <x:v>0</x:v>
      </x:c>
      <x:c r="N297" t="str">
        <x:v>Approved</x:v>
      </x:c>
      <x:c r="O297" t="n">
        <x:v>0</x:v>
      </x:c>
      <x:c r="P297" t="str">
        <x:f>IF(L297&gt;=75,"High",IF(L297&gt;=55,"Medium","Low"))</x:f>
        <x:v>Low</x:v>
      </x:c>
    </x:row>
    <x:row r="298">
      <x:c r="A298" t="n">
        <x:v>297</x:v>
      </x:c>
      <x:c r="B298" t="n">
        <x:v>10027</x:v>
      </x:c>
      <x:c r="C298" s="16" t="n">
        <x:v>46249</x:v>
      </x:c>
      <x:c r="D298" t="str">
        <x:v>06:28:00</x:v>
      </x:c>
      <x:c r="E298" t="str">
        <x:v>Card</x:v>
      </x:c>
      <x:c r="F298" t="str">
        <x:v>Dining</x:v>
      </x:c>
      <x:c r="G298" s="18" t="n">
        <x:v>228.77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10</x:v>
      </x:c>
      <x:c r="M298" t="n">
        <x:v>0</x:v>
      </x:c>
      <x:c r="N298" t="str">
        <x:v>Declined</x:v>
      </x:c>
      <x:c r="O298" t="n">
        <x:v>0</x:v>
      </x:c>
      <x:c r="P298" t="str">
        <x:f>IF(L298&gt;=75,"High",IF(L298&gt;=55,"Medium","Low"))</x:f>
        <x:v>Low</x:v>
      </x:c>
    </x:row>
    <x:row r="299">
      <x:c r="A299" t="n">
        <x:v>298</x:v>
      </x:c>
      <x:c r="B299" t="n">
        <x:v>10159</x:v>
      </x:c>
      <x:c r="C299" s="16" t="n">
        <x:v>46165</x:v>
      </x:c>
      <x:c r="D299" t="str">
        <x:v>12:38:00</x:v>
      </x:c>
      <x:c r="E299" t="str">
        <x:v>Card</x:v>
      </x:c>
      <x:c r="F299" t="str">
        <x:v>Transfer</x:v>
      </x:c>
      <x:c r="G299" s="18" t="n">
        <x:v>70.44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10</x:v>
      </x:c>
      <x:c r="M299" t="n">
        <x:v>0</x:v>
      </x:c>
      <x:c r="N299" t="str">
        <x:v>Declined</x:v>
      </x:c>
      <x:c r="O299" t="n">
        <x:v>0</x:v>
      </x:c>
      <x:c r="P299" t="str">
        <x:f>IF(L299&gt;=75,"High",IF(L299&gt;=55,"Medium","Low"))</x:f>
        <x:v>Low</x:v>
      </x:c>
    </x:row>
    <x:row r="300">
      <x:c r="A300" t="n">
        <x:v>299</x:v>
      </x:c>
      <x:c r="B300" t="n">
        <x:v>10232</x:v>
      </x:c>
      <x:c r="C300" s="16" t="n">
        <x:v>46169</x:v>
      </x:c>
      <x:c r="D300" t="str">
        <x:v>22:06:00</x:v>
      </x:c>
      <x:c r="E300" t="str">
        <x:v>Card</x:v>
      </x:c>
      <x:c r="F300" t="str">
        <x:v>Travel</x:v>
      </x:c>
      <x:c r="G300" s="18" t="n">
        <x:v>40.63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10</x:v>
      </x:c>
      <x:c r="M300" t="n">
        <x:v>0</x:v>
      </x:c>
      <x:c r="N300" t="str">
        <x:v>Approved</x:v>
      </x:c>
      <x:c r="O300" t="n">
        <x:v>0</x:v>
      </x:c>
      <x:c r="P300" t="str">
        <x:f>IF(L300&gt;=75,"High",IF(L300&gt;=55,"Medium","Low"))</x:f>
        <x:v>Low</x:v>
      </x:c>
    </x:row>
    <x:row r="301">
      <x:c r="A301" t="n">
        <x:v>300</x:v>
      </x:c>
      <x:c r="B301" t="n">
        <x:v>10125</x:v>
      </x:c>
      <x:c r="C301" s="16" t="n">
        <x:v>46169</x:v>
      </x:c>
      <x:c r="D301" t="str">
        <x:v>05:34:00</x:v>
      </x:c>
      <x:c r="E301" t="str">
        <x:v>Bank Transfer</x:v>
      </x:c>
      <x:c r="F301" t="str">
        <x:v>Retail</x:v>
      </x:c>
      <x:c r="G301" s="18" t="n">
        <x:v>100.72</x:v>
      </x:c>
      <x:c r="H301" t="n">
        <x:v>1</x:v>
      </x:c>
      <x:c r="I301" t="n">
        <x:v>0</x:v>
      </x:c>
      <x:c r="J301" t="n">
        <x:v>0</x:v>
      </x:c>
      <x:c r="K301" t="n">
        <x:v>0</x:v>
      </x:c>
      <x:c r="L301" t="n">
        <x:v>36</x:v>
      </x:c>
      <x:c r="M301" t="n">
        <x:v>0</x:v>
      </x:c>
      <x:c r="N301" t="str">
        <x:v>Approved</x:v>
      </x:c>
      <x:c r="O301" t="n">
        <x:v>0</x:v>
      </x:c>
      <x:c r="P301" t="str">
        <x:f>IF(L301&gt;=75,"High",IF(L301&gt;=55,"Medium","Low"))</x:f>
        <x:v>Low</x:v>
      </x:c>
    </x:row>
    <x:row r="302">
      <x:c r="A302" t="n">
        <x:v>301</x:v>
      </x:c>
      <x:c r="B302" t="n">
        <x:v>10033</x:v>
      </x:c>
      <x:c r="C302" s="16" t="n">
        <x:v>46251</x:v>
      </x:c>
      <x:c r="D302" t="str">
        <x:v>02:36:00</x:v>
      </x:c>
      <x:c r="E302" t="str">
        <x:v>P2P</x:v>
      </x:c>
      <x:c r="F302" t="str">
        <x:v>Subscriptions</x:v>
      </x:c>
      <x:c r="G302" s="18" t="n">
        <x:v>42.38</x:v>
      </x:c>
      <x:c r="H302" t="n">
        <x:v>0</x:v>
      </x:c>
      <x:c r="I302" t="n">
        <x:v>0</x:v>
      </x:c>
      <x:c r="J302" t="n">
        <x:v>0</x:v>
      </x:c>
      <x:c r="K302" t="n">
        <x:v>1</x:v>
      </x:c>
      <x:c r="L302" t="n">
        <x:v>25</x:v>
      </x:c>
      <x:c r="M302" t="n">
        <x:v>0</x:v>
      </x:c>
      <x:c r="N302" t="str">
        <x:v>Approved</x:v>
      </x:c>
      <x:c r="O302" t="n">
        <x:v>0</x:v>
      </x:c>
      <x:c r="P302" t="str">
        <x:f>IF(L302&gt;=75,"High",IF(L302&gt;=55,"Medium","Low"))</x:f>
        <x:v>Low</x:v>
      </x:c>
    </x:row>
    <x:row r="303">
      <x:c r="A303" t="n">
        <x:v>302</x:v>
      </x:c>
      <x:c r="B303" t="n">
        <x:v>10044</x:v>
      </x:c>
      <x:c r="C303" s="16" t="n">
        <x:v>46159</x:v>
      </x:c>
      <x:c r="D303" t="str">
        <x:v>16:52:00</x:v>
      </x:c>
      <x:c r="E303" t="str">
        <x:v>Card</x:v>
      </x:c>
      <x:c r="F303" t="str">
        <x:v>Retail</x:v>
      </x:c>
      <x:c r="G303" s="18" t="n">
        <x:v>157.51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10</x:v>
      </x:c>
      <x:c r="M303" t="n">
        <x:v>0</x:v>
      </x:c>
      <x:c r="N303" t="str">
        <x:v>Approved</x:v>
      </x:c>
      <x:c r="O303" t="n">
        <x:v>0</x:v>
      </x:c>
      <x:c r="P303" t="str">
        <x:f>IF(L303&gt;=75,"High",IF(L303&gt;=55,"Medium","Low"))</x:f>
        <x:v>Low</x:v>
      </x:c>
    </x:row>
    <x:row r="304">
      <x:c r="A304" t="n">
        <x:v>303</x:v>
      </x:c>
      <x:c r="B304" t="n">
        <x:v>10298</x:v>
      </x:c>
      <x:c r="C304" s="16" t="n">
        <x:v>46118</x:v>
      </x:c>
      <x:c r="D304" t="str">
        <x:v>11:29:00</x:v>
      </x:c>
      <x:c r="E304" t="str">
        <x:v>Card</x:v>
      </x:c>
      <x:c r="F304" t="str">
        <x:v>Electronics</x:v>
      </x:c>
      <x:c r="G304" s="18" t="n">
        <x:v>140.38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10</x:v>
      </x:c>
      <x:c r="M304" t="n">
        <x:v>0</x:v>
      </x:c>
      <x:c r="N304" t="str">
        <x:v>Declined</x:v>
      </x:c>
      <x:c r="O304" t="n">
        <x:v>0</x:v>
      </x:c>
      <x:c r="P304" t="str">
        <x:f>IF(L304&gt;=75,"High",IF(L304&gt;=55,"Medium","Low"))</x:f>
        <x:v>Low</x:v>
      </x:c>
    </x:row>
    <x:row r="305">
      <x:c r="A305" t="n">
        <x:v>304</x:v>
      </x:c>
      <x:c r="B305" t="n">
        <x:v>10102</x:v>
      </x:c>
      <x:c r="C305" s="16" t="n">
        <x:v>46172</x:v>
      </x:c>
      <x:c r="D305" t="str">
        <x:v>18:14:00</x:v>
      </x:c>
      <x:c r="E305" t="str">
        <x:v>Card</x:v>
      </x:c>
      <x:c r="F305" t="str">
        <x:v>Dining</x:v>
      </x:c>
      <x:c r="G305" s="18" t="n">
        <x:v>38.56</x:v>
      </x:c>
      <x:c r="H305" t="n">
        <x:v>1</x:v>
      </x:c>
      <x:c r="I305" t="n">
        <x:v>0</x:v>
      </x:c>
      <x:c r="J305" t="n">
        <x:v>0</x:v>
      </x:c>
      <x:c r="K305" t="n">
        <x:v>0</x:v>
      </x:c>
      <x:c r="L305" t="n">
        <x:v>36</x:v>
      </x:c>
      <x:c r="M305" t="n">
        <x:v>0</x:v>
      </x:c>
      <x:c r="N305" t="str">
        <x:v>Approved</x:v>
      </x:c>
      <x:c r="O305" t="n">
        <x:v>0</x:v>
      </x:c>
      <x:c r="P305" t="str">
        <x:f>IF(L305&gt;=75,"High",IF(L305&gt;=55,"Medium","Low"))</x:f>
        <x:v>Low</x:v>
      </x:c>
    </x:row>
    <x:row r="306">
      <x:c r="A306" t="n">
        <x:v>305</x:v>
      </x:c>
      <x:c r="B306" t="n">
        <x:v>10296</x:v>
      </x:c>
      <x:c r="C306" s="16" t="n">
        <x:v>46144</x:v>
      </x:c>
      <x:c r="D306" t="str">
        <x:v>19:05:00</x:v>
      </x:c>
      <x:c r="E306" t="str">
        <x:v>Bank Transfer</x:v>
      </x:c>
      <x:c r="F306" t="str">
        <x:v>Dining</x:v>
      </x:c>
      <x:c r="G306" s="18" t="n">
        <x:v>136.66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10</x:v>
      </x:c>
      <x:c r="M306" t="n">
        <x:v>0</x:v>
      </x:c>
      <x:c r="N306" t="str">
        <x:v>Approved</x:v>
      </x:c>
      <x:c r="O306" t="n">
        <x:v>0</x:v>
      </x:c>
      <x:c r="P306" t="str">
        <x:f>IF(L306&gt;=75,"High",IF(L306&gt;=55,"Medium","Low"))</x:f>
        <x:v>Low</x:v>
      </x:c>
    </x:row>
    <x:row r="307">
      <x:c r="A307" t="n">
        <x:v>306</x:v>
      </x:c>
      <x:c r="B307" t="n">
        <x:v>10250</x:v>
      </x:c>
      <x:c r="C307" s="16" t="n">
        <x:v>46152</x:v>
      </x:c>
      <x:c r="D307" t="str">
        <x:v>02:19:00</x:v>
      </x:c>
      <x:c r="E307" t="str">
        <x:v>Card</x:v>
      </x:c>
      <x:c r="F307" t="str">
        <x:v>Utilities</x:v>
      </x:c>
      <x:c r="G307" s="18" t="n">
        <x:v>32.34</x:v>
      </x:c>
      <x:c r="H307" t="n">
        <x:v>0</x:v>
      </x:c>
      <x:c r="I307" t="n">
        <x:v>0</x:v>
      </x:c>
      <x:c r="J307" t="n">
        <x:v>0</x:v>
      </x:c>
      <x:c r="K307" t="n">
        <x:v>1</x:v>
      </x:c>
      <x:c r="L307" t="n">
        <x:v>25</x:v>
      </x:c>
      <x:c r="M307" t="n">
        <x:v>0</x:v>
      </x:c>
      <x:c r="N307" t="str">
        <x:v>Approved</x:v>
      </x:c>
      <x:c r="O307" t="n">
        <x:v>0</x:v>
      </x:c>
      <x:c r="P307" t="str">
        <x:f>IF(L307&gt;=75,"High",IF(L307&gt;=55,"Medium","Low"))</x:f>
        <x:v>Low</x:v>
      </x:c>
    </x:row>
    <x:row r="308">
      <x:c r="A308" t="n">
        <x:v>307</x:v>
      </x:c>
      <x:c r="B308" t="n">
        <x:v>10067</x:v>
      </x:c>
      <x:c r="C308" s="16" t="n">
        <x:v>46171</x:v>
      </x:c>
      <x:c r="D308" t="str">
        <x:v>02:22:00</x:v>
      </x:c>
      <x:c r="E308" t="str">
        <x:v>Bank Transfer</x:v>
      </x:c>
      <x:c r="F308" t="str">
        <x:v>Travel</x:v>
      </x:c>
      <x:c r="G308" s="18" t="n">
        <x:v>58.84</x:v>
      </x:c>
      <x:c r="H308" t="n">
        <x:v>1</x:v>
      </x:c>
      <x:c r="I308" t="n">
        <x:v>0</x:v>
      </x:c>
      <x:c r="J308" t="n">
        <x:v>0</x:v>
      </x:c>
      <x:c r="K308" t="n">
        <x:v>1</x:v>
      </x:c>
      <x:c r="L308" t="n">
        <x:v>51</x:v>
      </x:c>
      <x:c r="M308" t="n">
        <x:v>0</x:v>
      </x:c>
      <x:c r="N308" t="str">
        <x:v>Approved</x:v>
      </x:c>
      <x:c r="O308" t="n">
        <x:v>0</x:v>
      </x:c>
      <x:c r="P308" t="str">
        <x:f>IF(L308&gt;=75,"High",IF(L308&gt;=55,"Medium","Low"))</x:f>
        <x:v>Low</x:v>
      </x:c>
    </x:row>
    <x:row r="309">
      <x:c r="A309" t="n">
        <x:v>308</x:v>
      </x:c>
      <x:c r="B309" t="n">
        <x:v>10268</x:v>
      </x:c>
      <x:c r="C309" s="16" t="n">
        <x:v>46193</x:v>
      </x:c>
      <x:c r="D309" t="str">
        <x:v>02:33:00</x:v>
      </x:c>
      <x:c r="E309" t="str">
        <x:v>Card</x:v>
      </x:c>
      <x:c r="F309" t="str">
        <x:v>Travel</x:v>
      </x:c>
      <x:c r="G309" s="18" t="n">
        <x:v>80.66</x:v>
      </x:c>
      <x:c r="H309" t="n">
        <x:v>1</x:v>
      </x:c>
      <x:c r="I309" t="n">
        <x:v>0</x:v>
      </x:c>
      <x:c r="J309" t="n">
        <x:v>0</x:v>
      </x:c>
      <x:c r="K309" t="n">
        <x:v>1</x:v>
      </x:c>
      <x:c r="L309" t="n">
        <x:v>51</x:v>
      </x:c>
      <x:c r="M309" t="n">
        <x:v>0</x:v>
      </x:c>
      <x:c r="N309" t="str">
        <x:v>Approved</x:v>
      </x:c>
      <x:c r="O309" t="n">
        <x:v>0</x:v>
      </x:c>
      <x:c r="P309" t="str">
        <x:f>IF(L309&gt;=75,"High",IF(L309&gt;=55,"Medium","Low"))</x:f>
        <x:v>Low</x:v>
      </x:c>
    </x:row>
    <x:row r="310">
      <x:c r="A310" t="n">
        <x:v>309</x:v>
      </x:c>
      <x:c r="B310" t="n">
        <x:v>10324</x:v>
      </x:c>
      <x:c r="C310" s="16" t="n">
        <x:v>46134</x:v>
      </x:c>
      <x:c r="D310" t="str">
        <x:v>01:34:00</x:v>
      </x:c>
      <x:c r="E310" t="str">
        <x:v>Bank Transfer</x:v>
      </x:c>
      <x:c r="F310" t="str">
        <x:v>Travel</x:v>
      </x:c>
      <x:c r="G310" s="18" t="n">
        <x:v>183</x:v>
      </x:c>
      <x:c r="H310" t="n">
        <x:v>0</x:v>
      </x:c>
      <x:c r="I310" t="n">
        <x:v>0</x:v>
      </x:c>
      <x:c r="J310" t="n">
        <x:v>0</x:v>
      </x:c>
      <x:c r="K310" t="n">
        <x:v>1</x:v>
      </x:c>
      <x:c r="L310" t="n">
        <x:v>25</x:v>
      </x:c>
      <x:c r="M310" t="n">
        <x:v>0</x:v>
      </x:c>
      <x:c r="N310" t="str">
        <x:v>Approved</x:v>
      </x:c>
      <x:c r="O310" t="n">
        <x:v>0</x:v>
      </x:c>
      <x:c r="P310" t="str">
        <x:f>IF(L310&gt;=75,"High",IF(L310&gt;=55,"Medium","Low"))</x:f>
        <x:v>Low</x:v>
      </x:c>
    </x:row>
    <x:row r="311">
      <x:c r="A311" t="n">
        <x:v>310</x:v>
      </x:c>
      <x:c r="B311" t="n">
        <x:v>10138</x:v>
      </x:c>
      <x:c r="C311" s="16" t="n">
        <x:v>46243</x:v>
      </x:c>
      <x:c r="D311" t="str">
        <x:v>13:43:00</x:v>
      </x:c>
      <x:c r="E311" t="str">
        <x:v>Bank Transfer</x:v>
      </x:c>
      <x:c r="F311" t="str">
        <x:v>Transfer</x:v>
      </x:c>
      <x:c r="G311" s="18" t="n">
        <x:v>212.24</x:v>
      </x:c>
      <x:c r="H311" t="n">
        <x:v>1</x:v>
      </x:c>
      <x:c r="I311" t="n">
        <x:v>0</x:v>
      </x:c>
      <x:c r="J311" t="n">
        <x:v>0</x:v>
      </x:c>
      <x:c r="K311" t="n">
        <x:v>0</x:v>
      </x:c>
      <x:c r="L311" t="n">
        <x:v>36</x:v>
      </x:c>
      <x:c r="M311" t="n">
        <x:v>0</x:v>
      </x:c>
      <x:c r="N311" t="str">
        <x:v>Approved</x:v>
      </x:c>
      <x:c r="O311" t="n">
        <x:v>0</x:v>
      </x:c>
      <x:c r="P311" t="str">
        <x:f>IF(L311&gt;=75,"High",IF(L311&gt;=55,"Medium","Low"))</x:f>
        <x:v>Low</x:v>
      </x:c>
    </x:row>
    <x:row r="312">
      <x:c r="A312" t="n">
        <x:v>311</x:v>
      </x:c>
      <x:c r="B312" t="n">
        <x:v>10295</x:v>
      </x:c>
      <x:c r="C312" s="16" t="n">
        <x:v>46167</x:v>
      </x:c>
      <x:c r="D312" t="str">
        <x:v>15:01:00</x:v>
      </x:c>
      <x:c r="E312" t="str">
        <x:v>Bank Transfer</x:v>
      </x:c>
      <x:c r="F312" t="str">
        <x:v>Dining</x:v>
      </x:c>
      <x:c r="G312" s="18" t="n">
        <x:v>49.57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10</x:v>
      </x:c>
      <x:c r="M312" t="n">
        <x:v>0</x:v>
      </x:c>
      <x:c r="N312" t="str">
        <x:v>Approved</x:v>
      </x:c>
      <x:c r="O312" t="n">
        <x:v>0</x:v>
      </x:c>
      <x:c r="P312" t="str">
        <x:f>IF(L312&gt;=75,"High",IF(L312&gt;=55,"Medium","Low"))</x:f>
        <x:v>Low</x:v>
      </x:c>
    </x:row>
    <x:row r="313">
      <x:c r="A313" t="n">
        <x:v>312</x:v>
      </x:c>
      <x:c r="B313" t="n">
        <x:v>10165</x:v>
      </x:c>
      <x:c r="C313" s="16" t="n">
        <x:v>46189</x:v>
      </x:c>
      <x:c r="D313" t="str">
        <x:v>04:25:00</x:v>
      </x:c>
      <x:c r="E313" t="str">
        <x:v>Card</x:v>
      </x:c>
      <x:c r="F313" t="str">
        <x:v>Utilities</x:v>
      </x:c>
      <x:c r="G313" s="18" t="n">
        <x:v>46.99</x:v>
      </x:c>
      <x:c r="H313" t="n">
        <x:v>0</x:v>
      </x:c>
      <x:c r="I313" t="n">
        <x:v>0</x:v>
      </x:c>
      <x:c r="J313" t="n">
        <x:v>0</x:v>
      </x:c>
      <x:c r="K313" t="n">
        <x:v>1</x:v>
      </x:c>
      <x:c r="L313" t="n">
        <x:v>25</x:v>
      </x:c>
      <x:c r="M313" t="n">
        <x:v>0</x:v>
      </x:c>
      <x:c r="N313" t="str">
        <x:v>Approved</x:v>
      </x:c>
      <x:c r="O313" t="n">
        <x:v>0</x:v>
      </x:c>
      <x:c r="P313" t="str">
        <x:f>IF(L313&gt;=75,"High",IF(L313&gt;=55,"Medium","Low"))</x:f>
        <x:v>Low</x:v>
      </x:c>
    </x:row>
    <x:row r="314">
      <x:c r="A314" t="n">
        <x:v>313</x:v>
      </x:c>
      <x:c r="B314" t="n">
        <x:v>10077</x:v>
      </x:c>
      <x:c r="C314" s="16" t="n">
        <x:v>46216</x:v>
      </x:c>
      <x:c r="D314" t="str">
        <x:v>05:17:00</x:v>
      </x:c>
      <x:c r="E314" t="str">
        <x:v>Card</x:v>
      </x:c>
      <x:c r="F314" t="str">
        <x:v>Utilities</x:v>
      </x:c>
      <x:c r="G314" s="18" t="n">
        <x:v>969.75</x:v>
      </x:c>
      <x:c r="H314" t="n">
        <x:v>0</x:v>
      </x:c>
      <x:c r="I314" t="n">
        <x:v>0</x:v>
      </x:c>
      <x:c r="J314" t="n">
        <x:v>1</x:v>
      </x:c>
      <x:c r="K314" t="n">
        <x:v>0</x:v>
      </x:c>
      <x:c r="L314" t="n">
        <x:v>44</x:v>
      </x:c>
      <x:c r="M314" t="n">
        <x:v>0</x:v>
      </x:c>
      <x:c r="N314" t="str">
        <x:v>Approved</x:v>
      </x:c>
      <x:c r="O314" t="n">
        <x:v>0</x:v>
      </x:c>
      <x:c r="P314" t="str">
        <x:f>IF(L314&gt;=75,"High",IF(L314&gt;=55,"Medium","Low"))</x:f>
        <x:v>Low</x:v>
      </x:c>
    </x:row>
    <x:row r="315">
      <x:c r="A315" t="n">
        <x:v>314</x:v>
      </x:c>
      <x:c r="B315" t="n">
        <x:v>10057</x:v>
      </x:c>
      <x:c r="C315" s="16" t="n">
        <x:v>46168</x:v>
      </x:c>
      <x:c r="D315" t="str">
        <x:v>19:04:00</x:v>
      </x:c>
      <x:c r="E315" t="str">
        <x:v>Bank Transfer</x:v>
      </x:c>
      <x:c r="F315" t="str">
        <x:v>Subscriptions</x:v>
      </x:c>
      <x:c r="G315" s="18" t="n">
        <x:v>107.32</x:v>
      </x:c>
      <x:c r="H315" t="n">
        <x:v>1</x:v>
      </x:c>
      <x:c r="I315" t="n">
        <x:v>0</x:v>
      </x:c>
      <x:c r="J315" t="n">
        <x:v>0</x:v>
      </x:c>
      <x:c r="K315" t="n">
        <x:v>0</x:v>
      </x:c>
      <x:c r="L315" t="n">
        <x:v>36</x:v>
      </x:c>
      <x:c r="M315" t="n">
        <x:v>0</x:v>
      </x:c>
      <x:c r="N315" t="str">
        <x:v>Approved</x:v>
      </x:c>
      <x:c r="O315" t="n">
        <x:v>0</x:v>
      </x:c>
      <x:c r="P315" t="str">
        <x:f>IF(L315&gt;=75,"High",IF(L315&gt;=55,"Medium","Low"))</x:f>
        <x:v>Low</x:v>
      </x:c>
    </x:row>
    <x:row r="316">
      <x:c r="A316" t="n">
        <x:v>315</x:v>
      </x:c>
      <x:c r="B316" t="n">
        <x:v>10201</x:v>
      </x:c>
      <x:c r="C316" s="16" t="n">
        <x:v>46233</x:v>
      </x:c>
      <x:c r="D316" t="str">
        <x:v>05:58:00</x:v>
      </x:c>
      <x:c r="E316" t="str">
        <x:v>Card</x:v>
      </x:c>
      <x:c r="F316" t="str">
        <x:v>Retail</x:v>
      </x:c>
      <x:c r="G316" s="18" t="n">
        <x:v>1189.55</x:v>
      </x:c>
      <x:c r="H316" t="n">
        <x:v>0</x:v>
      </x:c>
      <x:c r="I316" t="n">
        <x:v>0</x:v>
      </x:c>
      <x:c r="J316" t="n">
        <x:v>1</x:v>
      </x:c>
      <x:c r="K316" t="n">
        <x:v>0</x:v>
      </x:c>
      <x:c r="L316" t="n">
        <x:v>44</x:v>
      </x:c>
      <x:c r="M316" t="n">
        <x:v>0</x:v>
      </x:c>
      <x:c r="N316" t="str">
        <x:v>Approved</x:v>
      </x:c>
      <x:c r="O316" t="n">
        <x:v>0</x:v>
      </x:c>
      <x:c r="P316" t="str">
        <x:f>IF(L316&gt;=75,"High",IF(L316&gt;=55,"Medium","Low"))</x:f>
        <x:v>Low</x:v>
      </x:c>
    </x:row>
    <x:row r="317">
      <x:c r="A317" t="n">
        <x:v>316</x:v>
      </x:c>
      <x:c r="B317" t="n">
        <x:v>10184</x:v>
      </x:c>
      <x:c r="C317" s="16" t="n">
        <x:v>46235</x:v>
      </x:c>
      <x:c r="D317" t="str">
        <x:v>00:45:00</x:v>
      </x:c>
      <x:c r="E317" t="str">
        <x:v>Card</x:v>
      </x:c>
      <x:c r="F317" t="str">
        <x:v>Subscriptions</x:v>
      </x:c>
      <x:c r="G317" s="18" t="n">
        <x:v>70.08</x:v>
      </x:c>
      <x:c r="H317" t="n">
        <x:v>1</x:v>
      </x:c>
      <x:c r="I317" t="n">
        <x:v>0</x:v>
      </x:c>
      <x:c r="J317" t="n">
        <x:v>0</x:v>
      </x:c>
      <x:c r="K317" t="n">
        <x:v>1</x:v>
      </x:c>
      <x:c r="L317" t="n">
        <x:v>51</x:v>
      </x:c>
      <x:c r="M317" t="n">
        <x:v>0</x:v>
      </x:c>
      <x:c r="N317" t="str">
        <x:v>Approved</x:v>
      </x:c>
      <x:c r="O317" t="n">
        <x:v>0</x:v>
      </x:c>
      <x:c r="P317" t="str">
        <x:f>IF(L317&gt;=75,"High",IF(L317&gt;=55,"Medium","Low"))</x:f>
        <x:v>Low</x:v>
      </x:c>
    </x:row>
    <x:row r="318">
      <x:c r="A318" t="n">
        <x:v>317</x:v>
      </x:c>
      <x:c r="B318" t="n">
        <x:v>10276</x:v>
      </x:c>
      <x:c r="C318" s="16" t="n">
        <x:v>46172</x:v>
      </x:c>
      <x:c r="D318" t="str">
        <x:v>17:36:00</x:v>
      </x:c>
      <x:c r="E318" t="str">
        <x:v>Card</x:v>
      </x:c>
      <x:c r="F318" t="str">
        <x:v>Dining</x:v>
      </x:c>
      <x:c r="G318" s="18" t="n">
        <x:v>39.48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10</x:v>
      </x:c>
      <x:c r="M318" t="n">
        <x:v>0</x:v>
      </x:c>
      <x:c r="N318" t="str">
        <x:v>Approved</x:v>
      </x:c>
      <x:c r="O318" t="n">
        <x:v>0</x:v>
      </x:c>
      <x:c r="P318" t="str">
        <x:f>IF(L318&gt;=75,"High",IF(L318&gt;=55,"Medium","Low"))</x:f>
        <x:v>Low</x:v>
      </x:c>
    </x:row>
    <x:row r="319">
      <x:c r="A319" t="n">
        <x:v>318</x:v>
      </x:c>
      <x:c r="B319" t="n">
        <x:v>10333</x:v>
      </x:c>
      <x:c r="C319" s="16" t="n">
        <x:v>46283</x:v>
      </x:c>
      <x:c r="D319" t="str">
        <x:v>01:36:00</x:v>
      </x:c>
      <x:c r="E319" t="str">
        <x:v>Card</x:v>
      </x:c>
      <x:c r="F319" t="str">
        <x:v>Utilities</x:v>
      </x:c>
      <x:c r="G319" s="18" t="n">
        <x:v>56.48</x:v>
      </x:c>
      <x:c r="H319" t="n">
        <x:v>0</x:v>
      </x:c>
      <x:c r="I319" t="n">
        <x:v>0</x:v>
      </x:c>
      <x:c r="J319" t="n">
        <x:v>0</x:v>
      </x:c>
      <x:c r="K319" t="n">
        <x:v>1</x:v>
      </x:c>
      <x:c r="L319" t="n">
        <x:v>25</x:v>
      </x:c>
      <x:c r="M319" t="n">
        <x:v>0</x:v>
      </x:c>
      <x:c r="N319" t="str">
        <x:v>Approved</x:v>
      </x:c>
      <x:c r="O319" t="n">
        <x:v>0</x:v>
      </x:c>
      <x:c r="P319" t="str">
        <x:f>IF(L319&gt;=75,"High",IF(L319&gt;=55,"Medium","Low"))</x:f>
        <x:v>Low</x:v>
      </x:c>
    </x:row>
    <x:row r="320">
      <x:c r="A320" t="n">
        <x:v>319</x:v>
      </x:c>
      <x:c r="B320" t="n">
        <x:v>10038</x:v>
      </x:c>
      <x:c r="C320" s="16" t="n">
        <x:v>46203</x:v>
      </x:c>
      <x:c r="D320" t="str">
        <x:v>17:02:00</x:v>
      </x:c>
      <x:c r="E320" t="str">
        <x:v>Card</x:v>
      </x:c>
      <x:c r="F320" t="str">
        <x:v>Subscriptions</x:v>
      </x:c>
      <x:c r="G320" s="18" t="n">
        <x:v>12.33</x:v>
      </x:c>
      <x:c r="H320" t="n">
        <x:v>0</x:v>
      </x:c>
      <x:c r="I320" t="n">
        <x:v>1</x:v>
      </x:c>
      <x:c r="J320" t="n">
        <x:v>0</x:v>
      </x:c>
      <x:c r="K320" t="n">
        <x:v>0</x:v>
      </x:c>
      <x:c r="L320" t="n">
        <x:v>30</x:v>
      </x:c>
      <x:c r="M320" t="n">
        <x:v>0</x:v>
      </x:c>
      <x:c r="N320" t="str">
        <x:v>Approved</x:v>
      </x:c>
      <x:c r="O320" t="n">
        <x:v>0</x:v>
      </x:c>
      <x:c r="P320" t="str">
        <x:f>IF(L320&gt;=75,"High",IF(L320&gt;=55,"Medium","Low"))</x:f>
        <x:v>Low</x:v>
      </x:c>
    </x:row>
    <x:row r="321">
      <x:c r="A321" t="n">
        <x:v>320</x:v>
      </x:c>
      <x:c r="B321" t="n">
        <x:v>10295</x:v>
      </x:c>
      <x:c r="C321" s="16" t="n">
        <x:v>46276</x:v>
      </x:c>
      <x:c r="D321" t="str">
        <x:v>02:15:00</x:v>
      </x:c>
      <x:c r="E321" t="str">
        <x:v>Bank Transfer</x:v>
      </x:c>
      <x:c r="F321" t="str">
        <x:v>Transfer</x:v>
      </x:c>
      <x:c r="G321" s="18" t="n">
        <x:v>128.54</x:v>
      </x:c>
      <x:c r="H321" t="n">
        <x:v>1</x:v>
      </x:c>
      <x:c r="I321" t="n">
        <x:v>0</x:v>
      </x:c>
      <x:c r="J321" t="n">
        <x:v>0</x:v>
      </x:c>
      <x:c r="K321" t="n">
        <x:v>1</x:v>
      </x:c>
      <x:c r="L321" t="n">
        <x:v>51</x:v>
      </x:c>
      <x:c r="M321" t="n">
        <x:v>0</x:v>
      </x:c>
      <x:c r="N321" t="str">
        <x:v>Approved</x:v>
      </x:c>
      <x:c r="O321" t="n">
        <x:v>0</x:v>
      </x:c>
      <x:c r="P321" t="str">
        <x:f>IF(L321&gt;=75,"High",IF(L321&gt;=55,"Medium","Low"))</x:f>
        <x:v>Low</x:v>
      </x:c>
    </x:row>
    <x:row r="322">
      <x:c r="A322" t="n">
        <x:v>321</x:v>
      </x:c>
      <x:c r="B322" t="n">
        <x:v>10342</x:v>
      </x:c>
      <x:c r="C322" s="16" t="n">
        <x:v>46115</x:v>
      </x:c>
      <x:c r="D322" t="str">
        <x:v>03:06:00</x:v>
      </x:c>
      <x:c r="E322" t="str">
        <x:v>Card</x:v>
      </x:c>
      <x:c r="F322" t="str">
        <x:v>Travel</x:v>
      </x:c>
      <x:c r="G322" s="18" t="n">
        <x:v>154.91</x:v>
      </x:c>
      <x:c r="H322" t="n">
        <x:v>0</x:v>
      </x:c>
      <x:c r="I322" t="n">
        <x:v>1</x:v>
      </x:c>
      <x:c r="J322" t="n">
        <x:v>0</x:v>
      </x:c>
      <x:c r="K322" t="n">
        <x:v>1</x:v>
      </x:c>
      <x:c r="L322" t="n">
        <x:v>45</x:v>
      </x:c>
      <x:c r="M322" t="n">
        <x:v>0</x:v>
      </x:c>
      <x:c r="N322" t="str">
        <x:v>Approved</x:v>
      </x:c>
      <x:c r="O322" t="n">
        <x:v>0</x:v>
      </x:c>
      <x:c r="P322" t="str">
        <x:f>IF(L322&gt;=75,"High",IF(L322&gt;=55,"Medium","Low"))</x:f>
        <x:v>Low</x:v>
      </x:c>
    </x:row>
    <x:row r="323">
      <x:c r="A323" t="n">
        <x:v>322</x:v>
      </x:c>
      <x:c r="B323" t="n">
        <x:v>10148</x:v>
      </x:c>
      <x:c r="C323" s="16" t="n">
        <x:v>46256</x:v>
      </x:c>
      <x:c r="D323" t="str">
        <x:v>04:13:00</x:v>
      </x:c>
      <x:c r="E323" t="str">
        <x:v>P2P</x:v>
      </x:c>
      <x:c r="F323" t="str">
        <x:v>Dining</x:v>
      </x:c>
      <x:c r="G323" s="18" t="n">
        <x:v>196.92</x:v>
      </x:c>
      <x:c r="H323" t="n">
        <x:v>0</x:v>
      </x:c>
      <x:c r="I323" t="n">
        <x:v>0</x:v>
      </x:c>
      <x:c r="J323" t="n">
        <x:v>0</x:v>
      </x:c>
      <x:c r="K323" t="n">
        <x:v>1</x:v>
      </x:c>
      <x:c r="L323" t="n">
        <x:v>25</x:v>
      </x:c>
      <x:c r="M323" t="n">
        <x:v>0</x:v>
      </x:c>
      <x:c r="N323" t="str">
        <x:v>Approved</x:v>
      </x:c>
      <x:c r="O323" t="n">
        <x:v>0</x:v>
      </x:c>
      <x:c r="P323" t="str">
        <x:f>IF(L323&gt;=75,"High",IF(L323&gt;=55,"Medium","Low"))</x:f>
        <x:v>Low</x:v>
      </x:c>
    </x:row>
    <x:row r="324">
      <x:c r="A324" t="n">
        <x:v>323</x:v>
      </x:c>
      <x:c r="B324" t="n">
        <x:v>10256</x:v>
      </x:c>
      <x:c r="C324" s="16" t="n">
        <x:v>46284</x:v>
      </x:c>
      <x:c r="D324" t="str">
        <x:v>16:05:00</x:v>
      </x:c>
      <x:c r="E324" t="str">
        <x:v>Card</x:v>
      </x:c>
      <x:c r="F324" t="str">
        <x:v>Subscriptions</x:v>
      </x:c>
      <x:c r="G324" s="18" t="n">
        <x:v>256.85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10</x:v>
      </x:c>
      <x:c r="M324" t="n">
        <x:v>0</x:v>
      </x:c>
      <x:c r="N324" t="str">
        <x:v>Approved</x:v>
      </x:c>
      <x:c r="O324" t="n">
        <x:v>1</x:v>
      </x:c>
      <x:c r="P324" t="str">
        <x:f>IF(L324&gt;=75,"High",IF(L324&gt;=55,"Medium","Low"))</x:f>
        <x:v>Low</x:v>
      </x:c>
    </x:row>
    <x:row r="325">
      <x:c r="A325" t="n">
        <x:v>324</x:v>
      </x:c>
      <x:c r="B325" t="n">
        <x:v>10165</x:v>
      </x:c>
      <x:c r="C325" s="16" t="n">
        <x:v>46129</x:v>
      </x:c>
      <x:c r="D325" t="str">
        <x:v>06:51:00</x:v>
      </x:c>
      <x:c r="E325" t="str">
        <x:v>P2P</x:v>
      </x:c>
      <x:c r="F325" t="str">
        <x:v>Retail</x:v>
      </x:c>
      <x:c r="G325" s="18" t="n">
        <x:v>223.48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10</x:v>
      </x:c>
      <x:c r="M325" t="n">
        <x:v>0</x:v>
      </x:c>
      <x:c r="N325" t="str">
        <x:v>Approved</x:v>
      </x:c>
      <x:c r="O325" t="n">
        <x:v>0</x:v>
      </x:c>
      <x:c r="P325" t="str">
        <x:f>IF(L325&gt;=75,"High",IF(L325&gt;=55,"Medium","Low"))</x:f>
        <x:v>Low</x:v>
      </x:c>
    </x:row>
    <x:row r="326">
      <x:c r="A326" t="n">
        <x:v>325</x:v>
      </x:c>
      <x:c r="B326" t="n">
        <x:v>10326</x:v>
      </x:c>
      <x:c r="C326" s="16" t="n">
        <x:v>46237</x:v>
      </x:c>
      <x:c r="D326" t="str">
        <x:v>05:56:00</x:v>
      </x:c>
      <x:c r="E326" t="str">
        <x:v>Card</x:v>
      </x:c>
      <x:c r="F326" t="str">
        <x:v>Travel</x:v>
      </x:c>
      <x:c r="G326" s="18" t="n">
        <x:v>24.1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10</x:v>
      </x:c>
      <x:c r="M326" t="n">
        <x:v>0</x:v>
      </x:c>
      <x:c r="N326" t="str">
        <x:v>Approved</x:v>
      </x:c>
      <x:c r="O326" t="n">
        <x:v>0</x:v>
      </x:c>
      <x:c r="P326" t="str">
        <x:f>IF(L326&gt;=75,"High",IF(L326&gt;=55,"Medium","Low"))</x:f>
        <x:v>Low</x:v>
      </x:c>
    </x:row>
    <x:row r="327">
      <x:c r="A327" t="n">
        <x:v>326</x:v>
      </x:c>
      <x:c r="B327" t="n">
        <x:v>10129</x:v>
      </x:c>
      <x:c r="C327" s="16" t="n">
        <x:v>46245</x:v>
      </x:c>
      <x:c r="D327" t="str">
        <x:v>00:47:00</x:v>
      </x:c>
      <x:c r="E327" t="str">
        <x:v>Card</x:v>
      </x:c>
      <x:c r="F327" t="str">
        <x:v>Dining</x:v>
      </x:c>
      <x:c r="G327" s="18" t="n">
        <x:v>85.41</x:v>
      </x:c>
      <x:c r="H327" t="n">
        <x:v>0</x:v>
      </x:c>
      <x:c r="I327" t="n">
        <x:v>0</x:v>
      </x:c>
      <x:c r="J327" t="n">
        <x:v>0</x:v>
      </x:c>
      <x:c r="K327" t="n">
        <x:v>1</x:v>
      </x:c>
      <x:c r="L327" t="n">
        <x:v>25</x:v>
      </x:c>
      <x:c r="M327" t="n">
        <x:v>0</x:v>
      </x:c>
      <x:c r="N327" t="str">
        <x:v>Approved</x:v>
      </x:c>
      <x:c r="O327" t="n">
        <x:v>0</x:v>
      </x:c>
      <x:c r="P327" t="str">
        <x:f>IF(L327&gt;=75,"High",IF(L327&gt;=55,"Medium","Low"))</x:f>
        <x:v>Low</x:v>
      </x:c>
    </x:row>
    <x:row r="328">
      <x:c r="A328" t="n">
        <x:v>327</x:v>
      </x:c>
      <x:c r="B328" t="n">
        <x:v>10301</x:v>
      </x:c>
      <x:c r="C328" s="16" t="n">
        <x:v>46264</x:v>
      </x:c>
      <x:c r="D328" t="str">
        <x:v>01:42:00</x:v>
      </x:c>
      <x:c r="E328" t="str">
        <x:v>Card</x:v>
      </x:c>
      <x:c r="F328" t="str">
        <x:v>Transfer</x:v>
      </x:c>
      <x:c r="G328" s="18" t="n">
        <x:v>18.88</x:v>
      </x:c>
      <x:c r="H328" t="n">
        <x:v>0</x:v>
      </x:c>
      <x:c r="I328" t="n">
        <x:v>0</x:v>
      </x:c>
      <x:c r="J328" t="n">
        <x:v>0</x:v>
      </x:c>
      <x:c r="K328" t="n">
        <x:v>1</x:v>
      </x:c>
      <x:c r="L328" t="n">
        <x:v>25</x:v>
      </x:c>
      <x:c r="M328" t="n">
        <x:v>0</x:v>
      </x:c>
      <x:c r="N328" t="str">
        <x:v>Approved</x:v>
      </x:c>
      <x:c r="O328" t="n">
        <x:v>0</x:v>
      </x:c>
      <x:c r="P328" t="str">
        <x:f>IF(L328&gt;=75,"High",IF(L328&gt;=55,"Medium","Low"))</x:f>
        <x:v>Low</x:v>
      </x:c>
    </x:row>
    <x:row r="329">
      <x:c r="A329" t="n">
        <x:v>328</x:v>
      </x:c>
      <x:c r="B329" t="n">
        <x:v>10208</x:v>
      </x:c>
      <x:c r="C329" s="16" t="n">
        <x:v>46123</x:v>
      </x:c>
      <x:c r="D329" t="str">
        <x:v>00:47:00</x:v>
      </x:c>
      <x:c r="E329" t="str">
        <x:v>Card</x:v>
      </x:c>
      <x:c r="F329" t="str">
        <x:v>Subscriptions</x:v>
      </x:c>
      <x:c r="G329" s="18" t="n">
        <x:v>43.79</x:v>
      </x:c>
      <x:c r="H329" t="n">
        <x:v>0</x:v>
      </x:c>
      <x:c r="I329" t="n">
        <x:v>0</x:v>
      </x:c>
      <x:c r="J329" t="n">
        <x:v>0</x:v>
      </x:c>
      <x:c r="K329" t="n">
        <x:v>1</x:v>
      </x:c>
      <x:c r="L329" t="n">
        <x:v>25</x:v>
      </x:c>
      <x:c r="M329" t="n">
        <x:v>0</x:v>
      </x:c>
      <x:c r="N329" t="str">
        <x:v>Approved</x:v>
      </x:c>
      <x:c r="O329" t="n">
        <x:v>0</x:v>
      </x:c>
      <x:c r="P329" t="str">
        <x:f>IF(L329&gt;=75,"High",IF(L329&gt;=55,"Medium","Low"))</x:f>
        <x:v>Low</x:v>
      </x:c>
    </x:row>
    <x:row r="330">
      <x:c r="A330" t="n">
        <x:v>329</x:v>
      </x:c>
      <x:c r="B330" t="n">
        <x:v>10083</x:v>
      </x:c>
      <x:c r="C330" s="16" t="n">
        <x:v>46265</x:v>
      </x:c>
      <x:c r="D330" t="str">
        <x:v>06:20:00</x:v>
      </x:c>
      <x:c r="E330" t="str">
        <x:v>P2P</x:v>
      </x:c>
      <x:c r="F330" t="str">
        <x:v>Travel</x:v>
      </x:c>
      <x:c r="G330" s="18" t="n">
        <x:v>96.31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10</x:v>
      </x:c>
      <x:c r="M330" t="n">
        <x:v>0</x:v>
      </x:c>
      <x:c r="N330" t="str">
        <x:v>Approved</x:v>
      </x:c>
      <x:c r="O330" t="n">
        <x:v>0</x:v>
      </x:c>
      <x:c r="P330" t="str">
        <x:f>IF(L330&gt;=75,"High",IF(L330&gt;=55,"Medium","Low"))</x:f>
        <x:v>Low</x:v>
      </x:c>
    </x:row>
    <x:row r="331">
      <x:c r="A331" t="n">
        <x:v>330</x:v>
      </x:c>
      <x:c r="B331" t="n">
        <x:v>10268</x:v>
      </x:c>
      <x:c r="C331" s="16" t="n">
        <x:v>46230</x:v>
      </x:c>
      <x:c r="D331" t="str">
        <x:v>17:40:00</x:v>
      </x:c>
      <x:c r="E331" t="str">
        <x:v>Card</x:v>
      </x:c>
      <x:c r="F331" t="str">
        <x:v>Transfer</x:v>
      </x:c>
      <x:c r="G331" s="18" t="n">
        <x:v>45.63</x:v>
      </x:c>
      <x:c r="H331" t="n">
        <x:v>0</x:v>
      </x:c>
      <x:c r="I331" t="n">
        <x:v>1</x:v>
      </x:c>
      <x:c r="J331" t="n">
        <x:v>0</x:v>
      </x:c>
      <x:c r="K331" t="n">
        <x:v>0</x:v>
      </x:c>
      <x:c r="L331" t="n">
        <x:v>30</x:v>
      </x:c>
      <x:c r="M331" t="n">
        <x:v>0</x:v>
      </x:c>
      <x:c r="N331" t="str">
        <x:v>Approved</x:v>
      </x:c>
      <x:c r="O331" t="n">
        <x:v>0</x:v>
      </x:c>
      <x:c r="P331" t="str">
        <x:f>IF(L331&gt;=75,"High",IF(L331&gt;=55,"Medium","Low"))</x:f>
        <x:v>Low</x:v>
      </x:c>
    </x:row>
    <x:row r="332">
      <x:c r="A332" t="n">
        <x:v>331</x:v>
      </x:c>
      <x:c r="B332" t="n">
        <x:v>10024</x:v>
      </x:c>
      <x:c r="C332" s="16" t="n">
        <x:v>46291</x:v>
      </x:c>
      <x:c r="D332" t="str">
        <x:v>12:20:00</x:v>
      </x:c>
      <x:c r="E332" t="str">
        <x:v>Bank Transfer</x:v>
      </x:c>
      <x:c r="F332" t="str">
        <x:v>Subscriptions</x:v>
      </x:c>
      <x:c r="G332" s="18" t="n">
        <x:v>79.6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10</x:v>
      </x:c>
      <x:c r="M332" t="n">
        <x:v>0</x:v>
      </x:c>
      <x:c r="N332" t="str">
        <x:v>Approved</x:v>
      </x:c>
      <x:c r="O332" t="n">
        <x:v>0</x:v>
      </x:c>
      <x:c r="P332" t="str">
        <x:f>IF(L332&gt;=75,"High",IF(L332&gt;=55,"Medium","Low"))</x:f>
        <x:v>Low</x:v>
      </x:c>
    </x:row>
    <x:row r="333">
      <x:c r="A333" t="n">
        <x:v>332</x:v>
      </x:c>
      <x:c r="B333" t="n">
        <x:v>10039</x:v>
      </x:c>
      <x:c r="C333" s="16" t="n">
        <x:v>46216</x:v>
      </x:c>
      <x:c r="D333" t="str">
        <x:v>20:24:00</x:v>
      </x:c>
      <x:c r="E333" t="str">
        <x:v>Card</x:v>
      </x:c>
      <x:c r="F333" t="str">
        <x:v>Retail</x:v>
      </x:c>
      <x:c r="G333" s="18" t="n">
        <x:v>86.77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10</x:v>
      </x:c>
      <x:c r="M333" t="n">
        <x:v>0</x:v>
      </x:c>
      <x:c r="N333" t="str">
        <x:v>Approved</x:v>
      </x:c>
      <x:c r="O333" t="n">
        <x:v>0</x:v>
      </x:c>
      <x:c r="P333" t="str">
        <x:f>IF(L333&gt;=75,"High",IF(L333&gt;=55,"Medium","Low"))</x:f>
        <x:v>Low</x:v>
      </x:c>
    </x:row>
    <x:row r="334">
      <x:c r="A334" t="n">
        <x:v>333</x:v>
      </x:c>
      <x:c r="B334" t="n">
        <x:v>10291</x:v>
      </x:c>
      <x:c r="C334" s="16" t="n">
        <x:v>46149</x:v>
      </x:c>
      <x:c r="D334" t="str">
        <x:v>07:31:00</x:v>
      </x:c>
      <x:c r="E334" t="str">
        <x:v>Bank Transfer</x:v>
      </x:c>
      <x:c r="F334" t="str">
        <x:v>Electronics</x:v>
      </x:c>
      <x:c r="G334" s="18" t="n">
        <x:v>307.6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10</x:v>
      </x:c>
      <x:c r="M334" t="n">
        <x:v>0</x:v>
      </x:c>
      <x:c r="N334" t="str">
        <x:v>Approved</x:v>
      </x:c>
      <x:c r="O334" t="n">
        <x:v>0</x:v>
      </x:c>
      <x:c r="P334" t="str">
        <x:f>IF(L334&gt;=75,"High",IF(L334&gt;=55,"Medium","Low"))</x:f>
        <x:v>Low</x:v>
      </x:c>
    </x:row>
    <x:row r="335">
      <x:c r="A335" t="n">
        <x:v>334</x:v>
      </x:c>
      <x:c r="B335" t="n">
        <x:v>10104</x:v>
      </x:c>
      <x:c r="C335" s="16" t="n">
        <x:v>46142</x:v>
      </x:c>
      <x:c r="D335" t="str">
        <x:v>15:15:00</x:v>
      </x:c>
      <x:c r="E335" t="str">
        <x:v>Card</x:v>
      </x:c>
      <x:c r="F335" t="str">
        <x:v>Transfer</x:v>
      </x:c>
      <x:c r="G335" s="18" t="n">
        <x:v>27.72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10</x:v>
      </x:c>
      <x:c r="M335" t="n">
        <x:v>0</x:v>
      </x:c>
      <x:c r="N335" t="str">
        <x:v>Approved</x:v>
      </x:c>
      <x:c r="O335" t="n">
        <x:v>0</x:v>
      </x:c>
      <x:c r="P335" t="str">
        <x:f>IF(L335&gt;=75,"High",IF(L335&gt;=55,"Medium","Low"))</x:f>
        <x:v>Low</x:v>
      </x:c>
    </x:row>
    <x:row r="336">
      <x:c r="A336" t="n">
        <x:v>335</x:v>
      </x:c>
      <x:c r="B336" t="n">
        <x:v>10283</x:v>
      </x:c>
      <x:c r="C336" s="16" t="n">
        <x:v>46234</x:v>
      </x:c>
      <x:c r="D336" t="str">
        <x:v>22:58:00</x:v>
      </x:c>
      <x:c r="E336" t="str">
        <x:v>Card</x:v>
      </x:c>
      <x:c r="F336" t="str">
        <x:v>Travel</x:v>
      </x:c>
      <x:c r="G336" s="18" t="n">
        <x:v>79.24</x:v>
      </x:c>
      <x:c r="H336" t="n">
        <x:v>0</x:v>
      </x:c>
      <x:c r="I336" t="n">
        <x:v>1</x:v>
      </x:c>
      <x:c r="J336" t="n">
        <x:v>0</x:v>
      </x:c>
      <x:c r="K336" t="n">
        <x:v>0</x:v>
      </x:c>
      <x:c r="L336" t="n">
        <x:v>30</x:v>
      </x:c>
      <x:c r="M336" t="n">
        <x:v>0</x:v>
      </x:c>
      <x:c r="N336" t="str">
        <x:v>Approved</x:v>
      </x:c>
      <x:c r="O336" t="n">
        <x:v>0</x:v>
      </x:c>
      <x:c r="P336" t="str">
        <x:f>IF(L336&gt;=75,"High",IF(L336&gt;=55,"Medium","Low"))</x:f>
        <x:v>Low</x:v>
      </x:c>
    </x:row>
    <x:row r="337">
      <x:c r="A337" t="n">
        <x:v>336</x:v>
      </x:c>
      <x:c r="B337" t="n">
        <x:v>10194</x:v>
      </x:c>
      <x:c r="C337" s="16" t="n">
        <x:v>46291</x:v>
      </x:c>
      <x:c r="D337" t="str">
        <x:v>16:26:00</x:v>
      </x:c>
      <x:c r="E337" t="str">
        <x:v>Bank Transfer</x:v>
      </x:c>
      <x:c r="F337" t="str">
        <x:v>Utilities</x:v>
      </x:c>
      <x:c r="G337" s="18" t="n">
        <x:v>40.82</x:v>
      </x:c>
      <x:c r="H337" t="n">
        <x:v>1</x:v>
      </x:c>
      <x:c r="I337" t="n">
        <x:v>0</x:v>
      </x:c>
      <x:c r="J337" t="n">
        <x:v>0</x:v>
      </x:c>
      <x:c r="K337" t="n">
        <x:v>0</x:v>
      </x:c>
      <x:c r="L337" t="n">
        <x:v>36</x:v>
      </x:c>
      <x:c r="M337" t="n">
        <x:v>0</x:v>
      </x:c>
      <x:c r="N337" t="str">
        <x:v>Approved</x:v>
      </x:c>
      <x:c r="O337" t="n">
        <x:v>0</x:v>
      </x:c>
      <x:c r="P337" t="str">
        <x:f>IF(L337&gt;=75,"High",IF(L337&gt;=55,"Medium","Low"))</x:f>
        <x:v>Low</x:v>
      </x:c>
    </x:row>
    <x:row r="338">
      <x:c r="A338" t="n">
        <x:v>337</x:v>
      </x:c>
      <x:c r="B338" t="n">
        <x:v>10150</x:v>
      </x:c>
      <x:c r="C338" s="16" t="n">
        <x:v>46196</x:v>
      </x:c>
      <x:c r="D338" t="str">
        <x:v>16:58:00</x:v>
      </x:c>
      <x:c r="E338" t="str">
        <x:v>Card</x:v>
      </x:c>
      <x:c r="F338" t="str">
        <x:v>Electronics</x:v>
      </x:c>
      <x:c r="G338" s="18" t="n">
        <x:v>108.74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10</x:v>
      </x:c>
      <x:c r="M338" t="n">
        <x:v>0</x:v>
      </x:c>
      <x:c r="N338" t="str">
        <x:v>Approved</x:v>
      </x:c>
      <x:c r="O338" t="n">
        <x:v>0</x:v>
      </x:c>
      <x:c r="P338" t="str">
        <x:f>IF(L338&gt;=75,"High",IF(L338&gt;=55,"Medium","Low"))</x:f>
        <x:v>Low</x:v>
      </x:c>
    </x:row>
    <x:row r="339">
      <x:c r="A339" t="n">
        <x:v>338</x:v>
      </x:c>
      <x:c r="B339" t="n">
        <x:v>10172</x:v>
      </x:c>
      <x:c r="C339" s="16" t="n">
        <x:v>46252</x:v>
      </x:c>
      <x:c r="D339" t="str">
        <x:v>01:27:00</x:v>
      </x:c>
      <x:c r="E339" t="str">
        <x:v>Card</x:v>
      </x:c>
      <x:c r="F339" t="str">
        <x:v>Transfer</x:v>
      </x:c>
      <x:c r="G339" s="18" t="n">
        <x:v>18.85</x:v>
      </x:c>
      <x:c r="H339" t="n">
        <x:v>1</x:v>
      </x:c>
      <x:c r="I339" t="n">
        <x:v>0</x:v>
      </x:c>
      <x:c r="J339" t="n">
        <x:v>0</x:v>
      </x:c>
      <x:c r="K339" t="n">
        <x:v>1</x:v>
      </x:c>
      <x:c r="L339" t="n">
        <x:v>51</x:v>
      </x:c>
      <x:c r="M339" t="n">
        <x:v>0</x:v>
      </x:c>
      <x:c r="N339" t="str">
        <x:v>Approved</x:v>
      </x:c>
      <x:c r="O339" t="n">
        <x:v>0</x:v>
      </x:c>
      <x:c r="P339" t="str">
        <x:f>IF(L339&gt;=75,"High",IF(L339&gt;=55,"Medium","Low"))</x:f>
        <x:v>Low</x:v>
      </x:c>
    </x:row>
    <x:row r="340">
      <x:c r="A340" t="n">
        <x:v>339</x:v>
      </x:c>
      <x:c r="B340" t="n">
        <x:v>10247</x:v>
      </x:c>
      <x:c r="C340" s="16" t="n">
        <x:v>46281</x:v>
      </x:c>
      <x:c r="D340" t="str">
        <x:v>07:58:00</x:v>
      </x:c>
      <x:c r="E340" t="str">
        <x:v>Card</x:v>
      </x:c>
      <x:c r="F340" t="str">
        <x:v>Electronics</x:v>
      </x:c>
      <x:c r="G340" s="18" t="n">
        <x:v>163.59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10</x:v>
      </x:c>
      <x:c r="M340" t="n">
        <x:v>0</x:v>
      </x:c>
      <x:c r="N340" t="str">
        <x:v>Approved</x:v>
      </x:c>
      <x:c r="O340" t="n">
        <x:v>0</x:v>
      </x:c>
      <x:c r="P340" t="str">
        <x:f>IF(L340&gt;=75,"High",IF(L340&gt;=55,"Medium","Low"))</x:f>
        <x:v>Low</x:v>
      </x:c>
    </x:row>
    <x:row r="341">
      <x:c r="A341" t="n">
        <x:v>340</x:v>
      </x:c>
      <x:c r="B341" t="n">
        <x:v>10104</x:v>
      </x:c>
      <x:c r="C341" s="16" t="n">
        <x:v>46227</x:v>
      </x:c>
      <x:c r="D341" t="str">
        <x:v>19:26:00</x:v>
      </x:c>
      <x:c r="E341" t="str">
        <x:v>Card</x:v>
      </x:c>
      <x:c r="F341" t="str">
        <x:v>Transfer</x:v>
      </x:c>
      <x:c r="G341" s="18" t="n">
        <x:v>50.7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10</x:v>
      </x:c>
      <x:c r="M341" t="n">
        <x:v>0</x:v>
      </x:c>
      <x:c r="N341" t="str">
        <x:v>Approved</x:v>
      </x:c>
      <x:c r="O341" t="n">
        <x:v>0</x:v>
      </x:c>
      <x:c r="P341" t="str">
        <x:f>IF(L341&gt;=75,"High",IF(L341&gt;=55,"Medium","Low"))</x:f>
        <x:v>Low</x:v>
      </x:c>
    </x:row>
    <x:row r="342">
      <x:c r="A342" t="n">
        <x:v>341</x:v>
      </x:c>
      <x:c r="B342" t="n">
        <x:v>10299</x:v>
      </x:c>
      <x:c r="C342" s="16" t="n">
        <x:v>46199</x:v>
      </x:c>
      <x:c r="D342" t="str">
        <x:v>04:30:00</x:v>
      </x:c>
      <x:c r="E342" t="str">
        <x:v>Card</x:v>
      </x:c>
      <x:c r="F342" t="str">
        <x:v>Utilities</x:v>
      </x:c>
      <x:c r="G342" s="18" t="n">
        <x:v>24.49</x:v>
      </x:c>
      <x:c r="H342" t="n">
        <x:v>0</x:v>
      </x:c>
      <x:c r="I342" t="n">
        <x:v>1</x:v>
      </x:c>
      <x:c r="J342" t="n">
        <x:v>0</x:v>
      </x:c>
      <x:c r="K342" t="n">
        <x:v>1</x:v>
      </x:c>
      <x:c r="L342" t="n">
        <x:v>45</x:v>
      </x:c>
      <x:c r="M342" t="n">
        <x:v>0</x:v>
      </x:c>
      <x:c r="N342" t="str">
        <x:v>Approved</x:v>
      </x:c>
      <x:c r="O342" t="n">
        <x:v>0</x:v>
      </x:c>
      <x:c r="P342" t="str">
        <x:f>IF(L342&gt;=75,"High",IF(L342&gt;=55,"Medium","Low"))</x:f>
        <x:v>Low</x:v>
      </x:c>
    </x:row>
    <x:row r="343">
      <x:c r="A343" t="n">
        <x:v>342</x:v>
      </x:c>
      <x:c r="B343" t="n">
        <x:v>10244</x:v>
      </x:c>
      <x:c r="C343" s="16" t="n">
        <x:v>46250</x:v>
      </x:c>
      <x:c r="D343" t="str">
        <x:v>21:14:00</x:v>
      </x:c>
      <x:c r="E343" t="str">
        <x:v>P2P</x:v>
      </x:c>
      <x:c r="F343" t="str">
        <x:v>Transfer</x:v>
      </x:c>
      <x:c r="G343" s="18" t="n">
        <x:v>57.24</x:v>
      </x:c>
      <x:c r="H343" t="n">
        <x:v>1</x:v>
      </x:c>
      <x:c r="I343" t="n">
        <x:v>0</x:v>
      </x:c>
      <x:c r="J343" t="n">
        <x:v>0</x:v>
      </x:c>
      <x:c r="K343" t="n">
        <x:v>0</x:v>
      </x:c>
      <x:c r="L343" t="n">
        <x:v>36</x:v>
      </x:c>
      <x:c r="M343" t="n">
        <x:v>0</x:v>
      </x:c>
      <x:c r="N343" t="str">
        <x:v>Approved</x:v>
      </x:c>
      <x:c r="O343" t="n">
        <x:v>0</x:v>
      </x:c>
      <x:c r="P343" t="str">
        <x:f>IF(L343&gt;=75,"High",IF(L343&gt;=55,"Medium","Low"))</x:f>
        <x:v>Low</x:v>
      </x:c>
    </x:row>
    <x:row r="344">
      <x:c r="A344" t="n">
        <x:v>343</x:v>
      </x:c>
      <x:c r="B344" t="n">
        <x:v>10176</x:v>
      </x:c>
      <x:c r="C344" s="16" t="n">
        <x:v>46160</x:v>
      </x:c>
      <x:c r="D344" t="str">
        <x:v>06:50:00</x:v>
      </x:c>
      <x:c r="E344" t="str">
        <x:v>Bank Transfer</x:v>
      </x:c>
      <x:c r="F344" t="str">
        <x:v>Retail</x:v>
      </x:c>
      <x:c r="G344" s="18" t="n">
        <x:v>134.39</x:v>
      </x:c>
      <x:c r="H344" t="n">
        <x:v>1</x:v>
      </x:c>
      <x:c r="I344" t="n">
        <x:v>0</x:v>
      </x:c>
      <x:c r="J344" t="n">
        <x:v>0</x:v>
      </x:c>
      <x:c r="K344" t="n">
        <x:v>0</x:v>
      </x:c>
      <x:c r="L344" t="n">
        <x:v>36</x:v>
      </x:c>
      <x:c r="M344" t="n">
        <x:v>0</x:v>
      </x:c>
      <x:c r="N344" t="str">
        <x:v>Approved</x:v>
      </x:c>
      <x:c r="O344" t="n">
        <x:v>0</x:v>
      </x:c>
      <x:c r="P344" t="str">
        <x:f>IF(L344&gt;=75,"High",IF(L344&gt;=55,"Medium","Low"))</x:f>
        <x:v>Low</x:v>
      </x:c>
    </x:row>
    <x:row r="345">
      <x:c r="A345" t="n">
        <x:v>344</x:v>
      </x:c>
      <x:c r="B345" t="n">
        <x:v>10299</x:v>
      </x:c>
      <x:c r="C345" s="16" t="n">
        <x:v>46226</x:v>
      </x:c>
      <x:c r="D345" t="str">
        <x:v>02:21:00</x:v>
      </x:c>
      <x:c r="E345" t="str">
        <x:v>Card</x:v>
      </x:c>
      <x:c r="F345" t="str">
        <x:v>Subscriptions</x:v>
      </x:c>
      <x:c r="G345" s="18" t="n">
        <x:v>17.07</x:v>
      </x:c>
      <x:c r="H345" t="n">
        <x:v>0</x:v>
      </x:c>
      <x:c r="I345" t="n">
        <x:v>1</x:v>
      </x:c>
      <x:c r="J345" t="n">
        <x:v>0</x:v>
      </x:c>
      <x:c r="K345" t="n">
        <x:v>1</x:v>
      </x:c>
      <x:c r="L345" t="n">
        <x:v>45</x:v>
      </x:c>
      <x:c r="M345" t="n">
        <x:v>0</x:v>
      </x:c>
      <x:c r="N345" t="str">
        <x:v>Approved</x:v>
      </x:c>
      <x:c r="O345" t="n">
        <x:v>0</x:v>
      </x:c>
      <x:c r="P345" t="str">
        <x:f>IF(L345&gt;=75,"High",IF(L345&gt;=55,"Medium","Low"))</x:f>
        <x:v>Low</x:v>
      </x:c>
    </x:row>
    <x:row r="346">
      <x:c r="A346" t="n">
        <x:v>345</x:v>
      </x:c>
      <x:c r="B346" t="n">
        <x:v>10356</x:v>
      </x:c>
      <x:c r="C346" s="16" t="n">
        <x:v>46233</x:v>
      </x:c>
      <x:c r="D346" t="str">
        <x:v>11:25:00</x:v>
      </x:c>
      <x:c r="E346" t="str">
        <x:v>Card</x:v>
      </x:c>
      <x:c r="F346" t="str">
        <x:v>Electronics</x:v>
      </x:c>
      <x:c r="G346" s="18" t="n">
        <x:v>14.2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10</x:v>
      </x:c>
      <x:c r="M346" t="n">
        <x:v>0</x:v>
      </x:c>
      <x:c r="N346" t="str">
        <x:v>Approved</x:v>
      </x:c>
      <x:c r="O346" t="n">
        <x:v>0</x:v>
      </x:c>
      <x:c r="P346" t="str">
        <x:f>IF(L346&gt;=75,"High",IF(L346&gt;=55,"Medium","Low"))</x:f>
        <x:v>Low</x:v>
      </x:c>
    </x:row>
    <x:row r="347">
      <x:c r="A347" t="n">
        <x:v>346</x:v>
      </x:c>
      <x:c r="B347" t="n">
        <x:v>10034</x:v>
      </x:c>
      <x:c r="C347" s="16" t="n">
        <x:v>46161</x:v>
      </x:c>
      <x:c r="D347" t="str">
        <x:v>05:04:00</x:v>
      </x:c>
      <x:c r="E347" t="str">
        <x:v>Card</x:v>
      </x:c>
      <x:c r="F347" t="str">
        <x:v>Retail</x:v>
      </x:c>
      <x:c r="G347" s="18" t="n">
        <x:v>13.54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10</x:v>
      </x:c>
      <x:c r="M347" t="n">
        <x:v>0</x:v>
      </x:c>
      <x:c r="N347" t="str">
        <x:v>Approved</x:v>
      </x:c>
      <x:c r="O347" t="n">
        <x:v>0</x:v>
      </x:c>
      <x:c r="P347" t="str">
        <x:f>IF(L347&gt;=75,"High",IF(L347&gt;=55,"Medium","Low"))</x:f>
        <x:v>Low</x:v>
      </x:c>
    </x:row>
    <x:row r="348">
      <x:c r="A348" t="n">
        <x:v>347</x:v>
      </x:c>
      <x:c r="B348" t="n">
        <x:v>10119</x:v>
      </x:c>
      <x:c r="C348" s="16" t="n">
        <x:v>46154</x:v>
      </x:c>
      <x:c r="D348" t="str">
        <x:v>00:04:00</x:v>
      </x:c>
      <x:c r="E348" t="str">
        <x:v>Card</x:v>
      </x:c>
      <x:c r="F348" t="str">
        <x:v>Retail</x:v>
      </x:c>
      <x:c r="G348" s="18" t="n">
        <x:v>179.44</x:v>
      </x:c>
      <x:c r="H348" t="n">
        <x:v>0</x:v>
      </x:c>
      <x:c r="I348" t="n">
        <x:v>0</x:v>
      </x:c>
      <x:c r="J348" t="n">
        <x:v>0</x:v>
      </x:c>
      <x:c r="K348" t="n">
        <x:v>1</x:v>
      </x:c>
      <x:c r="L348" t="n">
        <x:v>25</x:v>
      </x:c>
      <x:c r="M348" t="n">
        <x:v>0</x:v>
      </x:c>
      <x:c r="N348" t="str">
        <x:v>Approved</x:v>
      </x:c>
      <x:c r="O348" t="n">
        <x:v>0</x:v>
      </x:c>
      <x:c r="P348" t="str">
        <x:f>IF(L348&gt;=75,"High",IF(L348&gt;=55,"Medium","Low"))</x:f>
        <x:v>Low</x:v>
      </x:c>
    </x:row>
    <x:row r="349">
      <x:c r="A349" t="n">
        <x:v>348</x:v>
      </x:c>
      <x:c r="B349" t="n">
        <x:v>10134</x:v>
      </x:c>
      <x:c r="C349" s="16" t="n">
        <x:v>46167</x:v>
      </x:c>
      <x:c r="D349" t="str">
        <x:v>12:50:00</x:v>
      </x:c>
      <x:c r="E349" t="str">
        <x:v>Card</x:v>
      </x:c>
      <x:c r="F349" t="str">
        <x:v>Electronics</x:v>
      </x:c>
      <x:c r="G349" s="18" t="n">
        <x:v>132.96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10</x:v>
      </x:c>
      <x:c r="M349" t="n">
        <x:v>0</x:v>
      </x:c>
      <x:c r="N349" t="str">
        <x:v>Approved</x:v>
      </x:c>
      <x:c r="O349" t="n">
        <x:v>0</x:v>
      </x:c>
      <x:c r="P349" t="str">
        <x:f>IF(L349&gt;=75,"High",IF(L349&gt;=55,"Medium","Low"))</x:f>
        <x:v>Low</x:v>
      </x:c>
    </x:row>
    <x:row r="350">
      <x:c r="A350" t="n">
        <x:v>349</x:v>
      </x:c>
      <x:c r="B350" t="n">
        <x:v>10038</x:v>
      </x:c>
      <x:c r="C350" s="16" t="n">
        <x:v>46167</x:v>
      </x:c>
      <x:c r="D350" t="str">
        <x:v>00:50:00</x:v>
      </x:c>
      <x:c r="E350" t="str">
        <x:v>Card</x:v>
      </x:c>
      <x:c r="F350" t="str">
        <x:v>Retail</x:v>
      </x:c>
      <x:c r="G350" s="18" t="n">
        <x:v>115.63</x:v>
      </x:c>
      <x:c r="H350" t="n">
        <x:v>0</x:v>
      </x:c>
      <x:c r="I350" t="n">
        <x:v>0</x:v>
      </x:c>
      <x:c r="J350" t="n">
        <x:v>0</x:v>
      </x:c>
      <x:c r="K350" t="n">
        <x:v>1</x:v>
      </x:c>
      <x:c r="L350" t="n">
        <x:v>25</x:v>
      </x:c>
      <x:c r="M350" t="n">
        <x:v>0</x:v>
      </x:c>
      <x:c r="N350" t="str">
        <x:v>Approved</x:v>
      </x:c>
      <x:c r="O350" t="n">
        <x:v>0</x:v>
      </x:c>
      <x:c r="P350" t="str">
        <x:f>IF(L350&gt;=75,"High",IF(L350&gt;=55,"Medium","Low"))</x:f>
        <x:v>Low</x:v>
      </x:c>
    </x:row>
    <x:row r="351">
      <x:c r="A351" t="n">
        <x:v>350</x:v>
      </x:c>
      <x:c r="B351" t="n">
        <x:v>10018</x:v>
      </x:c>
      <x:c r="C351" s="16" t="n">
        <x:v>46257</x:v>
      </x:c>
      <x:c r="D351" t="str">
        <x:v>07:02:00</x:v>
      </x:c>
      <x:c r="E351" t="str">
        <x:v>Card</x:v>
      </x:c>
      <x:c r="F351" t="str">
        <x:v>Retail</x:v>
      </x:c>
      <x:c r="G351" s="18" t="n">
        <x:v>168.42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10</x:v>
      </x:c>
      <x:c r="M351" t="n">
        <x:v>0</x:v>
      </x:c>
      <x:c r="N351" t="str">
        <x:v>Approved</x:v>
      </x:c>
      <x:c r="O351" t="n">
        <x:v>0</x:v>
      </x:c>
      <x:c r="P351" t="str">
        <x:f>IF(L351&gt;=75,"High",IF(L351&gt;=55,"Medium","Low"))</x:f>
        <x:v>Low</x:v>
      </x:c>
    </x:row>
    <x:row r="352">
      <x:c r="A352" t="n">
        <x:v>351</x:v>
      </x:c>
      <x:c r="B352" t="n">
        <x:v>10180</x:v>
      </x:c>
      <x:c r="C352" s="16" t="n">
        <x:v>46176</x:v>
      </x:c>
      <x:c r="D352" t="str">
        <x:v>05:31:00</x:v>
      </x:c>
      <x:c r="E352" t="str">
        <x:v>Card</x:v>
      </x:c>
      <x:c r="F352" t="str">
        <x:v>Subscriptions</x:v>
      </x:c>
      <x:c r="G352" s="18" t="n">
        <x:v>114.45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10</x:v>
      </x:c>
      <x:c r="M352" t="n">
        <x:v>0</x:v>
      </x:c>
      <x:c r="N352" t="str">
        <x:v>Approved</x:v>
      </x:c>
      <x:c r="O352" t="n">
        <x:v>0</x:v>
      </x:c>
      <x:c r="P352" t="str">
        <x:f>IF(L352&gt;=75,"High",IF(L352&gt;=55,"Medium","Low"))</x:f>
        <x:v>Low</x:v>
      </x:c>
    </x:row>
    <x:row r="353">
      <x:c r="A353" t="n">
        <x:v>352</x:v>
      </x:c>
      <x:c r="B353" t="n">
        <x:v>10074</x:v>
      </x:c>
      <x:c r="C353" s="16" t="n">
        <x:v>46140</x:v>
      </x:c>
      <x:c r="D353" t="str">
        <x:v>20:34:00</x:v>
      </x:c>
      <x:c r="E353" t="str">
        <x:v>Bank Transfer</x:v>
      </x:c>
      <x:c r="F353" t="str">
        <x:v>Travel</x:v>
      </x:c>
      <x:c r="G353" s="18" t="n">
        <x:v>12.83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10</x:v>
      </x:c>
      <x:c r="M353" t="n">
        <x:v>0</x:v>
      </x:c>
      <x:c r="N353" t="str">
        <x:v>Approved</x:v>
      </x:c>
      <x:c r="O353" t="n">
        <x:v>0</x:v>
      </x:c>
      <x:c r="P353" t="str">
        <x:f>IF(L353&gt;=75,"High",IF(L353&gt;=55,"Medium","Low"))</x:f>
        <x:v>Low</x:v>
      </x:c>
    </x:row>
    <x:row r="354">
      <x:c r="A354" t="n">
        <x:v>353</x:v>
      </x:c>
      <x:c r="B354" t="n">
        <x:v>10305</x:v>
      </x:c>
      <x:c r="C354" s="16" t="n">
        <x:v>46236</x:v>
      </x:c>
      <x:c r="D354" t="str">
        <x:v>00:57:00</x:v>
      </x:c>
      <x:c r="E354" t="str">
        <x:v>P2P</x:v>
      </x:c>
      <x:c r="F354" t="str">
        <x:v>Dining</x:v>
      </x:c>
      <x:c r="G354" s="18" t="n">
        <x:v>186.74</x:v>
      </x:c>
      <x:c r="H354" t="n">
        <x:v>0</x:v>
      </x:c>
      <x:c r="I354" t="n">
        <x:v>0</x:v>
      </x:c>
      <x:c r="J354" t="n">
        <x:v>0</x:v>
      </x:c>
      <x:c r="K354" t="n">
        <x:v>1</x:v>
      </x:c>
      <x:c r="L354" t="n">
        <x:v>25</x:v>
      </x:c>
      <x:c r="M354" t="n">
        <x:v>0</x:v>
      </x:c>
      <x:c r="N354" t="str">
        <x:v>Approved</x:v>
      </x:c>
      <x:c r="O354" t="n">
        <x:v>0</x:v>
      </x:c>
      <x:c r="P354" t="str">
        <x:f>IF(L354&gt;=75,"High",IF(L354&gt;=55,"Medium","Low"))</x:f>
        <x:v>Low</x:v>
      </x:c>
    </x:row>
    <x:row r="355">
      <x:c r="A355" t="n">
        <x:v>354</x:v>
      </x:c>
      <x:c r="B355" t="n">
        <x:v>10137</x:v>
      </x:c>
      <x:c r="C355" s="16" t="n">
        <x:v>46225</x:v>
      </x:c>
      <x:c r="D355" t="str">
        <x:v>02:40:00</x:v>
      </x:c>
      <x:c r="E355" t="str">
        <x:v>Bank Transfer</x:v>
      </x:c>
      <x:c r="F355" t="str">
        <x:v>Subscriptions</x:v>
      </x:c>
      <x:c r="G355" s="18" t="n">
        <x:v>43.57</x:v>
      </x:c>
      <x:c r="H355" t="n">
        <x:v>0</x:v>
      </x:c>
      <x:c r="I355" t="n">
        <x:v>0</x:v>
      </x:c>
      <x:c r="J355" t="n">
        <x:v>0</x:v>
      </x:c>
      <x:c r="K355" t="n">
        <x:v>1</x:v>
      </x:c>
      <x:c r="L355" t="n">
        <x:v>25</x:v>
      </x:c>
      <x:c r="M355" t="n">
        <x:v>0</x:v>
      </x:c>
      <x:c r="N355" t="str">
        <x:v>Approved</x:v>
      </x:c>
      <x:c r="O355" t="n">
        <x:v>0</x:v>
      </x:c>
      <x:c r="P355" t="str">
        <x:f>IF(L355&gt;=75,"High",IF(L355&gt;=55,"Medium","Low"))</x:f>
        <x:v>Low</x:v>
      </x:c>
    </x:row>
    <x:row r="356">
      <x:c r="A356" t="n">
        <x:v>355</x:v>
      </x:c>
      <x:c r="B356" t="n">
        <x:v>10201</x:v>
      </x:c>
      <x:c r="C356" s="16" t="n">
        <x:v>46210</x:v>
      </x:c>
      <x:c r="D356" t="str">
        <x:v>02:28:00</x:v>
      </x:c>
      <x:c r="E356" t="str">
        <x:v>Card</x:v>
      </x:c>
      <x:c r="F356" t="str">
        <x:v>Electronics</x:v>
      </x:c>
      <x:c r="G356" s="18" t="n">
        <x:v>266.6</x:v>
      </x:c>
      <x:c r="H356" t="n">
        <x:v>0</x:v>
      </x:c>
      <x:c r="I356" t="n">
        <x:v>0</x:v>
      </x:c>
      <x:c r="J356" t="n">
        <x:v>0</x:v>
      </x:c>
      <x:c r="K356" t="n">
        <x:v>1</x:v>
      </x:c>
      <x:c r="L356" t="n">
        <x:v>25</x:v>
      </x:c>
      <x:c r="M356" t="n">
        <x:v>0</x:v>
      </x:c>
      <x:c r="N356" t="str">
        <x:v>Approved</x:v>
      </x:c>
      <x:c r="O356" t="n">
        <x:v>0</x:v>
      </x:c>
      <x:c r="P356" t="str">
        <x:f>IF(L356&gt;=75,"High",IF(L356&gt;=55,"Medium","Low"))</x:f>
        <x:v>Low</x:v>
      </x:c>
    </x:row>
    <x:row r="357">
      <x:c r="A357" t="n">
        <x:v>356</x:v>
      </x:c>
      <x:c r="B357" t="n">
        <x:v>10110</x:v>
      </x:c>
      <x:c r="C357" s="16" t="n">
        <x:v>46168</x:v>
      </x:c>
      <x:c r="D357" t="str">
        <x:v>19:32:00</x:v>
      </x:c>
      <x:c r="E357" t="str">
        <x:v>Card</x:v>
      </x:c>
      <x:c r="F357" t="str">
        <x:v>Retail</x:v>
      </x:c>
      <x:c r="G357" s="18" t="n">
        <x:v>745.02</x:v>
      </x:c>
      <x:c r="H357" t="n">
        <x:v>0</x:v>
      </x:c>
      <x:c r="I357" t="n">
        <x:v>0</x:v>
      </x:c>
      <x:c r="J357" t="n">
        <x:v>1</x:v>
      </x:c>
      <x:c r="K357" t="n">
        <x:v>0</x:v>
      </x:c>
      <x:c r="L357" t="n">
        <x:v>44</x:v>
      </x:c>
      <x:c r="M357" t="n">
        <x:v>0</x:v>
      </x:c>
      <x:c r="N357" t="str">
        <x:v>Approved</x:v>
      </x:c>
      <x:c r="O357" t="n">
        <x:v>0</x:v>
      </x:c>
      <x:c r="P357" t="str">
        <x:f>IF(L357&gt;=75,"High",IF(L357&gt;=55,"Medium","Low"))</x:f>
        <x:v>Low</x:v>
      </x:c>
    </x:row>
    <x:row r="358">
      <x:c r="A358" t="n">
        <x:v>357</x:v>
      </x:c>
      <x:c r="B358" t="n">
        <x:v>10335</x:v>
      </x:c>
      <x:c r="C358" s="16" t="n">
        <x:v>46137</x:v>
      </x:c>
      <x:c r="D358" t="str">
        <x:v>19:56:00</x:v>
      </x:c>
      <x:c r="E358" t="str">
        <x:v>Bank Transfer</x:v>
      </x:c>
      <x:c r="F358" t="str">
        <x:v>Travel</x:v>
      </x:c>
      <x:c r="G358" s="18" t="n">
        <x:v>63.1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10</x:v>
      </x:c>
      <x:c r="M358" t="n">
        <x:v>0</x:v>
      </x:c>
      <x:c r="N358" t="str">
        <x:v>Approved</x:v>
      </x:c>
      <x:c r="O358" t="n">
        <x:v>0</x:v>
      </x:c>
      <x:c r="P358" t="str">
        <x:f>IF(L358&gt;=75,"High",IF(L358&gt;=55,"Medium","Low"))</x:f>
        <x:v>Low</x:v>
      </x:c>
    </x:row>
    <x:row r="359">
      <x:c r="A359" t="n">
        <x:v>358</x:v>
      </x:c>
      <x:c r="B359" t="n">
        <x:v>10234</x:v>
      </x:c>
      <x:c r="C359" s="16" t="n">
        <x:v>46250</x:v>
      </x:c>
      <x:c r="D359" t="str">
        <x:v>15:09:00</x:v>
      </x:c>
      <x:c r="E359" t="str">
        <x:v>Card</x:v>
      </x:c>
      <x:c r="F359" t="str">
        <x:v>Travel</x:v>
      </x:c>
      <x:c r="G359" s="18" t="n">
        <x:v>62.21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10</x:v>
      </x:c>
      <x:c r="M359" t="n">
        <x:v>0</x:v>
      </x:c>
      <x:c r="N359" t="str">
        <x:v>Declined</x:v>
      </x:c>
      <x:c r="O359" t="n">
        <x:v>0</x:v>
      </x:c>
      <x:c r="P359" t="str">
        <x:f>IF(L359&gt;=75,"High",IF(L359&gt;=55,"Medium","Low"))</x:f>
        <x:v>Low</x:v>
      </x:c>
    </x:row>
    <x:row r="360">
      <x:c r="A360" t="n">
        <x:v>359</x:v>
      </x:c>
      <x:c r="B360" t="n">
        <x:v>10324</x:v>
      </x:c>
      <x:c r="C360" s="16" t="n">
        <x:v>46280</x:v>
      </x:c>
      <x:c r="D360" t="str">
        <x:v>17:51:00</x:v>
      </x:c>
      <x:c r="E360" t="str">
        <x:v>Card</x:v>
      </x:c>
      <x:c r="F360" t="str">
        <x:v>Retail</x:v>
      </x:c>
      <x:c r="G360" s="18" t="n">
        <x:v>359.53</x:v>
      </x:c>
      <x:c r="H360" t="n">
        <x:v>1</x:v>
      </x:c>
      <x:c r="I360" t="n">
        <x:v>1</x:v>
      </x:c>
      <x:c r="J360" t="n">
        <x:v>0</x:v>
      </x:c>
      <x:c r="K360" t="n">
        <x:v>0</x:v>
      </x:c>
      <x:c r="L360" t="n">
        <x:v>56</x:v>
      </x:c>
      <x:c r="M360" t="n">
        <x:v>1</x:v>
      </x:c>
      <x:c r="N360" t="str">
        <x:v>Declined</x:v>
      </x:c>
      <x:c r="O360" t="n">
        <x:v>1</x:v>
      </x:c>
      <x:c r="P360" t="str">
        <x:f>IF(L360&gt;=75,"High",IF(L360&gt;=55,"Medium","Low"))</x:f>
        <x:v>Medium</x:v>
      </x:c>
    </x:row>
    <x:row r="361">
      <x:c r="A361" t="n">
        <x:v>360</x:v>
      </x:c>
      <x:c r="B361" t="n">
        <x:v>10316</x:v>
      </x:c>
      <x:c r="C361" s="16" t="n">
        <x:v>46167</x:v>
      </x:c>
      <x:c r="D361" t="str">
        <x:v>01:46:00</x:v>
      </x:c>
      <x:c r="E361" t="str">
        <x:v>Card</x:v>
      </x:c>
      <x:c r="F361" t="str">
        <x:v>Transfer</x:v>
      </x:c>
      <x:c r="G361" s="18" t="n">
        <x:v>36.7</x:v>
      </x:c>
      <x:c r="H361" t="n">
        <x:v>1</x:v>
      </x:c>
      <x:c r="I361" t="n">
        <x:v>0</x:v>
      </x:c>
      <x:c r="J361" t="n">
        <x:v>0</x:v>
      </x:c>
      <x:c r="K361" t="n">
        <x:v>1</x:v>
      </x:c>
      <x:c r="L361" t="n">
        <x:v>51</x:v>
      </x:c>
      <x:c r="M361" t="n">
        <x:v>0</x:v>
      </x:c>
      <x:c r="N361" t="str">
        <x:v>Approved</x:v>
      </x:c>
      <x:c r="O361" t="n">
        <x:v>0</x:v>
      </x:c>
      <x:c r="P361" t="str">
        <x:f>IF(L361&gt;=75,"High",IF(L361&gt;=55,"Medium","Low"))</x:f>
        <x:v>Low</x:v>
      </x:c>
    </x:row>
    <x:row r="362">
      <x:c r="A362" t="n">
        <x:v>361</x:v>
      </x:c>
      <x:c r="B362" t="n">
        <x:v>10209</x:v>
      </x:c>
      <x:c r="C362" s="16" t="n">
        <x:v>46279</x:v>
      </x:c>
      <x:c r="D362" t="str">
        <x:v>17:28:00</x:v>
      </x:c>
      <x:c r="E362" t="str">
        <x:v>Card</x:v>
      </x:c>
      <x:c r="F362" t="str">
        <x:v>Subscriptions</x:v>
      </x:c>
      <x:c r="G362" s="18" t="n">
        <x:v>167.66</x:v>
      </x:c>
      <x:c r="H362" t="n">
        <x:v>0</x:v>
      </x:c>
      <x:c r="I362" t="n">
        <x:v>1</x:v>
      </x:c>
      <x:c r="J362" t="n">
        <x:v>0</x:v>
      </x:c>
      <x:c r="K362" t="n">
        <x:v>0</x:v>
      </x:c>
      <x:c r="L362" t="n">
        <x:v>30</x:v>
      </x:c>
      <x:c r="M362" t="n">
        <x:v>0</x:v>
      </x:c>
      <x:c r="N362" t="str">
        <x:v>Approved</x:v>
      </x:c>
      <x:c r="O362" t="n">
        <x:v>0</x:v>
      </x:c>
      <x:c r="P362" t="str">
        <x:f>IF(L362&gt;=75,"High",IF(L362&gt;=55,"Medium","Low"))</x:f>
        <x:v>Low</x:v>
      </x:c>
    </x:row>
    <x:row r="363">
      <x:c r="A363" t="n">
        <x:v>362</x:v>
      </x:c>
      <x:c r="B363" t="n">
        <x:v>10154</x:v>
      </x:c>
      <x:c r="C363" s="16" t="n">
        <x:v>46141</x:v>
      </x:c>
      <x:c r="D363" t="str">
        <x:v>05:31:00</x:v>
      </x:c>
      <x:c r="E363" t="str">
        <x:v>Bank Transfer</x:v>
      </x:c>
      <x:c r="F363" t="str">
        <x:v>Travel</x:v>
      </x:c>
      <x:c r="G363" s="18" t="n">
        <x:v>124.78</x:v>
      </x:c>
      <x:c r="H363" t="n">
        <x:v>1</x:v>
      </x:c>
      <x:c r="I363" t="n">
        <x:v>1</x:v>
      </x:c>
      <x:c r="J363" t="n">
        <x:v>0</x:v>
      </x:c>
      <x:c r="K363" t="n">
        <x:v>0</x:v>
      </x:c>
      <x:c r="L363" t="n">
        <x:v>56</x:v>
      </x:c>
      <x:c r="M363" t="n">
        <x:v>1</x:v>
      </x:c>
      <x:c r="N363" t="str">
        <x:v>Approved</x:v>
      </x:c>
      <x:c r="O363" t="n">
        <x:v>0</x:v>
      </x:c>
      <x:c r="P363" t="str">
        <x:f>IF(L363&gt;=75,"High",IF(L363&gt;=55,"Medium","Low"))</x:f>
        <x:v>Medium</x:v>
      </x:c>
    </x:row>
    <x:row r="364">
      <x:c r="A364" t="n">
        <x:v>363</x:v>
      </x:c>
      <x:c r="B364" t="n">
        <x:v>10332</x:v>
      </x:c>
      <x:c r="C364" s="16" t="n">
        <x:v>46218</x:v>
      </x:c>
      <x:c r="D364" t="str">
        <x:v>09:53:00</x:v>
      </x:c>
      <x:c r="E364" t="str">
        <x:v>Card</x:v>
      </x:c>
      <x:c r="F364" t="str">
        <x:v>Transfer</x:v>
      </x:c>
      <x:c r="G364" s="18" t="n">
        <x:v>170.47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10</x:v>
      </x:c>
      <x:c r="M364" t="n">
        <x:v>0</x:v>
      </x:c>
      <x:c r="N364" t="str">
        <x:v>Approved</x:v>
      </x:c>
      <x:c r="O364" t="n">
        <x:v>0</x:v>
      </x:c>
      <x:c r="P364" t="str">
        <x:f>IF(L364&gt;=75,"High",IF(L364&gt;=55,"Medium","Low"))</x:f>
        <x:v>Low</x:v>
      </x:c>
    </x:row>
    <x:row r="365">
      <x:c r="A365" t="n">
        <x:v>364</x:v>
      </x:c>
      <x:c r="B365" t="n">
        <x:v>10033</x:v>
      </x:c>
      <x:c r="C365" s="16" t="n">
        <x:v>46289</x:v>
      </x:c>
      <x:c r="D365" t="str">
        <x:v>10:59:00</x:v>
      </x:c>
      <x:c r="E365" t="str">
        <x:v>Bank Transfer</x:v>
      </x:c>
      <x:c r="F365" t="str">
        <x:v>Subscriptions</x:v>
      </x:c>
      <x:c r="G365" s="18" t="n">
        <x:v>232.1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10</x:v>
      </x:c>
      <x:c r="M365" t="n">
        <x:v>0</x:v>
      </x:c>
      <x:c r="N365" t="str">
        <x:v>Approved</x:v>
      </x:c>
      <x:c r="O365" t="n">
        <x:v>0</x:v>
      </x:c>
      <x:c r="P365" t="str">
        <x:f>IF(L365&gt;=75,"High",IF(L365&gt;=55,"Medium","Low"))</x:f>
        <x:v>Low</x:v>
      </x:c>
    </x:row>
    <x:row r="366">
      <x:c r="A366" t="n">
        <x:v>365</x:v>
      </x:c>
      <x:c r="B366" t="n">
        <x:v>10115</x:v>
      </x:c>
      <x:c r="C366" s="16" t="n">
        <x:v>46155</x:v>
      </x:c>
      <x:c r="D366" t="str">
        <x:v>06:04:00</x:v>
      </x:c>
      <x:c r="E366" t="str">
        <x:v>P2P</x:v>
      </x:c>
      <x:c r="F366" t="str">
        <x:v>Dining</x:v>
      </x:c>
      <x:c r="G366" s="18" t="n">
        <x:v>53.33</x:v>
      </x:c>
      <x:c r="H366" t="n">
        <x:v>1</x:v>
      </x:c>
      <x:c r="I366" t="n">
        <x:v>0</x:v>
      </x:c>
      <x:c r="J366" t="n">
        <x:v>0</x:v>
      </x:c>
      <x:c r="K366" t="n">
        <x:v>0</x:v>
      </x:c>
      <x:c r="L366" t="n">
        <x:v>36</x:v>
      </x:c>
      <x:c r="M366" t="n">
        <x:v>0</x:v>
      </x:c>
      <x:c r="N366" t="str">
        <x:v>Approved</x:v>
      </x:c>
      <x:c r="O366" t="n">
        <x:v>0</x:v>
      </x:c>
      <x:c r="P366" t="str">
        <x:f>IF(L366&gt;=75,"High",IF(L366&gt;=55,"Medium","Low"))</x:f>
        <x:v>Low</x:v>
      </x:c>
    </x:row>
    <x:row r="367">
      <x:c r="A367" t="n">
        <x:v>366</x:v>
      </x:c>
      <x:c r="B367" t="n">
        <x:v>10039</x:v>
      </x:c>
      <x:c r="C367" s="16" t="n">
        <x:v>46176</x:v>
      </x:c>
      <x:c r="D367" t="str">
        <x:v>09:54:00</x:v>
      </x:c>
      <x:c r="E367" t="str">
        <x:v>Card</x:v>
      </x:c>
      <x:c r="F367" t="str">
        <x:v>Subscriptions</x:v>
      </x:c>
      <x:c r="G367" s="18" t="n">
        <x:v>42.43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10</x:v>
      </x:c>
      <x:c r="M367" t="n">
        <x:v>0</x:v>
      </x:c>
      <x:c r="N367" t="str">
        <x:v>Approved</x:v>
      </x:c>
      <x:c r="O367" t="n">
        <x:v>0</x:v>
      </x:c>
      <x:c r="P367" t="str">
        <x:f>IF(L367&gt;=75,"High",IF(L367&gt;=55,"Medium","Low"))</x:f>
        <x:v>Low</x:v>
      </x:c>
    </x:row>
    <x:row r="368">
      <x:c r="A368" t="n">
        <x:v>367</x:v>
      </x:c>
      <x:c r="B368" t="n">
        <x:v>10148</x:v>
      </x:c>
      <x:c r="C368" s="16" t="n">
        <x:v>46206</x:v>
      </x:c>
      <x:c r="D368" t="str">
        <x:v>11:23:00</x:v>
      </x:c>
      <x:c r="E368" t="str">
        <x:v>Card</x:v>
      </x:c>
      <x:c r="F368" t="str">
        <x:v>Travel</x:v>
      </x:c>
      <x:c r="G368" s="18" t="n">
        <x:v>47.98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10</x:v>
      </x:c>
      <x:c r="M368" t="n">
        <x:v>0</x:v>
      </x:c>
      <x:c r="N368" t="str">
        <x:v>Approved</x:v>
      </x:c>
      <x:c r="O368" t="n">
        <x:v>0</x:v>
      </x:c>
      <x:c r="P368" t="str">
        <x:f>IF(L368&gt;=75,"High",IF(L368&gt;=55,"Medium","Low"))</x:f>
        <x:v>Low</x:v>
      </x:c>
    </x:row>
    <x:row r="369">
      <x:c r="A369" t="n">
        <x:v>368</x:v>
      </x:c>
      <x:c r="B369" t="n">
        <x:v>10292</x:v>
      </x:c>
      <x:c r="C369" s="16" t="n">
        <x:v>46234</x:v>
      </x:c>
      <x:c r="D369" t="str">
        <x:v>18:52:00</x:v>
      </x:c>
      <x:c r="E369" t="str">
        <x:v>P2P</x:v>
      </x:c>
      <x:c r="F369" t="str">
        <x:v>Transfer</x:v>
      </x:c>
      <x:c r="G369" s="18" t="n">
        <x:v>106.55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10</x:v>
      </x:c>
      <x:c r="M369" t="n">
        <x:v>0</x:v>
      </x:c>
      <x:c r="N369" t="str">
        <x:v>Approved</x:v>
      </x:c>
      <x:c r="O369" t="n">
        <x:v>0</x:v>
      </x:c>
      <x:c r="P369" t="str">
        <x:f>IF(L369&gt;=75,"High",IF(L369&gt;=55,"Medium","Low"))</x:f>
        <x:v>Low</x:v>
      </x:c>
    </x:row>
    <x:row r="370">
      <x:c r="A370" t="n">
        <x:v>369</x:v>
      </x:c>
      <x:c r="B370" t="n">
        <x:v>10318</x:v>
      </x:c>
      <x:c r="C370" s="16" t="n">
        <x:v>46206</x:v>
      </x:c>
      <x:c r="D370" t="str">
        <x:v>16:31:00</x:v>
      </x:c>
      <x:c r="E370" t="str">
        <x:v>Card</x:v>
      </x:c>
      <x:c r="F370" t="str">
        <x:v>Utilities</x:v>
      </x:c>
      <x:c r="G370" s="18" t="n">
        <x:v>34.8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10</x:v>
      </x:c>
      <x:c r="M370" t="n">
        <x:v>0</x:v>
      </x:c>
      <x:c r="N370" t="str">
        <x:v>Approved</x:v>
      </x:c>
      <x:c r="O370" t="n">
        <x:v>0</x:v>
      </x:c>
      <x:c r="P370" t="str">
        <x:f>IF(L370&gt;=75,"High",IF(L370&gt;=55,"Medium","Low"))</x:f>
        <x:v>Low</x:v>
      </x:c>
    </x:row>
    <x:row r="371">
      <x:c r="A371" t="n">
        <x:v>370</x:v>
      </x:c>
      <x:c r="B371" t="n">
        <x:v>10089</x:v>
      </x:c>
      <x:c r="C371" s="16" t="n">
        <x:v>46233</x:v>
      </x:c>
      <x:c r="D371" t="str">
        <x:v>01:30:00</x:v>
      </x:c>
      <x:c r="E371" t="str">
        <x:v>Card</x:v>
      </x:c>
      <x:c r="F371" t="str">
        <x:v>Dining</x:v>
      </x:c>
      <x:c r="G371" s="18" t="n">
        <x:v>105.77</x:v>
      </x:c>
      <x:c r="H371" t="n">
        <x:v>0</x:v>
      </x:c>
      <x:c r="I371" t="n">
        <x:v>0</x:v>
      </x:c>
      <x:c r="J371" t="n">
        <x:v>0</x:v>
      </x:c>
      <x:c r="K371" t="n">
        <x:v>1</x:v>
      </x:c>
      <x:c r="L371" t="n">
        <x:v>25</x:v>
      </x:c>
      <x:c r="M371" t="n">
        <x:v>0</x:v>
      </x:c>
      <x:c r="N371" t="str">
        <x:v>Approved</x:v>
      </x:c>
      <x:c r="O371" t="n">
        <x:v>0</x:v>
      </x:c>
      <x:c r="P371" t="str">
        <x:f>IF(L371&gt;=75,"High",IF(L371&gt;=55,"Medium","Low"))</x:f>
        <x:v>Low</x:v>
      </x:c>
    </x:row>
    <x:row r="372">
      <x:c r="A372" t="n">
        <x:v>371</x:v>
      </x:c>
      <x:c r="B372" t="n">
        <x:v>10283</x:v>
      </x:c>
      <x:c r="C372" s="16" t="n">
        <x:v>46229</x:v>
      </x:c>
      <x:c r="D372" t="str">
        <x:v>11:31:00</x:v>
      </x:c>
      <x:c r="E372" t="str">
        <x:v>Card</x:v>
      </x:c>
      <x:c r="F372" t="str">
        <x:v>Retail</x:v>
      </x:c>
      <x:c r="G372" s="18" t="n">
        <x:v>29.72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10</x:v>
      </x:c>
      <x:c r="M372" t="n">
        <x:v>0</x:v>
      </x:c>
      <x:c r="N372" t="str">
        <x:v>Declined</x:v>
      </x:c>
      <x:c r="O372" t="n">
        <x:v>0</x:v>
      </x:c>
      <x:c r="P372" t="str">
        <x:f>IF(L372&gt;=75,"High",IF(L372&gt;=55,"Medium","Low"))</x:f>
        <x:v>Low</x:v>
      </x:c>
    </x:row>
    <x:row r="373">
      <x:c r="A373" t="n">
        <x:v>372</x:v>
      </x:c>
      <x:c r="B373" t="n">
        <x:v>10119</x:v>
      </x:c>
      <x:c r="C373" s="16" t="n">
        <x:v>46274</x:v>
      </x:c>
      <x:c r="D373" t="str">
        <x:v>00:35:00</x:v>
      </x:c>
      <x:c r="E373" t="str">
        <x:v>Card</x:v>
      </x:c>
      <x:c r="F373" t="str">
        <x:v>Electronics</x:v>
      </x:c>
      <x:c r="G373" s="18" t="n">
        <x:v>82.37</x:v>
      </x:c>
      <x:c r="H373" t="n">
        <x:v>0</x:v>
      </x:c>
      <x:c r="I373" t="n">
        <x:v>0</x:v>
      </x:c>
      <x:c r="J373" t="n">
        <x:v>0</x:v>
      </x:c>
      <x:c r="K373" t="n">
        <x:v>1</x:v>
      </x:c>
      <x:c r="L373" t="n">
        <x:v>25</x:v>
      </x:c>
      <x:c r="M373" t="n">
        <x:v>0</x:v>
      </x:c>
      <x:c r="N373" t="str">
        <x:v>Approved</x:v>
      </x:c>
      <x:c r="O373" t="n">
        <x:v>0</x:v>
      </x:c>
      <x:c r="P373" t="str">
        <x:f>IF(L373&gt;=75,"High",IF(L373&gt;=55,"Medium","Low"))</x:f>
        <x:v>Low</x:v>
      </x:c>
    </x:row>
    <x:row r="374">
      <x:c r="A374" t="n">
        <x:v>373</x:v>
      </x:c>
      <x:c r="B374" t="n">
        <x:v>10293</x:v>
      </x:c>
      <x:c r="C374" s="16" t="n">
        <x:v>46131</x:v>
      </x:c>
      <x:c r="D374" t="str">
        <x:v>18:16:00</x:v>
      </x:c>
      <x:c r="E374" t="str">
        <x:v>Card</x:v>
      </x:c>
      <x:c r="F374" t="str">
        <x:v>Transfer</x:v>
      </x:c>
      <x:c r="G374" s="18" t="n">
        <x:v>83.9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10</x:v>
      </x:c>
      <x:c r="M374" t="n">
        <x:v>0</x:v>
      </x:c>
      <x:c r="N374" t="str">
        <x:v>Approved</x:v>
      </x:c>
      <x:c r="O374" t="n">
        <x:v>0</x:v>
      </x:c>
      <x:c r="P374" t="str">
        <x:f>IF(L374&gt;=75,"High",IF(L374&gt;=55,"Medium","Low"))</x:f>
        <x:v>Low</x:v>
      </x:c>
    </x:row>
    <x:row r="375">
      <x:c r="A375" t="n">
        <x:v>374</x:v>
      </x:c>
      <x:c r="B375" t="n">
        <x:v>10351</x:v>
      </x:c>
      <x:c r="C375" s="16" t="n">
        <x:v>46259</x:v>
      </x:c>
      <x:c r="D375" t="str">
        <x:v>14:32:00</x:v>
      </x:c>
      <x:c r="E375" t="str">
        <x:v>P2P</x:v>
      </x:c>
      <x:c r="F375" t="str">
        <x:v>Transfer</x:v>
      </x:c>
      <x:c r="G375" s="18" t="n">
        <x:v>31.04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10</x:v>
      </x:c>
      <x:c r="M375" t="n">
        <x:v>0</x:v>
      </x:c>
      <x:c r="N375" t="str">
        <x:v>Approved</x:v>
      </x:c>
      <x:c r="O375" t="n">
        <x:v>0</x:v>
      </x:c>
      <x:c r="P375" t="str">
        <x:f>IF(L375&gt;=75,"High",IF(L375&gt;=55,"Medium","Low"))</x:f>
        <x:v>Low</x:v>
      </x:c>
    </x:row>
    <x:row r="376">
      <x:c r="A376" t="n">
        <x:v>375</x:v>
      </x:c>
      <x:c r="B376" t="n">
        <x:v>10332</x:v>
      </x:c>
      <x:c r="C376" s="16" t="n">
        <x:v>46292</x:v>
      </x:c>
      <x:c r="D376" t="str">
        <x:v>22:59:00</x:v>
      </x:c>
      <x:c r="E376" t="str">
        <x:v>P2P</x:v>
      </x:c>
      <x:c r="F376" t="str">
        <x:v>Subscriptions</x:v>
      </x:c>
      <x:c r="G376" s="18" t="n">
        <x:v>41.85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10</x:v>
      </x:c>
      <x:c r="M376" t="n">
        <x:v>0</x:v>
      </x:c>
      <x:c r="N376" t="str">
        <x:v>Approved</x:v>
      </x:c>
      <x:c r="O376" t="n">
        <x:v>0</x:v>
      </x:c>
      <x:c r="P376" t="str">
        <x:f>IF(L376&gt;=75,"High",IF(L376&gt;=55,"Medium","Low"))</x:f>
        <x:v>Low</x:v>
      </x:c>
    </x:row>
    <x:row r="377">
      <x:c r="A377" t="n">
        <x:v>376</x:v>
      </x:c>
      <x:c r="B377" t="n">
        <x:v>10202</x:v>
      </x:c>
      <x:c r="C377" s="16" t="n">
        <x:v>46163</x:v>
      </x:c>
      <x:c r="D377" t="str">
        <x:v>05:23:00</x:v>
      </x:c>
      <x:c r="E377" t="str">
        <x:v>Card</x:v>
      </x:c>
      <x:c r="F377" t="str">
        <x:v>Dining</x:v>
      </x:c>
      <x:c r="G377" s="18" t="n">
        <x:v>189.04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10</x:v>
      </x:c>
      <x:c r="M377" t="n">
        <x:v>0</x:v>
      </x:c>
      <x:c r="N377" t="str">
        <x:v>Approved</x:v>
      </x:c>
      <x:c r="O377" t="n">
        <x:v>0</x:v>
      </x:c>
      <x:c r="P377" t="str">
        <x:f>IF(L377&gt;=75,"High",IF(L377&gt;=55,"Medium","Low"))</x:f>
        <x:v>Low</x:v>
      </x:c>
    </x:row>
    <x:row r="378">
      <x:c r="A378" t="n">
        <x:v>377</x:v>
      </x:c>
      <x:c r="B378" t="n">
        <x:v>10043</x:v>
      </x:c>
      <x:c r="C378" s="16" t="n">
        <x:v>46136</x:v>
      </x:c>
      <x:c r="D378" t="str">
        <x:v>13:06:00</x:v>
      </x:c>
      <x:c r="E378" t="str">
        <x:v>P2P</x:v>
      </x:c>
      <x:c r="F378" t="str">
        <x:v>Transfer</x:v>
      </x:c>
      <x:c r="G378" s="18" t="n">
        <x:v>309.48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10</x:v>
      </x:c>
      <x:c r="M378" t="n">
        <x:v>0</x:v>
      </x:c>
      <x:c r="N378" t="str">
        <x:v>Approved</x:v>
      </x:c>
      <x:c r="O378" t="n">
        <x:v>0</x:v>
      </x:c>
      <x:c r="P378" t="str">
        <x:f>IF(L378&gt;=75,"High",IF(L378&gt;=55,"Medium","Low"))</x:f>
        <x:v>Low</x:v>
      </x:c>
    </x:row>
    <x:row r="379">
      <x:c r="A379" t="n">
        <x:v>378</x:v>
      </x:c>
      <x:c r="B379" t="n">
        <x:v>10182</x:v>
      </x:c>
      <x:c r="C379" s="16" t="n">
        <x:v>46290</x:v>
      </x:c>
      <x:c r="D379" t="str">
        <x:v>21:19:00</x:v>
      </x:c>
      <x:c r="E379" t="str">
        <x:v>P2P</x:v>
      </x:c>
      <x:c r="F379" t="str">
        <x:v>Retail</x:v>
      </x:c>
      <x:c r="G379" s="18" t="n">
        <x:v>81.09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10</x:v>
      </x:c>
      <x:c r="M379" t="n">
        <x:v>0</x:v>
      </x:c>
      <x:c r="N379" t="str">
        <x:v>Approved</x:v>
      </x:c>
      <x:c r="O379" t="n">
        <x:v>0</x:v>
      </x:c>
      <x:c r="P379" t="str">
        <x:f>IF(L379&gt;=75,"High",IF(L379&gt;=55,"Medium","Low"))</x:f>
        <x:v>Low</x:v>
      </x:c>
    </x:row>
    <x:row r="380">
      <x:c r="A380" t="n">
        <x:v>379</x:v>
      </x:c>
      <x:c r="B380" t="n">
        <x:v>10089</x:v>
      </x:c>
      <x:c r="C380" s="16" t="n">
        <x:v>46119</x:v>
      </x:c>
      <x:c r="D380" t="str">
        <x:v>03:24:00</x:v>
      </x:c>
      <x:c r="E380" t="str">
        <x:v>Card</x:v>
      </x:c>
      <x:c r="F380" t="str">
        <x:v>Travel</x:v>
      </x:c>
      <x:c r="G380" s="18" t="n">
        <x:v>8.43</x:v>
      </x:c>
      <x:c r="H380" t="n">
        <x:v>0</x:v>
      </x:c>
      <x:c r="I380" t="n">
        <x:v>0</x:v>
      </x:c>
      <x:c r="J380" t="n">
        <x:v>0</x:v>
      </x:c>
      <x:c r="K380" t="n">
        <x:v>1</x:v>
      </x:c>
      <x:c r="L380" t="n">
        <x:v>25</x:v>
      </x:c>
      <x:c r="M380" t="n">
        <x:v>0</x:v>
      </x:c>
      <x:c r="N380" t="str">
        <x:v>Approved</x:v>
      </x:c>
      <x:c r="O380" t="n">
        <x:v>0</x:v>
      </x:c>
      <x:c r="P380" t="str">
        <x:f>IF(L380&gt;=75,"High",IF(L380&gt;=55,"Medium","Low"))</x:f>
        <x:v>Low</x:v>
      </x:c>
    </x:row>
    <x:row r="381">
      <x:c r="A381" t="n">
        <x:v>380</x:v>
      </x:c>
      <x:c r="B381" t="n">
        <x:v>10333</x:v>
      </x:c>
      <x:c r="C381" s="16" t="n">
        <x:v>46249</x:v>
      </x:c>
      <x:c r="D381" t="str">
        <x:v>17:37:00</x:v>
      </x:c>
      <x:c r="E381" t="str">
        <x:v>P2P</x:v>
      </x:c>
      <x:c r="F381" t="str">
        <x:v>Transfer</x:v>
      </x:c>
      <x:c r="G381" s="18" t="n">
        <x:v>16.75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10</x:v>
      </x:c>
      <x:c r="M381" t="n">
        <x:v>0</x:v>
      </x:c>
      <x:c r="N381" t="str">
        <x:v>Approved</x:v>
      </x:c>
      <x:c r="O381" t="n">
        <x:v>0</x:v>
      </x:c>
      <x:c r="P381" t="str">
        <x:f>IF(L381&gt;=75,"High",IF(L381&gt;=55,"Medium","Low"))</x:f>
        <x:v>Low</x:v>
      </x:c>
    </x:row>
    <x:row r="382">
      <x:c r="A382" t="n">
        <x:v>381</x:v>
      </x:c>
      <x:c r="B382" t="n">
        <x:v>10357</x:v>
      </x:c>
      <x:c r="C382" s="16" t="n">
        <x:v>46219</x:v>
      </x:c>
      <x:c r="D382" t="str">
        <x:v>19:23:00</x:v>
      </x:c>
      <x:c r="E382" t="str">
        <x:v>P2P</x:v>
      </x:c>
      <x:c r="F382" t="str">
        <x:v>Transfer</x:v>
      </x:c>
      <x:c r="G382" s="18" t="n">
        <x:v>35.88</x:v>
      </x:c>
      <x:c r="H382" t="n">
        <x:v>0</x:v>
      </x:c>
      <x:c r="I382" t="n">
        <x:v>1</x:v>
      </x:c>
      <x:c r="J382" t="n">
        <x:v>0</x:v>
      </x:c>
      <x:c r="K382" t="n">
        <x:v>0</x:v>
      </x:c>
      <x:c r="L382" t="n">
        <x:v>30</x:v>
      </x:c>
      <x:c r="M382" t="n">
        <x:v>0</x:v>
      </x:c>
      <x:c r="N382" t="str">
        <x:v>Approved</x:v>
      </x:c>
      <x:c r="O382" t="n">
        <x:v>0</x:v>
      </x:c>
      <x:c r="P382" t="str">
        <x:f>IF(L382&gt;=75,"High",IF(L382&gt;=55,"Medium","Low"))</x:f>
        <x:v>Low</x:v>
      </x:c>
    </x:row>
    <x:row r="383">
      <x:c r="A383" t="n">
        <x:v>382</x:v>
      </x:c>
      <x:c r="B383" t="n">
        <x:v>10102</x:v>
      </x:c>
      <x:c r="C383" s="16" t="n">
        <x:v>46167</x:v>
      </x:c>
      <x:c r="D383" t="str">
        <x:v>12:08:00</x:v>
      </x:c>
      <x:c r="E383" t="str">
        <x:v>Card</x:v>
      </x:c>
      <x:c r="F383" t="str">
        <x:v>Retail</x:v>
      </x:c>
      <x:c r="G383" s="18" t="n">
        <x:v>155.57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10</x:v>
      </x:c>
      <x:c r="M383" t="n">
        <x:v>0</x:v>
      </x:c>
      <x:c r="N383" t="str">
        <x:v>Approved</x:v>
      </x:c>
      <x:c r="O383" t="n">
        <x:v>0</x:v>
      </x:c>
      <x:c r="P383" t="str">
        <x:f>IF(L383&gt;=75,"High",IF(L383&gt;=55,"Medium","Low"))</x:f>
        <x:v>Low</x:v>
      </x:c>
    </x:row>
    <x:row r="384">
      <x:c r="A384" t="n">
        <x:v>383</x:v>
      </x:c>
      <x:c r="B384" t="n">
        <x:v>10007</x:v>
      </x:c>
      <x:c r="C384" s="16" t="n">
        <x:v>46144</x:v>
      </x:c>
      <x:c r="D384" t="str">
        <x:v>09:06:00</x:v>
      </x:c>
      <x:c r="E384" t="str">
        <x:v>Card</x:v>
      </x:c>
      <x:c r="F384" t="str">
        <x:v>Subscriptions</x:v>
      </x:c>
      <x:c r="G384" s="18" t="n">
        <x:v>275.67</x:v>
      </x:c>
      <x:c r="H384" t="n">
        <x:v>0</x:v>
      </x:c>
      <x:c r="I384" t="n">
        <x:v>1</x:v>
      </x:c>
      <x:c r="J384" t="n">
        <x:v>0</x:v>
      </x:c>
      <x:c r="K384" t="n">
        <x:v>0</x:v>
      </x:c>
      <x:c r="L384" t="n">
        <x:v>30</x:v>
      </x:c>
      <x:c r="M384" t="n">
        <x:v>0</x:v>
      </x:c>
      <x:c r="N384" t="str">
        <x:v>Approved</x:v>
      </x:c>
      <x:c r="O384" t="n">
        <x:v>0</x:v>
      </x:c>
      <x:c r="P384" t="str">
        <x:f>IF(L384&gt;=75,"High",IF(L384&gt;=55,"Medium","Low"))</x:f>
        <x:v>Low</x:v>
      </x:c>
    </x:row>
    <x:row r="385">
      <x:c r="A385" t="n">
        <x:v>384</x:v>
      </x:c>
      <x:c r="B385" t="n">
        <x:v>10264</x:v>
      </x:c>
      <x:c r="C385" s="16" t="n">
        <x:v>46130</x:v>
      </x:c>
      <x:c r="D385" t="str">
        <x:v>21:32:00</x:v>
      </x:c>
      <x:c r="E385" t="str">
        <x:v>P2P</x:v>
      </x:c>
      <x:c r="F385" t="str">
        <x:v>Retail</x:v>
      </x:c>
      <x:c r="G385" s="18" t="n">
        <x:v>57.89</x:v>
      </x:c>
      <x:c r="H385" t="n">
        <x:v>0</x:v>
      </x:c>
      <x:c r="I385" t="n">
        <x:v>1</x:v>
      </x:c>
      <x:c r="J385" t="n">
        <x:v>0</x:v>
      </x:c>
      <x:c r="K385" t="n">
        <x:v>0</x:v>
      </x:c>
      <x:c r="L385" t="n">
        <x:v>30</x:v>
      </x:c>
      <x:c r="M385" t="n">
        <x:v>0</x:v>
      </x:c>
      <x:c r="N385" t="str">
        <x:v>Approved</x:v>
      </x:c>
      <x:c r="O385" t="n">
        <x:v>0</x:v>
      </x:c>
      <x:c r="P385" t="str">
        <x:f>IF(L385&gt;=75,"High",IF(L385&gt;=55,"Medium","Low"))</x:f>
        <x:v>Low</x:v>
      </x:c>
    </x:row>
    <x:row r="386">
      <x:c r="A386" t="n">
        <x:v>385</x:v>
      </x:c>
      <x:c r="B386" t="n">
        <x:v>10184</x:v>
      </x:c>
      <x:c r="C386" s="16" t="n">
        <x:v>46215</x:v>
      </x:c>
      <x:c r="D386" t="str">
        <x:v>04:15:00</x:v>
      </x:c>
      <x:c r="E386" t="str">
        <x:v>Bank Transfer</x:v>
      </x:c>
      <x:c r="F386" t="str">
        <x:v>Electronics</x:v>
      </x:c>
      <x:c r="G386" s="18" t="n">
        <x:v>87.63</x:v>
      </x:c>
      <x:c r="H386" t="n">
        <x:v>0</x:v>
      </x:c>
      <x:c r="I386" t="n">
        <x:v>0</x:v>
      </x:c>
      <x:c r="J386" t="n">
        <x:v>0</x:v>
      </x:c>
      <x:c r="K386" t="n">
        <x:v>1</x:v>
      </x:c>
      <x:c r="L386" t="n">
        <x:v>25</x:v>
      </x:c>
      <x:c r="M386" t="n">
        <x:v>0</x:v>
      </x:c>
      <x:c r="N386" t="str">
        <x:v>Approved</x:v>
      </x:c>
      <x:c r="O386" t="n">
        <x:v>0</x:v>
      </x:c>
      <x:c r="P386" t="str">
        <x:f>IF(L386&gt;=75,"High",IF(L386&gt;=55,"Medium","Low"))</x:f>
        <x:v>Low</x:v>
      </x:c>
    </x:row>
    <x:row r="387">
      <x:c r="A387" t="n">
        <x:v>386</x:v>
      </x:c>
      <x:c r="B387" t="n">
        <x:v>10102</x:v>
      </x:c>
      <x:c r="C387" s="16" t="n">
        <x:v>46222</x:v>
      </x:c>
      <x:c r="D387" t="str">
        <x:v>23:32:00</x:v>
      </x:c>
      <x:c r="E387" t="str">
        <x:v>Card</x:v>
      </x:c>
      <x:c r="F387" t="str">
        <x:v>Transfer</x:v>
      </x:c>
      <x:c r="G387" s="18" t="n">
        <x:v>39.66</x:v>
      </x:c>
      <x:c r="H387" t="n">
        <x:v>0</x:v>
      </x:c>
      <x:c r="I387" t="n">
        <x:v>1</x:v>
      </x:c>
      <x:c r="J387" t="n">
        <x:v>0</x:v>
      </x:c>
      <x:c r="K387" t="n">
        <x:v>0</x:v>
      </x:c>
      <x:c r="L387" t="n">
        <x:v>30</x:v>
      </x:c>
      <x:c r="M387" t="n">
        <x:v>0</x:v>
      </x:c>
      <x:c r="N387" t="str">
        <x:v>Approved</x:v>
      </x:c>
      <x:c r="O387" t="n">
        <x:v>0</x:v>
      </x:c>
      <x:c r="P387" t="str">
        <x:f>IF(L387&gt;=75,"High",IF(L387&gt;=55,"Medium","Low"))</x:f>
        <x:v>Low</x:v>
      </x:c>
    </x:row>
    <x:row r="388">
      <x:c r="A388" t="n">
        <x:v>387</x:v>
      </x:c>
      <x:c r="B388" t="n">
        <x:v>10268</x:v>
      </x:c>
      <x:c r="C388" s="16" t="n">
        <x:v>46186</x:v>
      </x:c>
      <x:c r="D388" t="str">
        <x:v>07:11:00</x:v>
      </x:c>
      <x:c r="E388" t="str">
        <x:v>Card</x:v>
      </x:c>
      <x:c r="F388" t="str">
        <x:v>Utilities</x:v>
      </x:c>
      <x:c r="G388" s="18" t="n">
        <x:v>931.29</x:v>
      </x:c>
      <x:c r="H388" t="n">
        <x:v>0</x:v>
      </x:c>
      <x:c r="I388" t="n">
        <x:v>1</x:v>
      </x:c>
      <x:c r="J388" t="n">
        <x:v>1</x:v>
      </x:c>
      <x:c r="K388" t="n">
        <x:v>0</x:v>
      </x:c>
      <x:c r="L388" t="n">
        <x:v>64</x:v>
      </x:c>
      <x:c r="M388" t="n">
        <x:v>1</x:v>
      </x:c>
      <x:c r="N388" t="str">
        <x:v>Approved</x:v>
      </x:c>
      <x:c r="O388" t="n">
        <x:v>0</x:v>
      </x:c>
      <x:c r="P388" t="str">
        <x:f>IF(L388&gt;=75,"High",IF(L388&gt;=55,"Medium","Low"))</x:f>
        <x:v>Medium</x:v>
      </x:c>
    </x:row>
    <x:row r="389">
      <x:c r="A389" t="n">
        <x:v>388</x:v>
      </x:c>
      <x:c r="B389" t="n">
        <x:v>10139</x:v>
      </x:c>
      <x:c r="C389" s="16" t="n">
        <x:v>46246</x:v>
      </x:c>
      <x:c r="D389" t="str">
        <x:v>13:40:00</x:v>
      </x:c>
      <x:c r="E389" t="str">
        <x:v>Card</x:v>
      </x:c>
      <x:c r="F389" t="str">
        <x:v>Dining</x:v>
      </x:c>
      <x:c r="G389" s="18" t="n">
        <x:v>20.62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10</x:v>
      </x:c>
      <x:c r="M389" t="n">
        <x:v>0</x:v>
      </x:c>
      <x:c r="N389" t="str">
        <x:v>Approved</x:v>
      </x:c>
      <x:c r="O389" t="n">
        <x:v>0</x:v>
      </x:c>
      <x:c r="P389" t="str">
        <x:f>IF(L389&gt;=75,"High",IF(L389&gt;=55,"Medium","Low"))</x:f>
        <x:v>Low</x:v>
      </x:c>
    </x:row>
    <x:row r="390">
      <x:c r="A390" t="n">
        <x:v>389</x:v>
      </x:c>
      <x:c r="B390" t="n">
        <x:v>10358</x:v>
      </x:c>
      <x:c r="C390" s="16" t="n">
        <x:v>46167</x:v>
      </x:c>
      <x:c r="D390" t="str">
        <x:v>18:43:00</x:v>
      </x:c>
      <x:c r="E390" t="str">
        <x:v>Bank Transfer</x:v>
      </x:c>
      <x:c r="F390" t="str">
        <x:v>Dining</x:v>
      </x:c>
      <x:c r="G390" s="18" t="n">
        <x:v>505.32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10</x:v>
      </x:c>
      <x:c r="M390" t="n">
        <x:v>0</x:v>
      </x:c>
      <x:c r="N390" t="str">
        <x:v>Declined</x:v>
      </x:c>
      <x:c r="O390" t="n">
        <x:v>0</x:v>
      </x:c>
      <x:c r="P390" t="str">
        <x:f>IF(L390&gt;=75,"High",IF(L390&gt;=55,"Medium","Low"))</x:f>
        <x:v>Low</x:v>
      </x:c>
    </x:row>
    <x:row r="391">
      <x:c r="A391" t="n">
        <x:v>390</x:v>
      </x:c>
      <x:c r="B391" t="n">
        <x:v>10126</x:v>
      </x:c>
      <x:c r="C391" s="16" t="n">
        <x:v>46113</x:v>
      </x:c>
      <x:c r="D391" t="str">
        <x:v>16:59:00</x:v>
      </x:c>
      <x:c r="E391" t="str">
        <x:v>P2P</x:v>
      </x:c>
      <x:c r="F391" t="str">
        <x:v>Transfer</x:v>
      </x:c>
      <x:c r="G391" s="18" t="n">
        <x:v>48.12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10</x:v>
      </x:c>
      <x:c r="M391" t="n">
        <x:v>0</x:v>
      </x:c>
      <x:c r="N391" t="str">
        <x:v>Approved</x:v>
      </x:c>
      <x:c r="O391" t="n">
        <x:v>0</x:v>
      </x:c>
      <x:c r="P391" t="str">
        <x:f>IF(L391&gt;=75,"High",IF(L391&gt;=55,"Medium","Low"))</x:f>
        <x:v>Low</x:v>
      </x:c>
    </x:row>
    <x:row r="392">
      <x:c r="A392" t="n">
        <x:v>391</x:v>
      </x:c>
      <x:c r="B392" t="n">
        <x:v>10302</x:v>
      </x:c>
      <x:c r="C392" s="16" t="n">
        <x:v>46152</x:v>
      </x:c>
      <x:c r="D392" t="str">
        <x:v>09:25:00</x:v>
      </x:c>
      <x:c r="E392" t="str">
        <x:v>Card</x:v>
      </x:c>
      <x:c r="F392" t="str">
        <x:v>Travel</x:v>
      </x:c>
      <x:c r="G392" s="18" t="n">
        <x:v>88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10</x:v>
      </x:c>
      <x:c r="M392" t="n">
        <x:v>0</x:v>
      </x:c>
      <x:c r="N392" t="str">
        <x:v>Approved</x:v>
      </x:c>
      <x:c r="O392" t="n">
        <x:v>0</x:v>
      </x:c>
      <x:c r="P392" t="str">
        <x:f>IF(L392&gt;=75,"High",IF(L392&gt;=55,"Medium","Low"))</x:f>
        <x:v>Low</x:v>
      </x:c>
    </x:row>
    <x:row r="393">
      <x:c r="A393" t="n">
        <x:v>392</x:v>
      </x:c>
      <x:c r="B393" t="n">
        <x:v>10073</x:v>
      </x:c>
      <x:c r="C393" s="16" t="n">
        <x:v>46287</x:v>
      </x:c>
      <x:c r="D393" t="str">
        <x:v>10:59:00</x:v>
      </x:c>
      <x:c r="E393" t="str">
        <x:v>Card</x:v>
      </x:c>
      <x:c r="F393" t="str">
        <x:v>Electronics</x:v>
      </x:c>
      <x:c r="G393" s="18" t="n">
        <x:v>212.7</x:v>
      </x:c>
      <x:c r="H393" t="n">
        <x:v>1</x:v>
      </x:c>
      <x:c r="I393" t="n">
        <x:v>0</x:v>
      </x:c>
      <x:c r="J393" t="n">
        <x:v>0</x:v>
      </x:c>
      <x:c r="K393" t="n">
        <x:v>0</x:v>
      </x:c>
      <x:c r="L393" t="n">
        <x:v>36</x:v>
      </x:c>
      <x:c r="M393" t="n">
        <x:v>0</x:v>
      </x:c>
      <x:c r="N393" t="str">
        <x:v>Declined</x:v>
      </x:c>
      <x:c r="O393" t="n">
        <x:v>0</x:v>
      </x:c>
      <x:c r="P393" t="str">
        <x:f>IF(L393&gt;=75,"High",IF(L393&gt;=55,"Medium","Low"))</x:f>
        <x:v>Low</x:v>
      </x:c>
    </x:row>
    <x:row r="394">
      <x:c r="A394" t="n">
        <x:v>393</x:v>
      </x:c>
      <x:c r="B394" t="n">
        <x:v>10262</x:v>
      </x:c>
      <x:c r="C394" s="16" t="n">
        <x:v>46245</x:v>
      </x:c>
      <x:c r="D394" t="str">
        <x:v>05:26:00</x:v>
      </x:c>
      <x:c r="E394" t="str">
        <x:v>Card</x:v>
      </x:c>
      <x:c r="F394" t="str">
        <x:v>Dining</x:v>
      </x:c>
      <x:c r="G394" s="18" t="n">
        <x:v>18.22</x:v>
      </x:c>
      <x:c r="H394" t="n">
        <x:v>1</x:v>
      </x:c>
      <x:c r="I394" t="n">
        <x:v>0</x:v>
      </x:c>
      <x:c r="J394" t="n">
        <x:v>0</x:v>
      </x:c>
      <x:c r="K394" t="n">
        <x:v>0</x:v>
      </x:c>
      <x:c r="L394" t="n">
        <x:v>36</x:v>
      </x:c>
      <x:c r="M394" t="n">
        <x:v>0</x:v>
      </x:c>
      <x:c r="N394" t="str">
        <x:v>Approved</x:v>
      </x:c>
      <x:c r="O394" t="n">
        <x:v>0</x:v>
      </x:c>
      <x:c r="P394" t="str">
        <x:f>IF(L394&gt;=75,"High",IF(L394&gt;=55,"Medium","Low"))</x:f>
        <x:v>Low</x:v>
      </x:c>
    </x:row>
    <x:row r="395">
      <x:c r="A395" t="n">
        <x:v>394</x:v>
      </x:c>
      <x:c r="B395" t="n">
        <x:v>10005</x:v>
      </x:c>
      <x:c r="C395" s="16" t="n">
        <x:v>46130</x:v>
      </x:c>
      <x:c r="D395" t="str">
        <x:v>18:20:00</x:v>
      </x:c>
      <x:c r="E395" t="str">
        <x:v>Bank Transfer</x:v>
      </x:c>
      <x:c r="F395" t="str">
        <x:v>Subscriptions</x:v>
      </x:c>
      <x:c r="G395" s="18" t="n">
        <x:v>630.17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10</x:v>
      </x:c>
      <x:c r="M395" t="n">
        <x:v>0</x:v>
      </x:c>
      <x:c r="N395" t="str">
        <x:v>Approved</x:v>
      </x:c>
      <x:c r="O395" t="n">
        <x:v>0</x:v>
      </x:c>
      <x:c r="P395" t="str">
        <x:f>IF(L395&gt;=75,"High",IF(L395&gt;=55,"Medium","Low"))</x:f>
        <x:v>Low</x:v>
      </x:c>
    </x:row>
    <x:row r="396">
      <x:c r="A396" t="n">
        <x:v>395</x:v>
      </x:c>
      <x:c r="B396" t="n">
        <x:v>10001</x:v>
      </x:c>
      <x:c r="C396" s="16" t="n">
        <x:v>46156</x:v>
      </x:c>
      <x:c r="D396" t="str">
        <x:v>11:00:00</x:v>
      </x:c>
      <x:c r="E396" t="str">
        <x:v>Bank Transfer</x:v>
      </x:c>
      <x:c r="F396" t="str">
        <x:v>Subscriptions</x:v>
      </x:c>
      <x:c r="G396" s="18" t="n">
        <x:v>45.63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10</x:v>
      </x:c>
      <x:c r="M396" t="n">
        <x:v>0</x:v>
      </x:c>
      <x:c r="N396" t="str">
        <x:v>Approved</x:v>
      </x:c>
      <x:c r="O396" t="n">
        <x:v>0</x:v>
      </x:c>
      <x:c r="P396" t="str">
        <x:f>IF(L396&gt;=75,"High",IF(L396&gt;=55,"Medium","Low"))</x:f>
        <x:v>Low</x:v>
      </x:c>
    </x:row>
    <x:row r="397">
      <x:c r="A397" t="n">
        <x:v>396</x:v>
      </x:c>
      <x:c r="B397" t="n">
        <x:v>10076</x:v>
      </x:c>
      <x:c r="C397" s="16" t="n">
        <x:v>46221</x:v>
      </x:c>
      <x:c r="D397" t="str">
        <x:v>08:47:00</x:v>
      </x:c>
      <x:c r="E397" t="str">
        <x:v>Card</x:v>
      </x:c>
      <x:c r="F397" t="str">
        <x:v>Travel</x:v>
      </x:c>
      <x:c r="G397" s="18" t="n">
        <x:v>173.36</x:v>
      </x:c>
      <x:c r="H397" t="n">
        <x:v>1</x:v>
      </x:c>
      <x:c r="I397" t="n">
        <x:v>0</x:v>
      </x:c>
      <x:c r="J397" t="n">
        <x:v>0</x:v>
      </x:c>
      <x:c r="K397" t="n">
        <x:v>0</x:v>
      </x:c>
      <x:c r="L397" t="n">
        <x:v>36</x:v>
      </x:c>
      <x:c r="M397" t="n">
        <x:v>0</x:v>
      </x:c>
      <x:c r="N397" t="str">
        <x:v>Approved</x:v>
      </x:c>
      <x:c r="O397" t="n">
        <x:v>0</x:v>
      </x:c>
      <x:c r="P397" t="str">
        <x:f>IF(L397&gt;=75,"High",IF(L397&gt;=55,"Medium","Low"))</x:f>
        <x:v>Low</x:v>
      </x:c>
    </x:row>
    <x:row r="398">
      <x:c r="A398" t="n">
        <x:v>397</x:v>
      </x:c>
      <x:c r="B398" t="n">
        <x:v>10048</x:v>
      </x:c>
      <x:c r="C398" s="16" t="n">
        <x:v>46255</x:v>
      </x:c>
      <x:c r="D398" t="str">
        <x:v>22:01:00</x:v>
      </x:c>
      <x:c r="E398" t="str">
        <x:v>P2P</x:v>
      </x:c>
      <x:c r="F398" t="str">
        <x:v>Retail</x:v>
      </x:c>
      <x:c r="G398" s="18" t="n">
        <x:v>215.89</x:v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n">
        <x:v>10</x:v>
      </x:c>
      <x:c r="M398" t="n">
        <x:v>0</x:v>
      </x:c>
      <x:c r="N398" t="str">
        <x:v>Approved</x:v>
      </x:c>
      <x:c r="O398" t="n">
        <x:v>0</x:v>
      </x:c>
      <x:c r="P398" t="str">
        <x:f>IF(L398&gt;=75,"High",IF(L398&gt;=55,"Medium","Low"))</x:f>
        <x:v>Low</x:v>
      </x:c>
    </x:row>
    <x:row r="399">
      <x:c r="A399" t="n">
        <x:v>398</x:v>
      </x:c>
      <x:c r="B399" t="n">
        <x:v>10080</x:v>
      </x:c>
      <x:c r="C399" s="16" t="n">
        <x:v>46261</x:v>
      </x:c>
      <x:c r="D399" t="str">
        <x:v>17:42:00</x:v>
      </x:c>
      <x:c r="E399" t="str">
        <x:v>Card</x:v>
      </x:c>
      <x:c r="F399" t="str">
        <x:v>Electronics</x:v>
      </x:c>
      <x:c r="G399" s="18" t="n">
        <x:v>506.03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10</x:v>
      </x:c>
      <x:c r="M399" t="n">
        <x:v>0</x:v>
      </x:c>
      <x:c r="N399" t="str">
        <x:v>Approved</x:v>
      </x:c>
      <x:c r="O399" t="n">
        <x:v>0</x:v>
      </x:c>
      <x:c r="P399" t="str">
        <x:f>IF(L399&gt;=75,"High",IF(L399&gt;=55,"Medium","Low"))</x:f>
        <x:v>Low</x:v>
      </x:c>
    </x:row>
    <x:row r="400">
      <x:c r="A400" t="n">
        <x:v>399</x:v>
      </x:c>
      <x:c r="B400" t="n">
        <x:v>10276</x:v>
      </x:c>
      <x:c r="C400" s="16" t="n">
        <x:v>46254</x:v>
      </x:c>
      <x:c r="D400" t="str">
        <x:v>08:32:00</x:v>
      </x:c>
      <x:c r="E400" t="str">
        <x:v>Card</x:v>
      </x:c>
      <x:c r="F400" t="str">
        <x:v>Retail</x:v>
      </x:c>
      <x:c r="G400" s="18" t="n">
        <x:v>46.58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10</x:v>
      </x:c>
      <x:c r="M400" t="n">
        <x:v>0</x:v>
      </x:c>
      <x:c r="N400" t="str">
        <x:v>Approved</x:v>
      </x:c>
      <x:c r="O400" t="n">
        <x:v>0</x:v>
      </x:c>
      <x:c r="P400" t="str">
        <x:f>IF(L400&gt;=75,"High",IF(L400&gt;=55,"Medium","Low"))</x:f>
        <x:v>Low</x:v>
      </x:c>
    </x:row>
    <x:row r="401">
      <x:c r="A401" t="n">
        <x:v>400</x:v>
      </x:c>
      <x:c r="B401" t="n">
        <x:v>10353</x:v>
      </x:c>
      <x:c r="C401" s="16" t="n">
        <x:v>46184</x:v>
      </x:c>
      <x:c r="D401" t="str">
        <x:v>00:56:00</x:v>
      </x:c>
      <x:c r="E401" t="str">
        <x:v>Card</x:v>
      </x:c>
      <x:c r="F401" t="str">
        <x:v>Subscriptions</x:v>
      </x:c>
      <x:c r="G401" s="18" t="n">
        <x:v>32.28</x:v>
      </x:c>
      <x:c r="H401" t="n">
        <x:v>1</x:v>
      </x:c>
      <x:c r="I401" t="n">
        <x:v>0</x:v>
      </x:c>
      <x:c r="J401" t="n">
        <x:v>0</x:v>
      </x:c>
      <x:c r="K401" t="n">
        <x:v>1</x:v>
      </x:c>
      <x:c r="L401" t="n">
        <x:v>51</x:v>
      </x:c>
      <x:c r="M401" t="n">
        <x:v>0</x:v>
      </x:c>
      <x:c r="N401" t="str">
        <x:v>Approved</x:v>
      </x:c>
      <x:c r="O401" t="n">
        <x:v>0</x:v>
      </x:c>
      <x:c r="P401" t="str">
        <x:f>IF(L401&gt;=75,"High",IF(L401&gt;=55,"Medium","Low"))</x:f>
        <x:v>Low</x:v>
      </x:c>
    </x:row>
    <x:row r="402">
      <x:c r="A402" t="n">
        <x:v>401</x:v>
      </x:c>
      <x:c r="B402" t="n">
        <x:v>10199</x:v>
      </x:c>
      <x:c r="C402" s="16" t="n">
        <x:v>46266</x:v>
      </x:c>
      <x:c r="D402" t="str">
        <x:v>14:48:00</x:v>
      </x:c>
      <x:c r="E402" t="str">
        <x:v>Card</x:v>
      </x:c>
      <x:c r="F402" t="str">
        <x:v>Travel</x:v>
      </x:c>
      <x:c r="G402" s="18" t="n">
        <x:v>212.99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10</x:v>
      </x:c>
      <x:c r="M402" t="n">
        <x:v>0</x:v>
      </x:c>
      <x:c r="N402" t="str">
        <x:v>Approved</x:v>
      </x:c>
      <x:c r="O402" t="n">
        <x:v>0</x:v>
      </x:c>
      <x:c r="P402" t="str">
        <x:f>IF(L402&gt;=75,"High",IF(L402&gt;=55,"Medium","Low"))</x:f>
        <x:v>Low</x:v>
      </x:c>
    </x:row>
    <x:row r="403">
      <x:c r="A403" t="n">
        <x:v>402</x:v>
      </x:c>
      <x:c r="B403" t="n">
        <x:v>10113</x:v>
      </x:c>
      <x:c r="C403" s="16" t="n">
        <x:v>46123</x:v>
      </x:c>
      <x:c r="D403" t="str">
        <x:v>20:03:00</x:v>
      </x:c>
      <x:c r="E403" t="str">
        <x:v>Card</x:v>
      </x:c>
      <x:c r="F403" t="str">
        <x:v>Subscriptions</x:v>
      </x:c>
      <x:c r="G403" s="18" t="n">
        <x:v>98.05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10</x:v>
      </x:c>
      <x:c r="M403" t="n">
        <x:v>0</x:v>
      </x:c>
      <x:c r="N403" t="str">
        <x:v>Approved</x:v>
      </x:c>
      <x:c r="O403" t="n">
        <x:v>0</x:v>
      </x:c>
      <x:c r="P403" t="str">
        <x:f>IF(L403&gt;=75,"High",IF(L403&gt;=55,"Medium","Low"))</x:f>
        <x:v>Low</x:v>
      </x:c>
    </x:row>
    <x:row r="404">
      <x:c r="A404" t="n">
        <x:v>403</x:v>
      </x:c>
      <x:c r="B404" t="n">
        <x:v>10050</x:v>
      </x:c>
      <x:c r="C404" s="16" t="n">
        <x:v>46120</x:v>
      </x:c>
      <x:c r="D404" t="str">
        <x:v>07:18:00</x:v>
      </x:c>
      <x:c r="E404" t="str">
        <x:v>Card</x:v>
      </x:c>
      <x:c r="F404" t="str">
        <x:v>Transfer</x:v>
      </x:c>
      <x:c r="G404" s="18" t="n">
        <x:v>192.97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10</x:v>
      </x:c>
      <x:c r="M404" t="n">
        <x:v>0</x:v>
      </x:c>
      <x:c r="N404" t="str">
        <x:v>Approved</x:v>
      </x:c>
      <x:c r="O404" t="n">
        <x:v>0</x:v>
      </x:c>
      <x:c r="P404" t="str">
        <x:f>IF(L404&gt;=75,"High",IF(L404&gt;=55,"Medium","Low"))</x:f>
        <x:v>Low</x:v>
      </x:c>
    </x:row>
    <x:row r="405">
      <x:c r="A405" t="n">
        <x:v>404</x:v>
      </x:c>
      <x:c r="B405" t="n">
        <x:v>10083</x:v>
      </x:c>
      <x:c r="C405" s="16" t="n">
        <x:v>46279</x:v>
      </x:c>
      <x:c r="D405" t="str">
        <x:v>13:04:00</x:v>
      </x:c>
      <x:c r="E405" t="str">
        <x:v>P2P</x:v>
      </x:c>
      <x:c r="F405" t="str">
        <x:v>Utilities</x:v>
      </x:c>
      <x:c r="G405" s="18" t="n">
        <x:v>23.23</x:v>
      </x:c>
      <x:c r="H405" t="n">
        <x:v>1</x:v>
      </x:c>
      <x:c r="I405" t="n">
        <x:v>0</x:v>
      </x:c>
      <x:c r="J405" t="n">
        <x:v>0</x:v>
      </x:c>
      <x:c r="K405" t="n">
        <x:v>0</x:v>
      </x:c>
      <x:c r="L405" t="n">
        <x:v>36</x:v>
      </x:c>
      <x:c r="M405" t="n">
        <x:v>0</x:v>
      </x:c>
      <x:c r="N405" t="str">
        <x:v>Approved</x:v>
      </x:c>
      <x:c r="O405" t="n">
        <x:v>0</x:v>
      </x:c>
      <x:c r="P405" t="str">
        <x:f>IF(L405&gt;=75,"High",IF(L405&gt;=55,"Medium","Low"))</x:f>
        <x:v>Low</x:v>
      </x:c>
    </x:row>
    <x:row r="406">
      <x:c r="A406" t="n">
        <x:v>405</x:v>
      </x:c>
      <x:c r="B406" t="n">
        <x:v>10111</x:v>
      </x:c>
      <x:c r="C406" s="16" t="n">
        <x:v>46246</x:v>
      </x:c>
      <x:c r="D406" t="str">
        <x:v>15:16:00</x:v>
      </x:c>
      <x:c r="E406" t="str">
        <x:v>Card</x:v>
      </x:c>
      <x:c r="F406" t="str">
        <x:v>Retail</x:v>
      </x:c>
      <x:c r="G406" s="18" t="n">
        <x:v>92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10</x:v>
      </x:c>
      <x:c r="M406" t="n">
        <x:v>0</x:v>
      </x:c>
      <x:c r="N406" t="str">
        <x:v>Approved</x:v>
      </x:c>
      <x:c r="O406" t="n">
        <x:v>0</x:v>
      </x:c>
      <x:c r="P406" t="str">
        <x:f>IF(L406&gt;=75,"High",IF(L406&gt;=55,"Medium","Low"))</x:f>
        <x:v>Low</x:v>
      </x:c>
    </x:row>
    <x:row r="407">
      <x:c r="A407" t="n">
        <x:v>406</x:v>
      </x:c>
      <x:c r="B407" t="n">
        <x:v>10314</x:v>
      </x:c>
      <x:c r="C407" s="16" t="n">
        <x:v>46119</x:v>
      </x:c>
      <x:c r="D407" t="str">
        <x:v>23:39:00</x:v>
      </x:c>
      <x:c r="E407" t="str">
        <x:v>Bank Transfer</x:v>
      </x:c>
      <x:c r="F407" t="str">
        <x:v>Retail</x:v>
      </x:c>
      <x:c r="G407" s="18" t="n">
        <x:v>32.08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10</x:v>
      </x:c>
      <x:c r="M407" t="n">
        <x:v>0</x:v>
      </x:c>
      <x:c r="N407" t="str">
        <x:v>Declined</x:v>
      </x:c>
      <x:c r="O407" t="n">
        <x:v>0</x:v>
      </x:c>
      <x:c r="P407" t="str">
        <x:f>IF(L407&gt;=75,"High",IF(L407&gt;=55,"Medium","Low"))</x:f>
        <x:v>Low</x:v>
      </x:c>
    </x:row>
    <x:row r="408">
      <x:c r="A408" t="n">
        <x:v>407</x:v>
      </x:c>
      <x:c r="B408" t="n">
        <x:v>10179</x:v>
      </x:c>
      <x:c r="C408" s="16" t="n">
        <x:v>46170</x:v>
      </x:c>
      <x:c r="D408" t="str">
        <x:v>05:52:00</x:v>
      </x:c>
      <x:c r="E408" t="str">
        <x:v>Bank Transfer</x:v>
      </x:c>
      <x:c r="F408" t="str">
        <x:v>Utilities</x:v>
      </x:c>
      <x:c r="G408" s="18" t="n">
        <x:v>99.16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10</x:v>
      </x:c>
      <x:c r="M408" t="n">
        <x:v>0</x:v>
      </x:c>
      <x:c r="N408" t="str">
        <x:v>Approved</x:v>
      </x:c>
      <x:c r="O408" t="n">
        <x:v>0</x:v>
      </x:c>
      <x:c r="P408" t="str">
        <x:f>IF(L408&gt;=75,"High",IF(L408&gt;=55,"Medium","Low"))</x:f>
        <x:v>Low</x:v>
      </x:c>
    </x:row>
    <x:row r="409">
      <x:c r="A409" t="n">
        <x:v>408</x:v>
      </x:c>
      <x:c r="B409" t="n">
        <x:v>10152</x:v>
      </x:c>
      <x:c r="C409" s="16" t="n">
        <x:v>46239</x:v>
      </x:c>
      <x:c r="D409" t="str">
        <x:v>15:27:00</x:v>
      </x:c>
      <x:c r="E409" t="str">
        <x:v>Card</x:v>
      </x:c>
      <x:c r="F409" t="str">
        <x:v>Dining</x:v>
      </x:c>
      <x:c r="G409" s="18" t="n">
        <x:v>110.03</x:v>
      </x:c>
      <x:c r="H409" t="n">
        <x:v>0</x:v>
      </x:c>
      <x:c r="I409" t="n">
        <x:v>1</x:v>
      </x:c>
      <x:c r="J409" t="n">
        <x:v>0</x:v>
      </x:c>
      <x:c r="K409" t="n">
        <x:v>0</x:v>
      </x:c>
      <x:c r="L409" t="n">
        <x:v>30</x:v>
      </x:c>
      <x:c r="M409" t="n">
        <x:v>0</x:v>
      </x:c>
      <x:c r="N409" t="str">
        <x:v>Approved</x:v>
      </x:c>
      <x:c r="O409" t="n">
        <x:v>0</x:v>
      </x:c>
      <x:c r="P409" t="str">
        <x:f>IF(L409&gt;=75,"High",IF(L409&gt;=55,"Medium","Low"))</x:f>
        <x:v>Low</x:v>
      </x:c>
    </x:row>
    <x:row r="410">
      <x:c r="A410" t="n">
        <x:v>409</x:v>
      </x:c>
      <x:c r="B410" t="n">
        <x:v>10247</x:v>
      </x:c>
      <x:c r="C410" s="16" t="n">
        <x:v>46204</x:v>
      </x:c>
      <x:c r="D410" t="str">
        <x:v>21:41:00</x:v>
      </x:c>
      <x:c r="E410" t="str">
        <x:v>Bank Transfer</x:v>
      </x:c>
      <x:c r="F410" t="str">
        <x:v>Travel</x:v>
      </x:c>
      <x:c r="G410" s="18" t="n">
        <x:v>35.55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10</x:v>
      </x:c>
      <x:c r="M410" t="n">
        <x:v>0</x:v>
      </x:c>
      <x:c r="N410" t="str">
        <x:v>Approved</x:v>
      </x:c>
      <x:c r="O410" t="n">
        <x:v>0</x:v>
      </x:c>
      <x:c r="P410" t="str">
        <x:f>IF(L410&gt;=75,"High",IF(L410&gt;=55,"Medium","Low"))</x:f>
        <x:v>Low</x:v>
      </x:c>
    </x:row>
    <x:row r="411">
      <x:c r="A411" t="n">
        <x:v>410</x:v>
      </x:c>
      <x:c r="B411" t="n">
        <x:v>10157</x:v>
      </x:c>
      <x:c r="C411" s="16" t="n">
        <x:v>46216</x:v>
      </x:c>
      <x:c r="D411" t="str">
        <x:v>12:37:00</x:v>
      </x:c>
      <x:c r="E411" t="str">
        <x:v>Bank Transfer</x:v>
      </x:c>
      <x:c r="F411" t="str">
        <x:v>Utilities</x:v>
      </x:c>
      <x:c r="G411" s="18" t="n">
        <x:v>103.34</x:v>
      </x:c>
      <x:c r="H411" t="n">
        <x:v>1</x:v>
      </x:c>
      <x:c r="I411" t="n">
        <x:v>0</x:v>
      </x:c>
      <x:c r="J411" t="n">
        <x:v>0</x:v>
      </x:c>
      <x:c r="K411" t="n">
        <x:v>0</x:v>
      </x:c>
      <x:c r="L411" t="n">
        <x:v>36</x:v>
      </x:c>
      <x:c r="M411" t="n">
        <x:v>0</x:v>
      </x:c>
      <x:c r="N411" t="str">
        <x:v>Approved</x:v>
      </x:c>
      <x:c r="O411" t="n">
        <x:v>0</x:v>
      </x:c>
      <x:c r="P411" t="str">
        <x:f>IF(L411&gt;=75,"High",IF(L411&gt;=55,"Medium","Low"))</x:f>
        <x:v>Low</x:v>
      </x:c>
    </x:row>
    <x:row r="412">
      <x:c r="A412" t="n">
        <x:v>411</x:v>
      </x:c>
      <x:c r="B412" t="n">
        <x:v>10320</x:v>
      </x:c>
      <x:c r="C412" s="16" t="n">
        <x:v>46195</x:v>
      </x:c>
      <x:c r="D412" t="str">
        <x:v>12:39:00</x:v>
      </x:c>
      <x:c r="E412" t="str">
        <x:v>P2P</x:v>
      </x:c>
      <x:c r="F412" t="str">
        <x:v>Retail</x:v>
      </x:c>
      <x:c r="G412" s="18" t="n">
        <x:v>55.32</x:v>
      </x:c>
      <x:c r="H412" t="n">
        <x:v>0</x:v>
      </x:c>
      <x:c r="I412" t="n">
        <x:v>0</x:v>
      </x:c>
      <x:c r="J412" t="n">
        <x:v>0</x:v>
      </x:c>
      <x:c r="K412" t="n">
        <x:v>0</x:v>
      </x:c>
      <x:c r="L412" t="n">
        <x:v>10</x:v>
      </x:c>
      <x:c r="M412" t="n">
        <x:v>0</x:v>
      </x:c>
      <x:c r="N412" t="str">
        <x:v>Approved</x:v>
      </x:c>
      <x:c r="O412" t="n">
        <x:v>0</x:v>
      </x:c>
      <x:c r="P412" t="str">
        <x:f>IF(L412&gt;=75,"High",IF(L412&gt;=55,"Medium","Low"))</x:f>
        <x:v>Low</x:v>
      </x:c>
    </x:row>
    <x:row r="413">
      <x:c r="A413" t="n">
        <x:v>412</x:v>
      </x:c>
      <x:c r="B413" t="n">
        <x:v>10166</x:v>
      </x:c>
      <x:c r="C413" s="16" t="n">
        <x:v>46124</x:v>
      </x:c>
      <x:c r="D413" t="str">
        <x:v>17:34:00</x:v>
      </x:c>
      <x:c r="E413" t="str">
        <x:v>Bank Transfer</x:v>
      </x:c>
      <x:c r="F413" t="str">
        <x:v>Subscriptions</x:v>
      </x:c>
      <x:c r="G413" s="18" t="n">
        <x:v>155.5</x:v>
      </x:c>
      <x:c r="H413" t="n">
        <x:v>1</x:v>
      </x:c>
      <x:c r="I413" t="n">
        <x:v>0</x:v>
      </x:c>
      <x:c r="J413" t="n">
        <x:v>0</x:v>
      </x:c>
      <x:c r="K413" t="n">
        <x:v>0</x:v>
      </x:c>
      <x:c r="L413" t="n">
        <x:v>36</x:v>
      </x:c>
      <x:c r="M413" t="n">
        <x:v>0</x:v>
      </x:c>
      <x:c r="N413" t="str">
        <x:v>Approved</x:v>
      </x:c>
      <x:c r="O413" t="n">
        <x:v>0</x:v>
      </x:c>
      <x:c r="P413" t="str">
        <x:f>IF(L413&gt;=75,"High",IF(L413&gt;=55,"Medium","Low"))</x:f>
        <x:v>Low</x:v>
      </x:c>
    </x:row>
    <x:row r="414">
      <x:c r="A414" t="n">
        <x:v>413</x:v>
      </x:c>
      <x:c r="B414" t="n">
        <x:v>10176</x:v>
      </x:c>
      <x:c r="C414" s="16" t="n">
        <x:v>46214</x:v>
      </x:c>
      <x:c r="D414" t="str">
        <x:v>18:33:00</x:v>
      </x:c>
      <x:c r="E414" t="str">
        <x:v>Bank Transfer</x:v>
      </x:c>
      <x:c r="F414" t="str">
        <x:v>Retail</x:v>
      </x:c>
      <x:c r="G414" s="18" t="n">
        <x:v>58.67</x:v>
      </x:c>
      <x:c r="H414" t="n">
        <x:v>0</x:v>
      </x:c>
      <x:c r="I414" t="n">
        <x:v>1</x:v>
      </x:c>
      <x:c r="J414" t="n">
        <x:v>0</x:v>
      </x:c>
      <x:c r="K414" t="n">
        <x:v>0</x:v>
      </x:c>
      <x:c r="L414" t="n">
        <x:v>30</x:v>
      </x:c>
      <x:c r="M414" t="n">
        <x:v>0</x:v>
      </x:c>
      <x:c r="N414" t="str">
        <x:v>Approved</x:v>
      </x:c>
      <x:c r="O414" t="n">
        <x:v>0</x:v>
      </x:c>
      <x:c r="P414" t="str">
        <x:f>IF(L414&gt;=75,"High",IF(L414&gt;=55,"Medium","Low"))</x:f>
        <x:v>Low</x:v>
      </x:c>
    </x:row>
    <x:row r="415">
      <x:c r="A415" t="n">
        <x:v>414</x:v>
      </x:c>
      <x:c r="B415" t="n">
        <x:v>10199</x:v>
      </x:c>
      <x:c r="C415" s="16" t="n">
        <x:v>46243</x:v>
      </x:c>
      <x:c r="D415" t="str">
        <x:v>11:01:00</x:v>
      </x:c>
      <x:c r="E415" t="str">
        <x:v>Card</x:v>
      </x:c>
      <x:c r="F415" t="str">
        <x:v>Utilities</x:v>
      </x:c>
      <x:c r="G415" s="18" t="n">
        <x:v>514.7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10</x:v>
      </x:c>
      <x:c r="M415" t="n">
        <x:v>0</x:v>
      </x:c>
      <x:c r="N415" t="str">
        <x:v>Approved</x:v>
      </x:c>
      <x:c r="O415" t="n">
        <x:v>0</x:v>
      </x:c>
      <x:c r="P415" t="str">
        <x:f>IF(L415&gt;=75,"High",IF(L415&gt;=55,"Medium","Low"))</x:f>
        <x:v>Low</x:v>
      </x:c>
    </x:row>
    <x:row r="416">
      <x:c r="A416" t="n">
        <x:v>415</x:v>
      </x:c>
      <x:c r="B416" t="n">
        <x:v>10225</x:v>
      </x:c>
      <x:c r="C416" s="16" t="n">
        <x:v>46132</x:v>
      </x:c>
      <x:c r="D416" t="str">
        <x:v>05:04:00</x:v>
      </x:c>
      <x:c r="E416" t="str">
        <x:v>P2P</x:v>
      </x:c>
      <x:c r="F416" t="str">
        <x:v>Transfer</x:v>
      </x:c>
      <x:c r="G416" s="18" t="n">
        <x:v>206.04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 t="n">
        <x:v>10</x:v>
      </x:c>
      <x:c r="M416" t="n">
        <x:v>0</x:v>
      </x:c>
      <x:c r="N416" t="str">
        <x:v>Approved</x:v>
      </x:c>
      <x:c r="O416" t="n">
        <x:v>0</x:v>
      </x:c>
      <x:c r="P416" t="str">
        <x:f>IF(L416&gt;=75,"High",IF(L416&gt;=55,"Medium","Low"))</x:f>
        <x:v>Low</x:v>
      </x:c>
    </x:row>
    <x:row r="417">
      <x:c r="A417" t="n">
        <x:v>416</x:v>
      </x:c>
      <x:c r="B417" t="n">
        <x:v>10073</x:v>
      </x:c>
      <x:c r="C417" s="16" t="n">
        <x:v>46216</x:v>
      </x:c>
      <x:c r="D417" t="str">
        <x:v>22:55:00</x:v>
      </x:c>
      <x:c r="E417" t="str">
        <x:v>Bank Transfer</x:v>
      </x:c>
      <x:c r="F417" t="str">
        <x:v>Subscriptions</x:v>
      </x:c>
      <x:c r="G417" s="18" t="n">
        <x:v>64.59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10</x:v>
      </x:c>
      <x:c r="M417" t="n">
        <x:v>0</x:v>
      </x:c>
      <x:c r="N417" t="str">
        <x:v>Approved</x:v>
      </x:c>
      <x:c r="O417" t="n">
        <x:v>0</x:v>
      </x:c>
      <x:c r="P417" t="str">
        <x:f>IF(L417&gt;=75,"High",IF(L417&gt;=55,"Medium","Low"))</x:f>
        <x:v>Low</x:v>
      </x:c>
    </x:row>
    <x:row r="418">
      <x:c r="A418" t="n">
        <x:v>417</x:v>
      </x:c>
      <x:c r="B418" t="n">
        <x:v>10328</x:v>
      </x:c>
      <x:c r="C418" s="16" t="n">
        <x:v>46127</x:v>
      </x:c>
      <x:c r="D418" t="str">
        <x:v>04:33:00</x:v>
      </x:c>
      <x:c r="E418" t="str">
        <x:v>Card</x:v>
      </x:c>
      <x:c r="F418" t="str">
        <x:v>Travel</x:v>
      </x:c>
      <x:c r="G418" s="18" t="n">
        <x:v>70.23</x:v>
      </x:c>
      <x:c r="H418" t="n">
        <x:v>0</x:v>
      </x:c>
      <x:c r="I418" t="n">
        <x:v>0</x:v>
      </x:c>
      <x:c r="J418" t="n">
        <x:v>0</x:v>
      </x:c>
      <x:c r="K418" t="n">
        <x:v>1</x:v>
      </x:c>
      <x:c r="L418" t="n">
        <x:v>25</x:v>
      </x:c>
      <x:c r="M418" t="n">
        <x:v>0</x:v>
      </x:c>
      <x:c r="N418" t="str">
        <x:v>Approved</x:v>
      </x:c>
      <x:c r="O418" t="n">
        <x:v>0</x:v>
      </x:c>
      <x:c r="P418" t="str">
        <x:f>IF(L418&gt;=75,"High",IF(L418&gt;=55,"Medium","Low"))</x:f>
        <x:v>Low</x:v>
      </x:c>
    </x:row>
    <x:row r="419">
      <x:c r="A419" t="n">
        <x:v>418</x:v>
      </x:c>
      <x:c r="B419" t="n">
        <x:v>10214</x:v>
      </x:c>
      <x:c r="C419" s="16" t="n">
        <x:v>46167</x:v>
      </x:c>
      <x:c r="D419" t="str">
        <x:v>00:28:00</x:v>
      </x:c>
      <x:c r="E419" t="str">
        <x:v>Bank Transfer</x:v>
      </x:c>
      <x:c r="F419" t="str">
        <x:v>Travel</x:v>
      </x:c>
      <x:c r="G419" s="18" t="n">
        <x:v>128</x:v>
      </x:c>
      <x:c r="H419" t="n">
        <x:v>0</x:v>
      </x:c>
      <x:c r="I419" t="n">
        <x:v>0</x:v>
      </x:c>
      <x:c r="J419" t="n">
        <x:v>0</x:v>
      </x:c>
      <x:c r="K419" t="n">
        <x:v>1</x:v>
      </x:c>
      <x:c r="L419" t="n">
        <x:v>25</x:v>
      </x:c>
      <x:c r="M419" t="n">
        <x:v>0</x:v>
      </x:c>
      <x:c r="N419" t="str">
        <x:v>Approved</x:v>
      </x:c>
      <x:c r="O419" t="n">
        <x:v>0</x:v>
      </x:c>
      <x:c r="P419" t="str">
        <x:f>IF(L419&gt;=75,"High",IF(L419&gt;=55,"Medium","Low"))</x:f>
        <x:v>Low</x:v>
      </x:c>
    </x:row>
    <x:row r="420">
      <x:c r="A420" t="n">
        <x:v>419</x:v>
      </x:c>
      <x:c r="B420" t="n">
        <x:v>10324</x:v>
      </x:c>
      <x:c r="C420" s="16" t="n">
        <x:v>46221</x:v>
      </x:c>
      <x:c r="D420" t="str">
        <x:v>22:32:00</x:v>
      </x:c>
      <x:c r="E420" t="str">
        <x:v>P2P</x:v>
      </x:c>
      <x:c r="F420" t="str">
        <x:v>Dining</x:v>
      </x:c>
      <x:c r="G420" s="18" t="n">
        <x:v>93.69</x:v>
      </x:c>
      <x:c r="H420" t="n">
        <x:v>1</x:v>
      </x:c>
      <x:c r="I420" t="n">
        <x:v>0</x:v>
      </x:c>
      <x:c r="J420" t="n">
        <x:v>0</x:v>
      </x:c>
      <x:c r="K420" t="n">
        <x:v>0</x:v>
      </x:c>
      <x:c r="L420" t="n">
        <x:v>36</x:v>
      </x:c>
      <x:c r="M420" t="n">
        <x:v>0</x:v>
      </x:c>
      <x:c r="N420" t="str">
        <x:v>Approved</x:v>
      </x:c>
      <x:c r="O420" t="n">
        <x:v>0</x:v>
      </x:c>
      <x:c r="P420" t="str">
        <x:f>IF(L420&gt;=75,"High",IF(L420&gt;=55,"Medium","Low"))</x:f>
        <x:v>Low</x:v>
      </x:c>
    </x:row>
    <x:row r="421">
      <x:c r="A421" t="n">
        <x:v>420</x:v>
      </x:c>
      <x:c r="B421" t="n">
        <x:v>10190</x:v>
      </x:c>
      <x:c r="C421" s="16" t="n">
        <x:v>46129</x:v>
      </x:c>
      <x:c r="D421" t="str">
        <x:v>04:16:00</x:v>
      </x:c>
      <x:c r="E421" t="str">
        <x:v>Bank Transfer</x:v>
      </x:c>
      <x:c r="F421" t="str">
        <x:v>Dining</x:v>
      </x:c>
      <x:c r="G421" s="18" t="n">
        <x:v>80.81</x:v>
      </x:c>
      <x:c r="H421" t="n">
        <x:v>0</x:v>
      </x:c>
      <x:c r="I421" t="n">
        <x:v>0</x:v>
      </x:c>
      <x:c r="J421" t="n">
        <x:v>0</x:v>
      </x:c>
      <x:c r="K421" t="n">
        <x:v>1</x:v>
      </x:c>
      <x:c r="L421" t="n">
        <x:v>25</x:v>
      </x:c>
      <x:c r="M421" t="n">
        <x:v>0</x:v>
      </x:c>
      <x:c r="N421" t="str">
        <x:v>Approved</x:v>
      </x:c>
      <x:c r="O421" t="n">
        <x:v>0</x:v>
      </x:c>
      <x:c r="P421" t="str">
        <x:f>IF(L421&gt;=75,"High",IF(L421&gt;=55,"Medium","Low"))</x:f>
        <x:v>Low</x:v>
      </x:c>
    </x:row>
    <x:row r="422">
      <x:c r="A422" t="n">
        <x:v>421</x:v>
      </x:c>
      <x:c r="B422" t="n">
        <x:v>10046</x:v>
      </x:c>
      <x:c r="C422" s="16" t="n">
        <x:v>46171</x:v>
      </x:c>
      <x:c r="D422" t="str">
        <x:v>04:59:00</x:v>
      </x:c>
      <x:c r="E422" t="str">
        <x:v>Bank Transfer</x:v>
      </x:c>
      <x:c r="F422" t="str">
        <x:v>Transfer</x:v>
      </x:c>
      <x:c r="G422" s="18" t="n">
        <x:v>293.12</x:v>
      </x:c>
      <x:c r="H422" t="n">
        <x:v>0</x:v>
      </x:c>
      <x:c r="I422" t="n">
        <x:v>0</x:v>
      </x:c>
      <x:c r="J422" t="n">
        <x:v>0</x:v>
      </x:c>
      <x:c r="K422" t="n">
        <x:v>1</x:v>
      </x:c>
      <x:c r="L422" t="n">
        <x:v>25</x:v>
      </x:c>
      <x:c r="M422" t="n">
        <x:v>0</x:v>
      </x:c>
      <x:c r="N422" t="str">
        <x:v>Approved</x:v>
      </x:c>
      <x:c r="O422" t="n">
        <x:v>0</x:v>
      </x:c>
      <x:c r="P422" t="str">
        <x:f>IF(L422&gt;=75,"High",IF(L422&gt;=55,"Medium","Low"))</x:f>
        <x:v>Low</x:v>
      </x:c>
    </x:row>
    <x:row r="423">
      <x:c r="A423" t="n">
        <x:v>422</x:v>
      </x:c>
      <x:c r="B423" t="n">
        <x:v>10149</x:v>
      </x:c>
      <x:c r="C423" s="16" t="n">
        <x:v>46139</x:v>
      </x:c>
      <x:c r="D423" t="str">
        <x:v>01:25:00</x:v>
      </x:c>
      <x:c r="E423" t="str">
        <x:v>Card</x:v>
      </x:c>
      <x:c r="F423" t="str">
        <x:v>Retail</x:v>
      </x:c>
      <x:c r="G423" s="18" t="n">
        <x:v>49.25</x:v>
      </x:c>
      <x:c r="H423" t="n">
        <x:v>1</x:v>
      </x:c>
      <x:c r="I423" t="n">
        <x:v>0</x:v>
      </x:c>
      <x:c r="J423" t="n">
        <x:v>0</x:v>
      </x:c>
      <x:c r="K423" t="n">
        <x:v>1</x:v>
      </x:c>
      <x:c r="L423" t="n">
        <x:v>51</x:v>
      </x:c>
      <x:c r="M423" t="n">
        <x:v>0</x:v>
      </x:c>
      <x:c r="N423" t="str">
        <x:v>Approved</x:v>
      </x:c>
      <x:c r="O423" t="n">
        <x:v>0</x:v>
      </x:c>
      <x:c r="P423" t="str">
        <x:f>IF(L423&gt;=75,"High",IF(L423&gt;=55,"Medium","Low"))</x:f>
        <x:v>Low</x:v>
      </x:c>
    </x:row>
    <x:row r="424">
      <x:c r="A424" t="n">
        <x:v>423</x:v>
      </x:c>
      <x:c r="B424" t="n">
        <x:v>10067</x:v>
      </x:c>
      <x:c r="C424" s="16" t="n">
        <x:v>46278</x:v>
      </x:c>
      <x:c r="D424" t="str">
        <x:v>07:56:00</x:v>
      </x:c>
      <x:c r="E424" t="str">
        <x:v>Bank Transfer</x:v>
      </x:c>
      <x:c r="F424" t="str">
        <x:v>Electronics</x:v>
      </x:c>
      <x:c r="G424" s="18" t="n">
        <x:v>106.75</x:v>
      </x:c>
      <x:c r="H424" t="n">
        <x:v>1</x:v>
      </x:c>
      <x:c r="I424" t="n">
        <x:v>0</x:v>
      </x:c>
      <x:c r="J424" t="n">
        <x:v>0</x:v>
      </x:c>
      <x:c r="K424" t="n">
        <x:v>0</x:v>
      </x:c>
      <x:c r="L424" t="n">
        <x:v>36</x:v>
      </x:c>
      <x:c r="M424" t="n">
        <x:v>0</x:v>
      </x:c>
      <x:c r="N424" t="str">
        <x:v>Approved</x:v>
      </x:c>
      <x:c r="O424" t="n">
        <x:v>0</x:v>
      </x:c>
      <x:c r="P424" t="str">
        <x:f>IF(L424&gt;=75,"High",IF(L424&gt;=55,"Medium","Low"))</x:f>
        <x:v>Low</x:v>
      </x:c>
    </x:row>
    <x:row r="425">
      <x:c r="A425" t="n">
        <x:v>424</x:v>
      </x:c>
      <x:c r="B425" t="n">
        <x:v>10051</x:v>
      </x:c>
      <x:c r="C425" s="16" t="n">
        <x:v>46284</x:v>
      </x:c>
      <x:c r="D425" t="str">
        <x:v>21:06:00</x:v>
      </x:c>
      <x:c r="E425" t="str">
        <x:v>Bank Transfer</x:v>
      </x:c>
      <x:c r="F425" t="str">
        <x:v>Retail</x:v>
      </x:c>
      <x:c r="G425" s="18" t="n">
        <x:v>43.2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10</x:v>
      </x:c>
      <x:c r="M425" t="n">
        <x:v>0</x:v>
      </x:c>
      <x:c r="N425" t="str">
        <x:v>Approved</x:v>
      </x:c>
      <x:c r="O425" t="n">
        <x:v>0</x:v>
      </x:c>
      <x:c r="P425" t="str">
        <x:f>IF(L425&gt;=75,"High",IF(L425&gt;=55,"Medium","Low"))</x:f>
        <x:v>Low</x:v>
      </x:c>
    </x:row>
    <x:row r="426">
      <x:c r="A426" t="n">
        <x:v>425</x:v>
      </x:c>
      <x:c r="B426" t="n">
        <x:v>10093</x:v>
      </x:c>
      <x:c r="C426" s="16" t="n">
        <x:v>46212</x:v>
      </x:c>
      <x:c r="D426" t="str">
        <x:v>08:51:00</x:v>
      </x:c>
      <x:c r="E426" t="str">
        <x:v>Bank Transfer</x:v>
      </x:c>
      <x:c r="F426" t="str">
        <x:v>Dining</x:v>
      </x:c>
      <x:c r="G426" s="18" t="n">
        <x:v>167.95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10</x:v>
      </x:c>
      <x:c r="M426" t="n">
        <x:v>0</x:v>
      </x:c>
      <x:c r="N426" t="str">
        <x:v>Approved</x:v>
      </x:c>
      <x:c r="O426" t="n">
        <x:v>0</x:v>
      </x:c>
      <x:c r="P426" t="str">
        <x:f>IF(L426&gt;=75,"High",IF(L426&gt;=55,"Medium","Low"))</x:f>
        <x:v>Low</x:v>
      </x:c>
    </x:row>
    <x:row r="427">
      <x:c r="A427" t="n">
        <x:v>426</x:v>
      </x:c>
      <x:c r="B427" t="n">
        <x:v>10320</x:v>
      </x:c>
      <x:c r="C427" s="16" t="n">
        <x:v>46128</x:v>
      </x:c>
      <x:c r="D427" t="str">
        <x:v>14:10:00</x:v>
      </x:c>
      <x:c r="E427" t="str">
        <x:v>Card</x:v>
      </x:c>
      <x:c r="F427" t="str">
        <x:v>Transfer</x:v>
      </x:c>
      <x:c r="G427" s="18" t="n">
        <x:v>101.85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10</x:v>
      </x:c>
      <x:c r="M427" t="n">
        <x:v>0</x:v>
      </x:c>
      <x:c r="N427" t="str">
        <x:v>Approved</x:v>
      </x:c>
      <x:c r="O427" t="n">
        <x:v>0</x:v>
      </x:c>
      <x:c r="P427" t="str">
        <x:f>IF(L427&gt;=75,"High",IF(L427&gt;=55,"Medium","Low"))</x:f>
        <x:v>Low</x:v>
      </x:c>
    </x:row>
    <x:row r="428">
      <x:c r="A428" t="n">
        <x:v>427</x:v>
      </x:c>
      <x:c r="B428" t="n">
        <x:v>10065</x:v>
      </x:c>
      <x:c r="C428" s="16" t="n">
        <x:v>46226</x:v>
      </x:c>
      <x:c r="D428" t="str">
        <x:v>17:07:00</x:v>
      </x:c>
      <x:c r="E428" t="str">
        <x:v>Card</x:v>
      </x:c>
      <x:c r="F428" t="str">
        <x:v>Dining</x:v>
      </x:c>
      <x:c r="G428" s="18" t="n">
        <x:v>333.31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n">
        <x:v>10</x:v>
      </x:c>
      <x:c r="M428" t="n">
        <x:v>0</x:v>
      </x:c>
      <x:c r="N428" t="str">
        <x:v>Declined</x:v>
      </x:c>
      <x:c r="O428" t="n">
        <x:v>1</x:v>
      </x:c>
      <x:c r="P428" t="str">
        <x:f>IF(L428&gt;=75,"High",IF(L428&gt;=55,"Medium","Low"))</x:f>
        <x:v>Low</x:v>
      </x:c>
    </x:row>
    <x:row r="429">
      <x:c r="A429" t="n">
        <x:v>428</x:v>
      </x:c>
      <x:c r="B429" t="n">
        <x:v>10108</x:v>
      </x:c>
      <x:c r="C429" s="16" t="n">
        <x:v>46252</x:v>
      </x:c>
      <x:c r="D429" t="str">
        <x:v>18:28:00</x:v>
      </x:c>
      <x:c r="E429" t="str">
        <x:v>P2P</x:v>
      </x:c>
      <x:c r="F429" t="str">
        <x:v>Subscriptions</x:v>
      </x:c>
      <x:c r="G429" s="18" t="n">
        <x:v>54.91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10</x:v>
      </x:c>
      <x:c r="M429" t="n">
        <x:v>0</x:v>
      </x:c>
      <x:c r="N429" t="str">
        <x:v>Approved</x:v>
      </x:c>
      <x:c r="O429" t="n">
        <x:v>0</x:v>
      </x:c>
      <x:c r="P429" t="str">
        <x:f>IF(L429&gt;=75,"High",IF(L429&gt;=55,"Medium","Low"))</x:f>
        <x:v>Low</x:v>
      </x:c>
    </x:row>
    <x:row r="430">
      <x:c r="A430" t="n">
        <x:v>429</x:v>
      </x:c>
      <x:c r="B430" t="n">
        <x:v>10228</x:v>
      </x:c>
      <x:c r="C430" s="16" t="n">
        <x:v>46117</x:v>
      </x:c>
      <x:c r="D430" t="str">
        <x:v>06:13:00</x:v>
      </x:c>
      <x:c r="E430" t="str">
        <x:v>P2P</x:v>
      </x:c>
      <x:c r="F430" t="str">
        <x:v>Utilities</x:v>
      </x:c>
      <x:c r="G430" s="18" t="n">
        <x:v>283.15</x:v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n">
        <x:v>10</x:v>
      </x:c>
      <x:c r="M430" t="n">
        <x:v>0</x:v>
      </x:c>
      <x:c r="N430" t="str">
        <x:v>Approved</x:v>
      </x:c>
      <x:c r="O430" t="n">
        <x:v>0</x:v>
      </x:c>
      <x:c r="P430" t="str">
        <x:f>IF(L430&gt;=75,"High",IF(L430&gt;=55,"Medium","Low"))</x:f>
        <x:v>Low</x:v>
      </x:c>
    </x:row>
    <x:row r="431">
      <x:c r="A431" t="n">
        <x:v>430</x:v>
      </x:c>
      <x:c r="B431" t="n">
        <x:v>10216</x:v>
      </x:c>
      <x:c r="C431" s="16" t="n">
        <x:v>46127</x:v>
      </x:c>
      <x:c r="D431" t="str">
        <x:v>19:52:00</x:v>
      </x:c>
      <x:c r="E431" t="str">
        <x:v>Card</x:v>
      </x:c>
      <x:c r="F431" t="str">
        <x:v>Travel</x:v>
      </x:c>
      <x:c r="G431" s="18" t="n">
        <x:v>87.19</x:v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n">
        <x:v>10</x:v>
      </x:c>
      <x:c r="M431" t="n">
        <x:v>0</x:v>
      </x:c>
      <x:c r="N431" t="str">
        <x:v>Approved</x:v>
      </x:c>
      <x:c r="O431" t="n">
        <x:v>0</x:v>
      </x:c>
      <x:c r="P431" t="str">
        <x:f>IF(L431&gt;=75,"High",IF(L431&gt;=55,"Medium","Low"))</x:f>
        <x:v>Low</x:v>
      </x:c>
    </x:row>
    <x:row r="432">
      <x:c r="A432" t="n">
        <x:v>431</x:v>
      </x:c>
      <x:c r="B432" t="n">
        <x:v>10023</x:v>
      </x:c>
      <x:c r="C432" s="16" t="n">
        <x:v>46264</x:v>
      </x:c>
      <x:c r="D432" t="str">
        <x:v>08:56:00</x:v>
      </x:c>
      <x:c r="E432" t="str">
        <x:v>Bank Transfer</x:v>
      </x:c>
      <x:c r="F432" t="str">
        <x:v>Retail</x:v>
      </x:c>
      <x:c r="G432" s="18" t="n">
        <x:v>119.3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10</x:v>
      </x:c>
      <x:c r="M432" t="n">
        <x:v>0</x:v>
      </x:c>
      <x:c r="N432" t="str">
        <x:v>Approved</x:v>
      </x:c>
      <x:c r="O432" t="n">
        <x:v>0</x:v>
      </x:c>
      <x:c r="P432" t="str">
        <x:f>IF(L432&gt;=75,"High",IF(L432&gt;=55,"Medium","Low"))</x:f>
        <x:v>Low</x:v>
      </x:c>
    </x:row>
    <x:row r="433">
      <x:c r="A433" t="n">
        <x:v>432</x:v>
      </x:c>
      <x:c r="B433" t="n">
        <x:v>10090</x:v>
      </x:c>
      <x:c r="C433" s="16" t="n">
        <x:v>46227</x:v>
      </x:c>
      <x:c r="D433" t="str">
        <x:v>05:55:00</x:v>
      </x:c>
      <x:c r="E433" t="str">
        <x:v>Card</x:v>
      </x:c>
      <x:c r="F433" t="str">
        <x:v>Travel</x:v>
      </x:c>
      <x:c r="G433" s="18" t="n">
        <x:v>116.9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10</x:v>
      </x:c>
      <x:c r="M433" t="n">
        <x:v>0</x:v>
      </x:c>
      <x:c r="N433" t="str">
        <x:v>Approved</x:v>
      </x:c>
      <x:c r="O433" t="n">
        <x:v>0</x:v>
      </x:c>
      <x:c r="P433" t="str">
        <x:f>IF(L433&gt;=75,"High",IF(L433&gt;=55,"Medium","Low"))</x:f>
        <x:v>Low</x:v>
      </x:c>
    </x:row>
    <x:row r="434">
      <x:c r="A434" t="n">
        <x:v>433</x:v>
      </x:c>
      <x:c r="B434" t="n">
        <x:v>10336</x:v>
      </x:c>
      <x:c r="C434" s="16" t="n">
        <x:v>46173</x:v>
      </x:c>
      <x:c r="D434" t="str">
        <x:v>03:35:00</x:v>
      </x:c>
      <x:c r="E434" t="str">
        <x:v>Card</x:v>
      </x:c>
      <x:c r="F434" t="str">
        <x:v>Dining</x:v>
      </x:c>
      <x:c r="G434" s="18" t="n">
        <x:v>25.53</x:v>
      </x:c>
      <x:c r="H434" t="n">
        <x:v>0</x:v>
      </x:c>
      <x:c r="I434" t="n">
        <x:v>0</x:v>
      </x:c>
      <x:c r="J434" t="n">
        <x:v>0</x:v>
      </x:c>
      <x:c r="K434" t="n">
        <x:v>1</x:v>
      </x:c>
      <x:c r="L434" t="n">
        <x:v>25</x:v>
      </x:c>
      <x:c r="M434" t="n">
        <x:v>0</x:v>
      </x:c>
      <x:c r="N434" t="str">
        <x:v>Approved</x:v>
      </x:c>
      <x:c r="O434" t="n">
        <x:v>0</x:v>
      </x:c>
      <x:c r="P434" t="str">
        <x:f>IF(L434&gt;=75,"High",IF(L434&gt;=55,"Medium","Low"))</x:f>
        <x:v>Low</x:v>
      </x:c>
    </x:row>
    <x:row r="435">
      <x:c r="A435" t="n">
        <x:v>434</x:v>
      </x:c>
      <x:c r="B435" t="n">
        <x:v>10315</x:v>
      </x:c>
      <x:c r="C435" s="16" t="n">
        <x:v>46204</x:v>
      </x:c>
      <x:c r="D435" t="str">
        <x:v>02:06:00</x:v>
      </x:c>
      <x:c r="E435" t="str">
        <x:v>P2P</x:v>
      </x:c>
      <x:c r="F435" t="str">
        <x:v>Travel</x:v>
      </x:c>
      <x:c r="G435" s="18" t="n">
        <x:v>342.89</x:v>
      </x:c>
      <x:c r="H435" t="n">
        <x:v>1</x:v>
      </x:c>
      <x:c r="I435" t="n">
        <x:v>0</x:v>
      </x:c>
      <x:c r="J435" t="n">
        <x:v>0</x:v>
      </x:c>
      <x:c r="K435" t="n">
        <x:v>1</x:v>
      </x:c>
      <x:c r="L435" t="n">
        <x:v>51</x:v>
      </x:c>
      <x:c r="M435" t="n">
        <x:v>0</x:v>
      </x:c>
      <x:c r="N435" t="str">
        <x:v>Approved</x:v>
      </x:c>
      <x:c r="O435" t="n">
        <x:v>0</x:v>
      </x:c>
      <x:c r="P435" t="str">
        <x:f>IF(L435&gt;=75,"High",IF(L435&gt;=55,"Medium","Low"))</x:f>
        <x:v>Low</x:v>
      </x:c>
    </x:row>
    <x:row r="436">
      <x:c r="A436" t="n">
        <x:v>435</x:v>
      </x:c>
      <x:c r="B436" t="n">
        <x:v>10122</x:v>
      </x:c>
      <x:c r="C436" s="16" t="n">
        <x:v>46250</x:v>
      </x:c>
      <x:c r="D436" t="str">
        <x:v>07:47:00</x:v>
      </x:c>
      <x:c r="E436" t="str">
        <x:v>P2P</x:v>
      </x:c>
      <x:c r="F436" t="str">
        <x:v>Retail</x:v>
      </x:c>
      <x:c r="G436" s="18" t="n">
        <x:v>60.82</x:v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n">
        <x:v>10</x:v>
      </x:c>
      <x:c r="M436" t="n">
        <x:v>0</x:v>
      </x:c>
      <x:c r="N436" t="str">
        <x:v>Approved</x:v>
      </x:c>
      <x:c r="O436" t="n">
        <x:v>0</x:v>
      </x:c>
      <x:c r="P436" t="str">
        <x:f>IF(L436&gt;=75,"High",IF(L436&gt;=55,"Medium","Low"))</x:f>
        <x:v>Low</x:v>
      </x:c>
    </x:row>
    <x:row r="437">
      <x:c r="A437" t="n">
        <x:v>436</x:v>
      </x:c>
      <x:c r="B437" t="n">
        <x:v>10266</x:v>
      </x:c>
      <x:c r="C437" s="16" t="n">
        <x:v>46154</x:v>
      </x:c>
      <x:c r="D437" t="str">
        <x:v>13:23:00</x:v>
      </x:c>
      <x:c r="E437" t="str">
        <x:v>P2P</x:v>
      </x:c>
      <x:c r="F437" t="str">
        <x:v>Electronics</x:v>
      </x:c>
      <x:c r="G437" s="18" t="n">
        <x:v>20.83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10</x:v>
      </x:c>
      <x:c r="M437" t="n">
        <x:v>0</x:v>
      </x:c>
      <x:c r="N437" t="str">
        <x:v>Approved</x:v>
      </x:c>
      <x:c r="O437" t="n">
        <x:v>0</x:v>
      </x:c>
      <x:c r="P437" t="str">
        <x:f>IF(L437&gt;=75,"High",IF(L437&gt;=55,"Medium","Low"))</x:f>
        <x:v>Low</x:v>
      </x:c>
    </x:row>
    <x:row r="438">
      <x:c r="A438" t="n">
        <x:v>437</x:v>
      </x:c>
      <x:c r="B438" t="n">
        <x:v>10278</x:v>
      </x:c>
      <x:c r="C438" s="16" t="n">
        <x:v>46134</x:v>
      </x:c>
      <x:c r="D438" t="str">
        <x:v>23:24:00</x:v>
      </x:c>
      <x:c r="E438" t="str">
        <x:v>Card</x:v>
      </x:c>
      <x:c r="F438" t="str">
        <x:v>Retail</x:v>
      </x:c>
      <x:c r="G438" s="18" t="n">
        <x:v>525.85</x:v>
      </x:c>
      <x:c r="H438" t="n">
        <x:v>0</x:v>
      </x:c>
      <x:c r="I438" t="n">
        <x:v>0</x:v>
      </x:c>
      <x:c r="J438" t="n">
        <x:v>0</x:v>
      </x:c>
      <x:c r="K438" t="n">
        <x:v>0</x:v>
      </x:c>
      <x:c r="L438" t="n">
        <x:v>10</x:v>
      </x:c>
      <x:c r="M438" t="n">
        <x:v>0</x:v>
      </x:c>
      <x:c r="N438" t="str">
        <x:v>Approved</x:v>
      </x:c>
      <x:c r="O438" t="n">
        <x:v>0</x:v>
      </x:c>
      <x:c r="P438" t="str">
        <x:f>IF(L438&gt;=75,"High",IF(L438&gt;=55,"Medium","Low"))</x:f>
        <x:v>Low</x:v>
      </x:c>
    </x:row>
    <x:row r="439">
      <x:c r="A439" t="n">
        <x:v>438</x:v>
      </x:c>
      <x:c r="B439" t="n">
        <x:v>10297</x:v>
      </x:c>
      <x:c r="C439" s="16" t="n">
        <x:v>46167</x:v>
      </x:c>
      <x:c r="D439" t="str">
        <x:v>07:08:00</x:v>
      </x:c>
      <x:c r="E439" t="str">
        <x:v>P2P</x:v>
      </x:c>
      <x:c r="F439" t="str">
        <x:v>Dining</x:v>
      </x:c>
      <x:c r="G439" s="18" t="n">
        <x:v>128.83</x:v>
      </x:c>
      <x:c r="H439" t="n">
        <x:v>0</x:v>
      </x:c>
      <x:c r="I439" t="n">
        <x:v>1</x:v>
      </x:c>
      <x:c r="J439" t="n">
        <x:v>0</x:v>
      </x:c>
      <x:c r="K439" t="n">
        <x:v>0</x:v>
      </x:c>
      <x:c r="L439" t="n">
        <x:v>30</x:v>
      </x:c>
      <x:c r="M439" t="n">
        <x:v>0</x:v>
      </x:c>
      <x:c r="N439" t="str">
        <x:v>Approved</x:v>
      </x:c>
      <x:c r="O439" t="n">
        <x:v>0</x:v>
      </x:c>
      <x:c r="P439" t="str">
        <x:f>IF(L439&gt;=75,"High",IF(L439&gt;=55,"Medium","Low"))</x:f>
        <x:v>Low</x:v>
      </x:c>
    </x:row>
    <x:row r="440">
      <x:c r="A440" t="n">
        <x:v>439</x:v>
      </x:c>
      <x:c r="B440" t="n">
        <x:v>10321</x:v>
      </x:c>
      <x:c r="C440" s="16" t="n">
        <x:v>46230</x:v>
      </x:c>
      <x:c r="D440" t="str">
        <x:v>03:07:00</x:v>
      </x:c>
      <x:c r="E440" t="str">
        <x:v>Card</x:v>
      </x:c>
      <x:c r="F440" t="str">
        <x:v>Utilities</x:v>
      </x:c>
      <x:c r="G440" s="18" t="n">
        <x:v>79.25</x:v>
      </x:c>
      <x:c r="H440" t="n">
        <x:v>0</x:v>
      </x:c>
      <x:c r="I440" t="n">
        <x:v>1</x:v>
      </x:c>
      <x:c r="J440" t="n">
        <x:v>0</x:v>
      </x:c>
      <x:c r="K440" t="n">
        <x:v>1</x:v>
      </x:c>
      <x:c r="L440" t="n">
        <x:v>45</x:v>
      </x:c>
      <x:c r="M440" t="n">
        <x:v>0</x:v>
      </x:c>
      <x:c r="N440" t="str">
        <x:v>Approved</x:v>
      </x:c>
      <x:c r="O440" t="n">
        <x:v>0</x:v>
      </x:c>
      <x:c r="P440" t="str">
        <x:f>IF(L440&gt;=75,"High",IF(L440&gt;=55,"Medium","Low"))</x:f>
        <x:v>Low</x:v>
      </x:c>
    </x:row>
    <x:row r="441">
      <x:c r="A441" t="n">
        <x:v>440</x:v>
      </x:c>
      <x:c r="B441" t="n">
        <x:v>10146</x:v>
      </x:c>
      <x:c r="C441" s="16" t="n">
        <x:v>46228</x:v>
      </x:c>
      <x:c r="D441" t="str">
        <x:v>23:39:00</x:v>
      </x:c>
      <x:c r="E441" t="str">
        <x:v>Card</x:v>
      </x:c>
      <x:c r="F441" t="str">
        <x:v>Dining</x:v>
      </x:c>
      <x:c r="G441" s="18" t="n">
        <x:v>13.7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10</x:v>
      </x:c>
      <x:c r="M441" t="n">
        <x:v>0</x:v>
      </x:c>
      <x:c r="N441" t="str">
        <x:v>Approved</x:v>
      </x:c>
      <x:c r="O441" t="n">
        <x:v>0</x:v>
      </x:c>
      <x:c r="P441" t="str">
        <x:f>IF(L441&gt;=75,"High",IF(L441&gt;=55,"Medium","Low"))</x:f>
        <x:v>Low</x:v>
      </x:c>
    </x:row>
    <x:row r="442">
      <x:c r="A442" t="n">
        <x:v>441</x:v>
      </x:c>
      <x:c r="B442" t="n">
        <x:v>10295</x:v>
      </x:c>
      <x:c r="C442" s="16" t="n">
        <x:v>46245</x:v>
      </x:c>
      <x:c r="D442" t="str">
        <x:v>22:20:00</x:v>
      </x:c>
      <x:c r="E442" t="str">
        <x:v>Bank Transfer</x:v>
      </x:c>
      <x:c r="F442" t="str">
        <x:v>Transfer</x:v>
      </x:c>
      <x:c r="G442" s="18" t="n">
        <x:v>70.89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n">
        <x:v>10</x:v>
      </x:c>
      <x:c r="M442" t="n">
        <x:v>0</x:v>
      </x:c>
      <x:c r="N442" t="str">
        <x:v>Approved</x:v>
      </x:c>
      <x:c r="O442" t="n">
        <x:v>0</x:v>
      </x:c>
      <x:c r="P442" t="str">
        <x:f>IF(L442&gt;=75,"High",IF(L442&gt;=55,"Medium","Low"))</x:f>
        <x:v>Low</x:v>
      </x:c>
    </x:row>
    <x:row r="443">
      <x:c r="A443" t="n">
        <x:v>442</x:v>
      </x:c>
      <x:c r="B443" t="n">
        <x:v>10179</x:v>
      </x:c>
      <x:c r="C443" s="16" t="n">
        <x:v>46228</x:v>
      </x:c>
      <x:c r="D443" t="str">
        <x:v>09:22:00</x:v>
      </x:c>
      <x:c r="E443" t="str">
        <x:v>Card</x:v>
      </x:c>
      <x:c r="F443" t="str">
        <x:v>Transfer</x:v>
      </x:c>
      <x:c r="G443" s="18" t="n">
        <x:v>503.38</x:v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n">
        <x:v>10</x:v>
      </x:c>
      <x:c r="M443" t="n">
        <x:v>0</x:v>
      </x:c>
      <x:c r="N443" t="str">
        <x:v>Approved</x:v>
      </x:c>
      <x:c r="O443" t="n">
        <x:v>0</x:v>
      </x:c>
      <x:c r="P443" t="str">
        <x:f>IF(L443&gt;=75,"High",IF(L443&gt;=55,"Medium","Low"))</x:f>
        <x:v>Low</x:v>
      </x:c>
    </x:row>
    <x:row r="444">
      <x:c r="A444" t="n">
        <x:v>443</x:v>
      </x:c>
      <x:c r="B444" t="n">
        <x:v>10250</x:v>
      </x:c>
      <x:c r="C444" s="16" t="n">
        <x:v>46228</x:v>
      </x:c>
      <x:c r="D444" t="str">
        <x:v>11:26:00</x:v>
      </x:c>
      <x:c r="E444" t="str">
        <x:v>Card</x:v>
      </x:c>
      <x:c r="F444" t="str">
        <x:v>Transfer</x:v>
      </x:c>
      <x:c r="G444" s="18" t="n">
        <x:v>29.15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10</x:v>
      </x:c>
      <x:c r="M444" t="n">
        <x:v>0</x:v>
      </x:c>
      <x:c r="N444" t="str">
        <x:v>Approved</x:v>
      </x:c>
      <x:c r="O444" t="n">
        <x:v>0</x:v>
      </x:c>
      <x:c r="P444" t="str">
        <x:f>IF(L444&gt;=75,"High",IF(L444&gt;=55,"Medium","Low"))</x:f>
        <x:v>Low</x:v>
      </x:c>
    </x:row>
    <x:row r="445">
      <x:c r="A445" t="n">
        <x:v>444</x:v>
      </x:c>
      <x:c r="B445" t="n">
        <x:v>10203</x:v>
      </x:c>
      <x:c r="C445" s="16" t="n">
        <x:v>46263</x:v>
      </x:c>
      <x:c r="D445" t="str">
        <x:v>04:54:00</x:v>
      </x:c>
      <x:c r="E445" t="str">
        <x:v>Card</x:v>
      </x:c>
      <x:c r="F445" t="str">
        <x:v>Dining</x:v>
      </x:c>
      <x:c r="G445" s="18" t="n">
        <x:v>43.86</x:v>
      </x:c>
      <x:c r="H445" t="n">
        <x:v>0</x:v>
      </x:c>
      <x:c r="I445" t="n">
        <x:v>0</x:v>
      </x:c>
      <x:c r="J445" t="n">
        <x:v>0</x:v>
      </x:c>
      <x:c r="K445" t="n">
        <x:v>1</x:v>
      </x:c>
      <x:c r="L445" t="n">
        <x:v>25</x:v>
      </x:c>
      <x:c r="M445" t="n">
        <x:v>0</x:v>
      </x:c>
      <x:c r="N445" t="str">
        <x:v>Approved</x:v>
      </x:c>
      <x:c r="O445" t="n">
        <x:v>0</x:v>
      </x:c>
      <x:c r="P445" t="str">
        <x:f>IF(L445&gt;=75,"High",IF(L445&gt;=55,"Medium","Low"))</x:f>
        <x:v>Low</x:v>
      </x:c>
    </x:row>
    <x:row r="446">
      <x:c r="A446" t="n">
        <x:v>445</x:v>
      </x:c>
      <x:c r="B446" t="n">
        <x:v>10226</x:v>
      </x:c>
      <x:c r="C446" s="16" t="n">
        <x:v>46263</x:v>
      </x:c>
      <x:c r="D446" t="str">
        <x:v>03:38:00</x:v>
      </x:c>
      <x:c r="E446" t="str">
        <x:v>Card</x:v>
      </x:c>
      <x:c r="F446" t="str">
        <x:v>Dining</x:v>
      </x:c>
      <x:c r="G446" s="18" t="n">
        <x:v>184.49</x:v>
      </x:c>
      <x:c r="H446" t="n">
        <x:v>0</x:v>
      </x:c>
      <x:c r="I446" t="n">
        <x:v>1</x:v>
      </x:c>
      <x:c r="J446" t="n">
        <x:v>0</x:v>
      </x:c>
      <x:c r="K446" t="n">
        <x:v>1</x:v>
      </x:c>
      <x:c r="L446" t="n">
        <x:v>45</x:v>
      </x:c>
      <x:c r="M446" t="n">
        <x:v>0</x:v>
      </x:c>
      <x:c r="N446" t="str">
        <x:v>Approved</x:v>
      </x:c>
      <x:c r="O446" t="n">
        <x:v>0</x:v>
      </x:c>
      <x:c r="P446" t="str">
        <x:f>IF(L446&gt;=75,"High",IF(L446&gt;=55,"Medium","Low"))</x:f>
        <x:v>Low</x:v>
      </x:c>
    </x:row>
    <x:row r="447">
      <x:c r="A447" t="n">
        <x:v>446</x:v>
      </x:c>
      <x:c r="B447" t="n">
        <x:v>10280</x:v>
      </x:c>
      <x:c r="C447" s="16" t="n">
        <x:v>46260</x:v>
      </x:c>
      <x:c r="D447" t="str">
        <x:v>17:20:00</x:v>
      </x:c>
      <x:c r="E447" t="str">
        <x:v>Card</x:v>
      </x:c>
      <x:c r="F447" t="str">
        <x:v>Travel</x:v>
      </x:c>
      <x:c r="G447" s="18" t="n">
        <x:v>28.52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10</x:v>
      </x:c>
      <x:c r="M447" t="n">
        <x:v>0</x:v>
      </x:c>
      <x:c r="N447" t="str">
        <x:v>Approved</x:v>
      </x:c>
      <x:c r="O447" t="n">
        <x:v>0</x:v>
      </x:c>
      <x:c r="P447" t="str">
        <x:f>IF(L447&gt;=75,"High",IF(L447&gt;=55,"Medium","Low"))</x:f>
        <x:v>Low</x:v>
      </x:c>
    </x:row>
    <x:row r="448">
      <x:c r="A448" t="n">
        <x:v>447</x:v>
      </x:c>
      <x:c r="B448" t="n">
        <x:v>10360</x:v>
      </x:c>
      <x:c r="C448" s="16" t="n">
        <x:v>46183</x:v>
      </x:c>
      <x:c r="D448" t="str">
        <x:v>23:38:00</x:v>
      </x:c>
      <x:c r="E448" t="str">
        <x:v>Card</x:v>
      </x:c>
      <x:c r="F448" t="str">
        <x:v>Retail</x:v>
      </x:c>
      <x:c r="G448" s="18" t="n">
        <x:v>19.93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10</x:v>
      </x:c>
      <x:c r="M448" t="n">
        <x:v>0</x:v>
      </x:c>
      <x:c r="N448" t="str">
        <x:v>Approved</x:v>
      </x:c>
      <x:c r="O448" t="n">
        <x:v>0</x:v>
      </x:c>
      <x:c r="P448" t="str">
        <x:f>IF(L448&gt;=75,"High",IF(L448&gt;=55,"Medium","Low"))</x:f>
        <x:v>Low</x:v>
      </x:c>
    </x:row>
    <x:row r="449">
      <x:c r="A449" t="n">
        <x:v>448</x:v>
      </x:c>
      <x:c r="B449" t="n">
        <x:v>10155</x:v>
      </x:c>
      <x:c r="C449" s="16" t="n">
        <x:v>46202</x:v>
      </x:c>
      <x:c r="D449" t="str">
        <x:v>18:50:00</x:v>
      </x:c>
      <x:c r="E449" t="str">
        <x:v>P2P</x:v>
      </x:c>
      <x:c r="F449" t="str">
        <x:v>Electronics</x:v>
      </x:c>
      <x:c r="G449" s="18" t="n">
        <x:v>229.18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10</x:v>
      </x:c>
      <x:c r="M449" t="n">
        <x:v>0</x:v>
      </x:c>
      <x:c r="N449" t="str">
        <x:v>Approved</x:v>
      </x:c>
      <x:c r="O449" t="n">
        <x:v>0</x:v>
      </x:c>
      <x:c r="P449" t="str">
        <x:f>IF(L449&gt;=75,"High",IF(L449&gt;=55,"Medium","Low"))</x:f>
        <x:v>Low</x:v>
      </x:c>
    </x:row>
    <x:row r="450">
      <x:c r="A450" t="n">
        <x:v>449</x:v>
      </x:c>
      <x:c r="B450" t="n">
        <x:v>10026</x:v>
      </x:c>
      <x:c r="C450" s="16" t="n">
        <x:v>46178</x:v>
      </x:c>
      <x:c r="D450" t="str">
        <x:v>03:39:00</x:v>
      </x:c>
      <x:c r="E450" t="str">
        <x:v>Card</x:v>
      </x:c>
      <x:c r="F450" t="str">
        <x:v>Utilities</x:v>
      </x:c>
      <x:c r="G450" s="18" t="n">
        <x:v>267.06</x:v>
      </x:c>
      <x:c r="H450" t="n">
        <x:v>1</x:v>
      </x:c>
      <x:c r="I450" t="n">
        <x:v>0</x:v>
      </x:c>
      <x:c r="J450" t="n">
        <x:v>0</x:v>
      </x:c>
      <x:c r="K450" t="n">
        <x:v>1</x:v>
      </x:c>
      <x:c r="L450" t="n">
        <x:v>51</x:v>
      </x:c>
      <x:c r="M450" t="n">
        <x:v>0</x:v>
      </x:c>
      <x:c r="N450" t="str">
        <x:v>Declined</x:v>
      </x:c>
      <x:c r="O450" t="n">
        <x:v>0</x:v>
      </x:c>
      <x:c r="P450" t="str">
        <x:f>IF(L450&gt;=75,"High",IF(L450&gt;=55,"Medium","Low"))</x:f>
        <x:v>Low</x:v>
      </x:c>
    </x:row>
    <x:row r="451">
      <x:c r="A451" t="n">
        <x:v>450</x:v>
      </x:c>
      <x:c r="B451" t="n">
        <x:v>10154</x:v>
      </x:c>
      <x:c r="C451" s="16" t="n">
        <x:v>46291</x:v>
      </x:c>
      <x:c r="D451" t="str">
        <x:v>08:17:00</x:v>
      </x:c>
      <x:c r="E451" t="str">
        <x:v>Bank Transfer</x:v>
      </x:c>
      <x:c r="F451" t="str">
        <x:v>Retail</x:v>
      </x:c>
      <x:c r="G451" s="18" t="n">
        <x:v>42.29</x:v>
      </x:c>
      <x:c r="H451" t="n">
        <x:v>0</x:v>
      </x:c>
      <x:c r="I451" t="n">
        <x:v>1</x:v>
      </x:c>
      <x:c r="J451" t="n">
        <x:v>0</x:v>
      </x:c>
      <x:c r="K451" t="n">
        <x:v>0</x:v>
      </x:c>
      <x:c r="L451" t="n">
        <x:v>30</x:v>
      </x:c>
      <x:c r="M451" t="n">
        <x:v>0</x:v>
      </x:c>
      <x:c r="N451" t="str">
        <x:v>Declined</x:v>
      </x:c>
      <x:c r="O451" t="n">
        <x:v>0</x:v>
      </x:c>
      <x:c r="P451" t="str">
        <x:f>IF(L451&gt;=75,"High",IF(L451&gt;=55,"Medium","Low"))</x:f>
        <x:v>Low</x:v>
      </x:c>
    </x:row>
    <x:row r="452">
      <x:c r="A452" t="n">
        <x:v>451</x:v>
      </x:c>
      <x:c r="B452" t="n">
        <x:v>10249</x:v>
      </x:c>
      <x:c r="C452" s="16" t="n">
        <x:v>46196</x:v>
      </x:c>
      <x:c r="D452" t="str">
        <x:v>11:51:00</x:v>
      </x:c>
      <x:c r="E452" t="str">
        <x:v>Bank Transfer</x:v>
      </x:c>
      <x:c r="F452" t="str">
        <x:v>Retail</x:v>
      </x:c>
      <x:c r="G452" s="18" t="n">
        <x:v>124.48</x:v>
      </x:c>
      <x:c r="H452" t="n">
        <x:v>1</x:v>
      </x:c>
      <x:c r="I452" t="n">
        <x:v>0</x:v>
      </x:c>
      <x:c r="J452" t="n">
        <x:v>0</x:v>
      </x:c>
      <x:c r="K452" t="n">
        <x:v>0</x:v>
      </x:c>
      <x:c r="L452" t="n">
        <x:v>36</x:v>
      </x:c>
      <x:c r="M452" t="n">
        <x:v>0</x:v>
      </x:c>
      <x:c r="N452" t="str">
        <x:v>Approved</x:v>
      </x:c>
      <x:c r="O452" t="n">
        <x:v>0</x:v>
      </x:c>
      <x:c r="P452" t="str">
        <x:f>IF(L452&gt;=75,"High",IF(L452&gt;=55,"Medium","Low"))</x:f>
        <x:v>Low</x:v>
      </x:c>
    </x:row>
    <x:row r="453">
      <x:c r="A453" t="n">
        <x:v>452</x:v>
      </x:c>
      <x:c r="B453" t="n">
        <x:v>10063</x:v>
      </x:c>
      <x:c r="C453" s="16" t="n">
        <x:v>46181</x:v>
      </x:c>
      <x:c r="D453" t="str">
        <x:v>22:31:00</x:v>
      </x:c>
      <x:c r="E453" t="str">
        <x:v>Card</x:v>
      </x:c>
      <x:c r="F453" t="str">
        <x:v>Travel</x:v>
      </x:c>
      <x:c r="G453" s="18" t="n">
        <x:v>234.27</x:v>
      </x:c>
      <x:c r="H453" t="n">
        <x:v>0</x:v>
      </x:c>
      <x:c r="I453" t="n">
        <x:v>1</x:v>
      </x:c>
      <x:c r="J453" t="n">
        <x:v>0</x:v>
      </x:c>
      <x:c r="K453" t="n">
        <x:v>0</x:v>
      </x:c>
      <x:c r="L453" t="n">
        <x:v>30</x:v>
      </x:c>
      <x:c r="M453" t="n">
        <x:v>0</x:v>
      </x:c>
      <x:c r="N453" t="str">
        <x:v>Approved</x:v>
      </x:c>
      <x:c r="O453" t="n">
        <x:v>0</x:v>
      </x:c>
      <x:c r="P453" t="str">
        <x:f>IF(L453&gt;=75,"High",IF(L453&gt;=55,"Medium","Low"))</x:f>
        <x:v>Low</x:v>
      </x:c>
    </x:row>
    <x:row r="454">
      <x:c r="A454" t="n">
        <x:v>453</x:v>
      </x:c>
      <x:c r="B454" t="n">
        <x:v>10301</x:v>
      </x:c>
      <x:c r="C454" s="16" t="n">
        <x:v>46215</x:v>
      </x:c>
      <x:c r="D454" t="str">
        <x:v>11:23:00</x:v>
      </x:c>
      <x:c r="E454" t="str">
        <x:v>P2P</x:v>
      </x:c>
      <x:c r="F454" t="str">
        <x:v>Utilities</x:v>
      </x:c>
      <x:c r="G454" s="18" t="n">
        <x:v>25.14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10</x:v>
      </x:c>
      <x:c r="M454" t="n">
        <x:v>0</x:v>
      </x:c>
      <x:c r="N454" t="str">
        <x:v>Approved</x:v>
      </x:c>
      <x:c r="O454" t="n">
        <x:v>0</x:v>
      </x:c>
      <x:c r="P454" t="str">
        <x:f>IF(L454&gt;=75,"High",IF(L454&gt;=55,"Medium","Low"))</x:f>
        <x:v>Low</x:v>
      </x:c>
    </x:row>
    <x:row r="455">
      <x:c r="A455" t="n">
        <x:v>454</x:v>
      </x:c>
      <x:c r="B455" t="n">
        <x:v>10099</x:v>
      </x:c>
      <x:c r="C455" s="16" t="n">
        <x:v>46113</x:v>
      </x:c>
      <x:c r="D455" t="str">
        <x:v>03:47:00</x:v>
      </x:c>
      <x:c r="E455" t="str">
        <x:v>Bank Transfer</x:v>
      </x:c>
      <x:c r="F455" t="str">
        <x:v>Electronics</x:v>
      </x:c>
      <x:c r="G455" s="18" t="n">
        <x:v>87.2</x:v>
      </x:c>
      <x:c r="H455" t="n">
        <x:v>0</x:v>
      </x:c>
      <x:c r="I455" t="n">
        <x:v>0</x:v>
      </x:c>
      <x:c r="J455" t="n">
        <x:v>0</x:v>
      </x:c>
      <x:c r="K455" t="n">
        <x:v>1</x:v>
      </x:c>
      <x:c r="L455" t="n">
        <x:v>25</x:v>
      </x:c>
      <x:c r="M455" t="n">
        <x:v>0</x:v>
      </x:c>
      <x:c r="N455" t="str">
        <x:v>Approved</x:v>
      </x:c>
      <x:c r="O455" t="n">
        <x:v>0</x:v>
      </x:c>
      <x:c r="P455" t="str">
        <x:f>IF(L455&gt;=75,"High",IF(L455&gt;=55,"Medium","Low"))</x:f>
        <x:v>Low</x:v>
      </x:c>
    </x:row>
    <x:row r="456">
      <x:c r="A456" t="n">
        <x:v>455</x:v>
      </x:c>
      <x:c r="B456" t="n">
        <x:v>10192</x:v>
      </x:c>
      <x:c r="C456" s="16" t="n">
        <x:v>46184</x:v>
      </x:c>
      <x:c r="D456" t="str">
        <x:v>00:39:00</x:v>
      </x:c>
      <x:c r="E456" t="str">
        <x:v>Card</x:v>
      </x:c>
      <x:c r="F456" t="str">
        <x:v>Dining</x:v>
      </x:c>
      <x:c r="G456" s="18" t="n">
        <x:v>31.61</x:v>
      </x:c>
      <x:c r="H456" t="n">
        <x:v>0</x:v>
      </x:c>
      <x:c r="I456" t="n">
        <x:v>1</x:v>
      </x:c>
      <x:c r="J456" t="n">
        <x:v>0</x:v>
      </x:c>
      <x:c r="K456" t="n">
        <x:v>1</x:v>
      </x:c>
      <x:c r="L456" t="n">
        <x:v>45</x:v>
      </x:c>
      <x:c r="M456" t="n">
        <x:v>0</x:v>
      </x:c>
      <x:c r="N456" t="str">
        <x:v>Approved</x:v>
      </x:c>
      <x:c r="O456" t="n">
        <x:v>0</x:v>
      </x:c>
      <x:c r="P456" t="str">
        <x:f>IF(L456&gt;=75,"High",IF(L456&gt;=55,"Medium","Low"))</x:f>
        <x:v>Low</x:v>
      </x:c>
    </x:row>
    <x:row r="457">
      <x:c r="A457" t="n">
        <x:v>456</x:v>
      </x:c>
      <x:c r="B457" t="n">
        <x:v>10198</x:v>
      </x:c>
      <x:c r="C457" s="16" t="n">
        <x:v>46172</x:v>
      </x:c>
      <x:c r="D457" t="str">
        <x:v>10:35:00</x:v>
      </x:c>
      <x:c r="E457" t="str">
        <x:v>P2P</x:v>
      </x:c>
      <x:c r="F457" t="str">
        <x:v>Utilities</x:v>
      </x:c>
      <x:c r="G457" s="18" t="n">
        <x:v>32.53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10</x:v>
      </x:c>
      <x:c r="M457" t="n">
        <x:v>0</x:v>
      </x:c>
      <x:c r="N457" t="str">
        <x:v>Approved</x:v>
      </x:c>
      <x:c r="O457" t="n">
        <x:v>0</x:v>
      </x:c>
      <x:c r="P457" t="str">
        <x:f>IF(L457&gt;=75,"High",IF(L457&gt;=55,"Medium","Low"))</x:f>
        <x:v>Low</x:v>
      </x:c>
    </x:row>
    <x:row r="458">
      <x:c r="A458" t="n">
        <x:v>457</x:v>
      </x:c>
      <x:c r="B458" t="n">
        <x:v>10066</x:v>
      </x:c>
      <x:c r="C458" s="16" t="n">
        <x:v>46178</x:v>
      </x:c>
      <x:c r="D458" t="str">
        <x:v>22:55:00</x:v>
      </x:c>
      <x:c r="E458" t="str">
        <x:v>Bank Transfer</x:v>
      </x:c>
      <x:c r="F458" t="str">
        <x:v>Utilities</x:v>
      </x:c>
      <x:c r="G458" s="18" t="n">
        <x:v>44.41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10</x:v>
      </x:c>
      <x:c r="M458" t="n">
        <x:v>0</x:v>
      </x:c>
      <x:c r="N458" t="str">
        <x:v>Approved</x:v>
      </x:c>
      <x:c r="O458" t="n">
        <x:v>0</x:v>
      </x:c>
      <x:c r="P458" t="str">
        <x:f>IF(L458&gt;=75,"High",IF(L458&gt;=55,"Medium","Low"))</x:f>
        <x:v>Low</x:v>
      </x:c>
    </x:row>
    <x:row r="459">
      <x:c r="A459" t="n">
        <x:v>458</x:v>
      </x:c>
      <x:c r="B459" t="n">
        <x:v>10107</x:v>
      </x:c>
      <x:c r="C459" s="16" t="n">
        <x:v>46207</x:v>
      </x:c>
      <x:c r="D459" t="str">
        <x:v>17:10:00</x:v>
      </x:c>
      <x:c r="E459" t="str">
        <x:v>Card</x:v>
      </x:c>
      <x:c r="F459" t="str">
        <x:v>Retail</x:v>
      </x:c>
      <x:c r="G459" s="18" t="n">
        <x:v>9.77</x:v>
      </x:c>
      <x:c r="H459" t="n">
        <x:v>1</x:v>
      </x:c>
      <x:c r="I459" t="n">
        <x:v>0</x:v>
      </x:c>
      <x:c r="J459" t="n">
        <x:v>0</x:v>
      </x:c>
      <x:c r="K459" t="n">
        <x:v>0</x:v>
      </x:c>
      <x:c r="L459" t="n">
        <x:v>36</x:v>
      </x:c>
      <x:c r="M459" t="n">
        <x:v>0</x:v>
      </x:c>
      <x:c r="N459" t="str">
        <x:v>Approved</x:v>
      </x:c>
      <x:c r="O459" t="n">
        <x:v>0</x:v>
      </x:c>
      <x:c r="P459" t="str">
        <x:f>IF(L459&gt;=75,"High",IF(L459&gt;=55,"Medium","Low"))</x:f>
        <x:v>Low</x:v>
      </x:c>
    </x:row>
    <x:row r="460">
      <x:c r="A460" t="n">
        <x:v>459</x:v>
      </x:c>
      <x:c r="B460" t="n">
        <x:v>10049</x:v>
      </x:c>
      <x:c r="C460" s="16" t="n">
        <x:v>46152</x:v>
      </x:c>
      <x:c r="D460" t="str">
        <x:v>18:08:00</x:v>
      </x:c>
      <x:c r="E460" t="str">
        <x:v>Card</x:v>
      </x:c>
      <x:c r="F460" t="str">
        <x:v>Retail</x:v>
      </x:c>
      <x:c r="G460" s="18" t="n">
        <x:v>64.09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10</x:v>
      </x:c>
      <x:c r="M460" t="n">
        <x:v>0</x:v>
      </x:c>
      <x:c r="N460" t="str">
        <x:v>Approved</x:v>
      </x:c>
      <x:c r="O460" t="n">
        <x:v>0</x:v>
      </x:c>
      <x:c r="P460" t="str">
        <x:f>IF(L460&gt;=75,"High",IF(L460&gt;=55,"Medium","Low"))</x:f>
        <x:v>Low</x:v>
      </x:c>
    </x:row>
    <x:row r="461">
      <x:c r="A461" t="n">
        <x:v>460</x:v>
      </x:c>
      <x:c r="B461" t="n">
        <x:v>10295</x:v>
      </x:c>
      <x:c r="C461" s="16" t="n">
        <x:v>46142</x:v>
      </x:c>
      <x:c r="D461" t="str">
        <x:v>14:37:00</x:v>
      </x:c>
      <x:c r="E461" t="str">
        <x:v>P2P</x:v>
      </x:c>
      <x:c r="F461" t="str">
        <x:v>Electronics</x:v>
      </x:c>
      <x:c r="G461" s="18" t="n">
        <x:v>195.08</x:v>
      </x:c>
      <x:c r="H461" t="n">
        <x:v>1</x:v>
      </x:c>
      <x:c r="I461" t="n">
        <x:v>0</x:v>
      </x:c>
      <x:c r="J461" t="n">
        <x:v>0</x:v>
      </x:c>
      <x:c r="K461" t="n">
        <x:v>0</x:v>
      </x:c>
      <x:c r="L461" t="n">
        <x:v>36</x:v>
      </x:c>
      <x:c r="M461" t="n">
        <x:v>0</x:v>
      </x:c>
      <x:c r="N461" t="str">
        <x:v>Declined</x:v>
      </x:c>
      <x:c r="O461" t="n">
        <x:v>0</x:v>
      </x:c>
      <x:c r="P461" t="str">
        <x:f>IF(L461&gt;=75,"High",IF(L461&gt;=55,"Medium","Low"))</x:f>
        <x:v>Low</x:v>
      </x:c>
    </x:row>
    <x:row r="462">
      <x:c r="A462" t="n">
        <x:v>461</x:v>
      </x:c>
      <x:c r="B462" t="n">
        <x:v>10312</x:v>
      </x:c>
      <x:c r="C462" s="16" t="n">
        <x:v>46128</x:v>
      </x:c>
      <x:c r="D462" t="str">
        <x:v>11:17:00</x:v>
      </x:c>
      <x:c r="E462" t="str">
        <x:v>Card</x:v>
      </x:c>
      <x:c r="F462" t="str">
        <x:v>Retail</x:v>
      </x:c>
      <x:c r="G462" s="18" t="n">
        <x:v>48.4</x:v>
      </x:c>
      <x:c r="H462" t="n">
        <x:v>0</x:v>
      </x:c>
      <x:c r="I462" t="n">
        <x:v>1</x:v>
      </x:c>
      <x:c r="J462" t="n">
        <x:v>0</x:v>
      </x:c>
      <x:c r="K462" t="n">
        <x:v>0</x:v>
      </x:c>
      <x:c r="L462" t="n">
        <x:v>30</x:v>
      </x:c>
      <x:c r="M462" t="n">
        <x:v>0</x:v>
      </x:c>
      <x:c r="N462" t="str">
        <x:v>Approved</x:v>
      </x:c>
      <x:c r="O462" t="n">
        <x:v>0</x:v>
      </x:c>
      <x:c r="P462" t="str">
        <x:f>IF(L462&gt;=75,"High",IF(L462&gt;=55,"Medium","Low"))</x:f>
        <x:v>Low</x:v>
      </x:c>
    </x:row>
    <x:row r="463">
      <x:c r="A463" t="n">
        <x:v>462</x:v>
      </x:c>
      <x:c r="B463" t="n">
        <x:v>10229</x:v>
      </x:c>
      <x:c r="C463" s="16" t="n">
        <x:v>46134</x:v>
      </x:c>
      <x:c r="D463" t="str">
        <x:v>16:20:00</x:v>
      </x:c>
      <x:c r="E463" t="str">
        <x:v>P2P</x:v>
      </x:c>
      <x:c r="F463" t="str">
        <x:v>Transfer</x:v>
      </x:c>
      <x:c r="G463" s="18" t="n">
        <x:v>41.63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10</x:v>
      </x:c>
      <x:c r="M463" t="n">
        <x:v>0</x:v>
      </x:c>
      <x:c r="N463" t="str">
        <x:v>Approved</x:v>
      </x:c>
      <x:c r="O463" t="n">
        <x:v>0</x:v>
      </x:c>
      <x:c r="P463" t="str">
        <x:f>IF(L463&gt;=75,"High",IF(L463&gt;=55,"Medium","Low"))</x:f>
        <x:v>Low</x:v>
      </x:c>
    </x:row>
    <x:row r="464">
      <x:c r="A464" t="n">
        <x:v>463</x:v>
      </x:c>
      <x:c r="B464" t="n">
        <x:v>10181</x:v>
      </x:c>
      <x:c r="C464" s="16" t="n">
        <x:v>46258</x:v>
      </x:c>
      <x:c r="D464" t="str">
        <x:v>16:59:00</x:v>
      </x:c>
      <x:c r="E464" t="str">
        <x:v>Bank Transfer</x:v>
      </x:c>
      <x:c r="F464" t="str">
        <x:v>Subscriptions</x:v>
      </x:c>
      <x:c r="G464" s="18" t="n">
        <x:v>18.03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10</x:v>
      </x:c>
      <x:c r="M464" t="n">
        <x:v>0</x:v>
      </x:c>
      <x:c r="N464" t="str">
        <x:v>Approved</x:v>
      </x:c>
      <x:c r="O464" t="n">
        <x:v>0</x:v>
      </x:c>
      <x:c r="P464" t="str">
        <x:f>IF(L464&gt;=75,"High",IF(L464&gt;=55,"Medium","Low"))</x:f>
        <x:v>Low</x:v>
      </x:c>
    </x:row>
    <x:row r="465">
      <x:c r="A465" t="n">
        <x:v>464</x:v>
      </x:c>
      <x:c r="B465" t="n">
        <x:v>10076</x:v>
      </x:c>
      <x:c r="C465" s="16" t="n">
        <x:v>46251</x:v>
      </x:c>
      <x:c r="D465" t="str">
        <x:v>06:25:00</x:v>
      </x:c>
      <x:c r="E465" t="str">
        <x:v>Bank Transfer</x:v>
      </x:c>
      <x:c r="F465" t="str">
        <x:v>Utilities</x:v>
      </x:c>
      <x:c r="G465" s="18" t="n">
        <x:v>99.24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10</x:v>
      </x:c>
      <x:c r="M465" t="n">
        <x:v>0</x:v>
      </x:c>
      <x:c r="N465" t="str">
        <x:v>Declined</x:v>
      </x:c>
      <x:c r="O465" t="n">
        <x:v>0</x:v>
      </x:c>
      <x:c r="P465" t="str">
        <x:f>IF(L465&gt;=75,"High",IF(L465&gt;=55,"Medium","Low"))</x:f>
        <x:v>Low</x:v>
      </x:c>
    </x:row>
    <x:row r="466">
      <x:c r="A466" t="n">
        <x:v>465</x:v>
      </x:c>
      <x:c r="B466" t="n">
        <x:v>10168</x:v>
      </x:c>
      <x:c r="C466" s="16" t="n">
        <x:v>46229</x:v>
      </x:c>
      <x:c r="D466" t="str">
        <x:v>13:39:00</x:v>
      </x:c>
      <x:c r="E466" t="str">
        <x:v>Card</x:v>
      </x:c>
      <x:c r="F466" t="str">
        <x:v>Travel</x:v>
      </x:c>
      <x:c r="G466" s="18" t="n">
        <x:v>25.1</x:v>
      </x:c>
      <x:c r="H466" t="n">
        <x:v>0</x:v>
      </x:c>
      <x:c r="I466" t="n">
        <x:v>1</x:v>
      </x:c>
      <x:c r="J466" t="n">
        <x:v>0</x:v>
      </x:c>
      <x:c r="K466" t="n">
        <x:v>0</x:v>
      </x:c>
      <x:c r="L466" t="n">
        <x:v>30</x:v>
      </x:c>
      <x:c r="M466" t="n">
        <x:v>0</x:v>
      </x:c>
      <x:c r="N466" t="str">
        <x:v>Approved</x:v>
      </x:c>
      <x:c r="O466" t="n">
        <x:v>0</x:v>
      </x:c>
      <x:c r="P466" t="str">
        <x:f>IF(L466&gt;=75,"High",IF(L466&gt;=55,"Medium","Low"))</x:f>
        <x:v>Low</x:v>
      </x:c>
    </x:row>
    <x:row r="467">
      <x:c r="A467" t="n">
        <x:v>466</x:v>
      </x:c>
      <x:c r="B467" t="n">
        <x:v>10356</x:v>
      </x:c>
      <x:c r="C467" s="16" t="n">
        <x:v>46260</x:v>
      </x:c>
      <x:c r="D467" t="str">
        <x:v>11:50:00</x:v>
      </x:c>
      <x:c r="E467" t="str">
        <x:v>Card</x:v>
      </x:c>
      <x:c r="F467" t="str">
        <x:v>Travel</x:v>
      </x:c>
      <x:c r="G467" s="18" t="n">
        <x:v>52.11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10</x:v>
      </x:c>
      <x:c r="M467" t="n">
        <x:v>0</x:v>
      </x:c>
      <x:c r="N467" t="str">
        <x:v>Approved</x:v>
      </x:c>
      <x:c r="O467" t="n">
        <x:v>0</x:v>
      </x:c>
      <x:c r="P467" t="str">
        <x:f>IF(L467&gt;=75,"High",IF(L467&gt;=55,"Medium","Low"))</x:f>
        <x:v>Low</x:v>
      </x:c>
    </x:row>
    <x:row r="468">
      <x:c r="A468" t="n">
        <x:v>467</x:v>
      </x:c>
      <x:c r="B468" t="n">
        <x:v>10032</x:v>
      </x:c>
      <x:c r="C468" s="16" t="n">
        <x:v>46166</x:v>
      </x:c>
      <x:c r="D468" t="str">
        <x:v>20:23:00</x:v>
      </x:c>
      <x:c r="E468" t="str">
        <x:v>Card</x:v>
      </x:c>
      <x:c r="F468" t="str">
        <x:v>Dining</x:v>
      </x:c>
      <x:c r="G468" s="18" t="n">
        <x:v>137.25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10</x:v>
      </x:c>
      <x:c r="M468" t="n">
        <x:v>0</x:v>
      </x:c>
      <x:c r="N468" t="str">
        <x:v>Declined</x:v>
      </x:c>
      <x:c r="O468" t="n">
        <x:v>0</x:v>
      </x:c>
      <x:c r="P468" t="str">
        <x:f>IF(L468&gt;=75,"High",IF(L468&gt;=55,"Medium","Low"))</x:f>
        <x:v>Low</x:v>
      </x:c>
    </x:row>
    <x:row r="469">
      <x:c r="A469" t="n">
        <x:v>468</x:v>
      </x:c>
      <x:c r="B469" t="n">
        <x:v>10186</x:v>
      </x:c>
      <x:c r="C469" s="16" t="n">
        <x:v>46275</x:v>
      </x:c>
      <x:c r="D469" t="str">
        <x:v>09:14:00</x:v>
      </x:c>
      <x:c r="E469" t="str">
        <x:v>P2P</x:v>
      </x:c>
      <x:c r="F469" t="str">
        <x:v>Travel</x:v>
      </x:c>
      <x:c r="G469" s="18" t="n">
        <x:v>9.22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10</x:v>
      </x:c>
      <x:c r="M469" t="n">
        <x:v>0</x:v>
      </x:c>
      <x:c r="N469" t="str">
        <x:v>Approved</x:v>
      </x:c>
      <x:c r="O469" t="n">
        <x:v>0</x:v>
      </x:c>
      <x:c r="P469" t="str">
        <x:f>IF(L469&gt;=75,"High",IF(L469&gt;=55,"Medium","Low"))</x:f>
        <x:v>Low</x:v>
      </x:c>
    </x:row>
    <x:row r="470">
      <x:c r="A470" t="n">
        <x:v>469</x:v>
      </x:c>
      <x:c r="B470" t="n">
        <x:v>10304</x:v>
      </x:c>
      <x:c r="C470" s="16" t="n">
        <x:v>46272</x:v>
      </x:c>
      <x:c r="D470" t="str">
        <x:v>01:30:00</x:v>
      </x:c>
      <x:c r="E470" t="str">
        <x:v>Bank Transfer</x:v>
      </x:c>
      <x:c r="F470" t="str">
        <x:v>Dining</x:v>
      </x:c>
      <x:c r="G470" s="18" t="n">
        <x:v>71.12</x:v>
      </x:c>
      <x:c r="H470" t="n">
        <x:v>0</x:v>
      </x:c>
      <x:c r="I470" t="n">
        <x:v>0</x:v>
      </x:c>
      <x:c r="J470" t="n">
        <x:v>0</x:v>
      </x:c>
      <x:c r="K470" t="n">
        <x:v>1</x:v>
      </x:c>
      <x:c r="L470" t="n">
        <x:v>25</x:v>
      </x:c>
      <x:c r="M470" t="n">
        <x:v>0</x:v>
      </x:c>
      <x:c r="N470" t="str">
        <x:v>Approved</x:v>
      </x:c>
      <x:c r="O470" t="n">
        <x:v>0</x:v>
      </x:c>
      <x:c r="P470" t="str">
        <x:f>IF(L470&gt;=75,"High",IF(L470&gt;=55,"Medium","Low"))</x:f>
        <x:v>Low</x:v>
      </x:c>
    </x:row>
    <x:row r="471">
      <x:c r="A471" t="n">
        <x:v>470</x:v>
      </x:c>
      <x:c r="B471" t="n">
        <x:v>10165</x:v>
      </x:c>
      <x:c r="C471" s="16" t="n">
        <x:v>46186</x:v>
      </x:c>
      <x:c r="D471" t="str">
        <x:v>05:42:00</x:v>
      </x:c>
      <x:c r="E471" t="str">
        <x:v>Bank Transfer</x:v>
      </x:c>
      <x:c r="F471" t="str">
        <x:v>Transfer</x:v>
      </x:c>
      <x:c r="G471" s="18" t="n">
        <x:v>137.29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10</x:v>
      </x:c>
      <x:c r="M471" t="n">
        <x:v>0</x:v>
      </x:c>
      <x:c r="N471" t="str">
        <x:v>Approved</x:v>
      </x:c>
      <x:c r="O471" t="n">
        <x:v>0</x:v>
      </x:c>
      <x:c r="P471" t="str">
        <x:f>IF(L471&gt;=75,"High",IF(L471&gt;=55,"Medium","Low"))</x:f>
        <x:v>Low</x:v>
      </x:c>
    </x:row>
    <x:row r="472">
      <x:c r="A472" t="n">
        <x:v>471</x:v>
      </x:c>
      <x:c r="B472" t="n">
        <x:v>10185</x:v>
      </x:c>
      <x:c r="C472" s="16" t="n">
        <x:v>46223</x:v>
      </x:c>
      <x:c r="D472" t="str">
        <x:v>09:35:00</x:v>
      </x:c>
      <x:c r="E472" t="str">
        <x:v>Card</x:v>
      </x:c>
      <x:c r="F472" t="str">
        <x:v>Subscriptions</x:v>
      </x:c>
      <x:c r="G472" s="18" t="n">
        <x:v>65.96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10</x:v>
      </x:c>
      <x:c r="M472" t="n">
        <x:v>0</x:v>
      </x:c>
      <x:c r="N472" t="str">
        <x:v>Approved</x:v>
      </x:c>
      <x:c r="O472" t="n">
        <x:v>0</x:v>
      </x:c>
      <x:c r="P472" t="str">
        <x:f>IF(L472&gt;=75,"High",IF(L472&gt;=55,"Medium","Low"))</x:f>
        <x:v>Low</x:v>
      </x:c>
    </x:row>
    <x:row r="473">
      <x:c r="A473" t="n">
        <x:v>472</x:v>
      </x:c>
      <x:c r="B473" t="n">
        <x:v>10267</x:v>
      </x:c>
      <x:c r="C473" s="16" t="n">
        <x:v>46143</x:v>
      </x:c>
      <x:c r="D473" t="str">
        <x:v>04:21:00</x:v>
      </x:c>
      <x:c r="E473" t="str">
        <x:v>Card</x:v>
      </x:c>
      <x:c r="F473" t="str">
        <x:v>Travel</x:v>
      </x:c>
      <x:c r="G473" s="18" t="n">
        <x:v>144.52</x:v>
      </x:c>
      <x:c r="H473" t="n">
        <x:v>0</x:v>
      </x:c>
      <x:c r="I473" t="n">
        <x:v>0</x:v>
      </x:c>
      <x:c r="J473" t="n">
        <x:v>0</x:v>
      </x:c>
      <x:c r="K473" t="n">
        <x:v>1</x:v>
      </x:c>
      <x:c r="L473" t="n">
        <x:v>25</x:v>
      </x:c>
      <x:c r="M473" t="n">
        <x:v>0</x:v>
      </x:c>
      <x:c r="N473" t="str">
        <x:v>Approved</x:v>
      </x:c>
      <x:c r="O473" t="n">
        <x:v>0</x:v>
      </x:c>
      <x:c r="P473" t="str">
        <x:f>IF(L473&gt;=75,"High",IF(L473&gt;=55,"Medium","Low"))</x:f>
        <x:v>Low</x:v>
      </x:c>
    </x:row>
    <x:row r="474">
      <x:c r="A474" t="n">
        <x:v>473</x:v>
      </x:c>
      <x:c r="B474" t="n">
        <x:v>10248</x:v>
      </x:c>
      <x:c r="C474" s="16" t="n">
        <x:v>46156</x:v>
      </x:c>
      <x:c r="D474" t="str">
        <x:v>07:27:00</x:v>
      </x:c>
      <x:c r="E474" t="str">
        <x:v>Card</x:v>
      </x:c>
      <x:c r="F474" t="str">
        <x:v>Travel</x:v>
      </x:c>
      <x:c r="G474" s="18" t="n">
        <x:v>71.12</x:v>
      </x:c>
      <x:c r="H474" t="n">
        <x:v>1</x:v>
      </x:c>
      <x:c r="I474" t="n">
        <x:v>0</x:v>
      </x:c>
      <x:c r="J474" t="n">
        <x:v>0</x:v>
      </x:c>
      <x:c r="K474" t="n">
        <x:v>0</x:v>
      </x:c>
      <x:c r="L474" t="n">
        <x:v>36</x:v>
      </x:c>
      <x:c r="M474" t="n">
        <x:v>0</x:v>
      </x:c>
      <x:c r="N474" t="str">
        <x:v>Approved</x:v>
      </x:c>
      <x:c r="O474" t="n">
        <x:v>0</x:v>
      </x:c>
      <x:c r="P474" t="str">
        <x:f>IF(L474&gt;=75,"High",IF(L474&gt;=55,"Medium","Low"))</x:f>
        <x:v>Low</x:v>
      </x:c>
    </x:row>
    <x:row r="475">
      <x:c r="A475" t="n">
        <x:v>474</x:v>
      </x:c>
      <x:c r="B475" t="n">
        <x:v>10207</x:v>
      </x:c>
      <x:c r="C475" s="16" t="n">
        <x:v>46176</x:v>
      </x:c>
      <x:c r="D475" t="str">
        <x:v>19:36:00</x:v>
      </x:c>
      <x:c r="E475" t="str">
        <x:v>Card</x:v>
      </x:c>
      <x:c r="F475" t="str">
        <x:v>Subscriptions</x:v>
      </x:c>
      <x:c r="G475" s="18" t="n">
        <x:v>657.37</x:v>
      </x:c>
      <x:c r="H475" t="n">
        <x:v>0</x:v>
      </x:c>
      <x:c r="I475" t="n">
        <x:v>0</x:v>
      </x:c>
      <x:c r="J475" t="n">
        <x:v>1</x:v>
      </x:c>
      <x:c r="K475" t="n">
        <x:v>0</x:v>
      </x:c>
      <x:c r="L475" t="n">
        <x:v>44</x:v>
      </x:c>
      <x:c r="M475" t="n">
        <x:v>0</x:v>
      </x:c>
      <x:c r="N475" t="str">
        <x:v>Approved</x:v>
      </x:c>
      <x:c r="O475" t="n">
        <x:v>0</x:v>
      </x:c>
      <x:c r="P475" t="str">
        <x:f>IF(L475&gt;=75,"High",IF(L475&gt;=55,"Medium","Low"))</x:f>
        <x:v>Low</x:v>
      </x:c>
    </x:row>
    <x:row r="476">
      <x:c r="A476" t="n">
        <x:v>475</x:v>
      </x:c>
      <x:c r="B476" t="n">
        <x:v>10178</x:v>
      </x:c>
      <x:c r="C476" s="16" t="n">
        <x:v>46141</x:v>
      </x:c>
      <x:c r="D476" t="str">
        <x:v>18:59:00</x:v>
      </x:c>
      <x:c r="E476" t="str">
        <x:v>Bank Transfer</x:v>
      </x:c>
      <x:c r="F476" t="str">
        <x:v>Transfer</x:v>
      </x:c>
      <x:c r="G476" s="18" t="n">
        <x:v>162.81</x:v>
      </x:c>
      <x:c r="H476" t="n">
        <x:v>1</x:v>
      </x:c>
      <x:c r="I476" t="n">
        <x:v>0</x:v>
      </x:c>
      <x:c r="J476" t="n">
        <x:v>0</x:v>
      </x:c>
      <x:c r="K476" t="n">
        <x:v>0</x:v>
      </x:c>
      <x:c r="L476" t="n">
        <x:v>36</x:v>
      </x:c>
      <x:c r="M476" t="n">
        <x:v>0</x:v>
      </x:c>
      <x:c r="N476" t="str">
        <x:v>Approved</x:v>
      </x:c>
      <x:c r="O476" t="n">
        <x:v>0</x:v>
      </x:c>
      <x:c r="P476" t="str">
        <x:f>IF(L476&gt;=75,"High",IF(L476&gt;=55,"Medium","Low"))</x:f>
        <x:v>Low</x:v>
      </x:c>
    </x:row>
    <x:row r="477">
      <x:c r="A477" t="n">
        <x:v>476</x:v>
      </x:c>
      <x:c r="B477" t="n">
        <x:v>10322</x:v>
      </x:c>
      <x:c r="C477" s="16" t="n">
        <x:v>46275</x:v>
      </x:c>
      <x:c r="D477" t="str">
        <x:v>16:56:00</x:v>
      </x:c>
      <x:c r="E477" t="str">
        <x:v>Bank Transfer</x:v>
      </x:c>
      <x:c r="F477" t="str">
        <x:v>Electronics</x:v>
      </x:c>
      <x:c r="G477" s="18" t="n">
        <x:v>170.47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10</x:v>
      </x:c>
      <x:c r="M477" t="n">
        <x:v>0</x:v>
      </x:c>
      <x:c r="N477" t="str">
        <x:v>Approved</x:v>
      </x:c>
      <x:c r="O477" t="n">
        <x:v>0</x:v>
      </x:c>
      <x:c r="P477" t="str">
        <x:f>IF(L477&gt;=75,"High",IF(L477&gt;=55,"Medium","Low"))</x:f>
        <x:v>Low</x:v>
      </x:c>
    </x:row>
    <x:row r="478">
      <x:c r="A478" t="n">
        <x:v>477</x:v>
      </x:c>
      <x:c r="B478" t="n">
        <x:v>10283</x:v>
      </x:c>
      <x:c r="C478" s="16" t="n">
        <x:v>46125</x:v>
      </x:c>
      <x:c r="D478" t="str">
        <x:v>18:13:00</x:v>
      </x:c>
      <x:c r="E478" t="str">
        <x:v>Card</x:v>
      </x:c>
      <x:c r="F478" t="str">
        <x:v>Subscriptions</x:v>
      </x:c>
      <x:c r="G478" s="18" t="n">
        <x:v>22.37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10</x:v>
      </x:c>
      <x:c r="M478" t="n">
        <x:v>0</x:v>
      </x:c>
      <x:c r="N478" t="str">
        <x:v>Approved</x:v>
      </x:c>
      <x:c r="O478" t="n">
        <x:v>0</x:v>
      </x:c>
      <x:c r="P478" t="str">
        <x:f>IF(L478&gt;=75,"High",IF(L478&gt;=55,"Medium","Low"))</x:f>
        <x:v>Low</x:v>
      </x:c>
    </x:row>
    <x:row r="479">
      <x:c r="A479" t="n">
        <x:v>478</x:v>
      </x:c>
      <x:c r="B479" t="n">
        <x:v>10284</x:v>
      </x:c>
      <x:c r="C479" s="16" t="n">
        <x:v>46238</x:v>
      </x:c>
      <x:c r="D479" t="str">
        <x:v>04:07:00</x:v>
      </x:c>
      <x:c r="E479" t="str">
        <x:v>Bank Transfer</x:v>
      </x:c>
      <x:c r="F479" t="str">
        <x:v>Dining</x:v>
      </x:c>
      <x:c r="G479" s="18" t="n">
        <x:v>107.38</x:v>
      </x:c>
      <x:c r="H479" t="n">
        <x:v>0</x:v>
      </x:c>
      <x:c r="I479" t="n">
        <x:v>1</x:v>
      </x:c>
      <x:c r="J479" t="n">
        <x:v>0</x:v>
      </x:c>
      <x:c r="K479" t="n">
        <x:v>1</x:v>
      </x:c>
      <x:c r="L479" t="n">
        <x:v>45</x:v>
      </x:c>
      <x:c r="M479" t="n">
        <x:v>0</x:v>
      </x:c>
      <x:c r="N479" t="str">
        <x:v>Approved</x:v>
      </x:c>
      <x:c r="O479" t="n">
        <x:v>0</x:v>
      </x:c>
      <x:c r="P479" t="str">
        <x:f>IF(L479&gt;=75,"High",IF(L479&gt;=55,"Medium","Low"))</x:f>
        <x:v>Low</x:v>
      </x:c>
    </x:row>
    <x:row r="480">
      <x:c r="A480" t="n">
        <x:v>479</x:v>
      </x:c>
      <x:c r="B480" t="n">
        <x:v>10304</x:v>
      </x:c>
      <x:c r="C480" s="16" t="n">
        <x:v>46192</x:v>
      </x:c>
      <x:c r="D480" t="str">
        <x:v>01:35:00</x:v>
      </x:c>
      <x:c r="E480" t="str">
        <x:v>Card</x:v>
      </x:c>
      <x:c r="F480" t="str">
        <x:v>Subscriptions</x:v>
      </x:c>
      <x:c r="G480" s="18" t="n">
        <x:v>86.06</x:v>
      </x:c>
      <x:c r="H480" t="n">
        <x:v>0</x:v>
      </x:c>
      <x:c r="I480" t="n">
        <x:v>0</x:v>
      </x:c>
      <x:c r="J480" t="n">
        <x:v>0</x:v>
      </x:c>
      <x:c r="K480" t="n">
        <x:v>1</x:v>
      </x:c>
      <x:c r="L480" t="n">
        <x:v>25</x:v>
      </x:c>
      <x:c r="M480" t="n">
        <x:v>0</x:v>
      </x:c>
      <x:c r="N480" t="str">
        <x:v>Approved</x:v>
      </x:c>
      <x:c r="O480" t="n">
        <x:v>0</x:v>
      </x:c>
      <x:c r="P480" t="str">
        <x:f>IF(L480&gt;=75,"High",IF(L480&gt;=55,"Medium","Low"))</x:f>
        <x:v>Low</x:v>
      </x:c>
    </x:row>
    <x:row r="481">
      <x:c r="A481" t="n">
        <x:v>480</x:v>
      </x:c>
      <x:c r="B481" t="n">
        <x:v>10013</x:v>
      </x:c>
      <x:c r="C481" s="16" t="n">
        <x:v>46113</x:v>
      </x:c>
      <x:c r="D481" t="str">
        <x:v>07:32:00</x:v>
      </x:c>
      <x:c r="E481" t="str">
        <x:v>Bank Transfer</x:v>
      </x:c>
      <x:c r="F481" t="str">
        <x:v>Subscriptions</x:v>
      </x:c>
      <x:c r="G481" s="18" t="n">
        <x:v>86.32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10</x:v>
      </x:c>
      <x:c r="M481" t="n">
        <x:v>0</x:v>
      </x:c>
      <x:c r="N481" t="str">
        <x:v>Approved</x:v>
      </x:c>
      <x:c r="O481" t="n">
        <x:v>0</x:v>
      </x:c>
      <x:c r="P481" t="str">
        <x:f>IF(L481&gt;=75,"High",IF(L481&gt;=55,"Medium","Low"))</x:f>
        <x:v>Low</x:v>
      </x:c>
    </x:row>
    <x:row r="482">
      <x:c r="A482" t="n">
        <x:v>481</x:v>
      </x:c>
      <x:c r="B482" t="n">
        <x:v>10202</x:v>
      </x:c>
      <x:c r="C482" s="16" t="n">
        <x:v>46205</x:v>
      </x:c>
      <x:c r="D482" t="str">
        <x:v>12:24:00</x:v>
      </x:c>
      <x:c r="E482" t="str">
        <x:v>Card</x:v>
      </x:c>
      <x:c r="F482" t="str">
        <x:v>Dining</x:v>
      </x:c>
      <x:c r="G482" s="18" t="n">
        <x:v>57.11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10</x:v>
      </x:c>
      <x:c r="M482" t="n">
        <x:v>0</x:v>
      </x:c>
      <x:c r="N482" t="str">
        <x:v>Approved</x:v>
      </x:c>
      <x:c r="O482" t="n">
        <x:v>0</x:v>
      </x:c>
      <x:c r="P482" t="str">
        <x:f>IF(L482&gt;=75,"High",IF(L482&gt;=55,"Medium","Low"))</x:f>
        <x:v>Low</x:v>
      </x:c>
    </x:row>
    <x:row r="483">
      <x:c r="A483" t="n">
        <x:v>482</x:v>
      </x:c>
      <x:c r="B483" t="n">
        <x:v>10271</x:v>
      </x:c>
      <x:c r="C483" s="16" t="n">
        <x:v>46295</x:v>
      </x:c>
      <x:c r="D483" t="str">
        <x:v>03:54:00</x:v>
      </x:c>
      <x:c r="E483" t="str">
        <x:v>Bank Transfer</x:v>
      </x:c>
      <x:c r="F483" t="str">
        <x:v>Utilities</x:v>
      </x:c>
      <x:c r="G483" s="18" t="n">
        <x:v>22.04</x:v>
      </x:c>
      <x:c r="H483" t="n">
        <x:v>0</x:v>
      </x:c>
      <x:c r="I483" t="n">
        <x:v>0</x:v>
      </x:c>
      <x:c r="J483" t="n">
        <x:v>0</x:v>
      </x:c>
      <x:c r="K483" t="n">
        <x:v>1</x:v>
      </x:c>
      <x:c r="L483" t="n">
        <x:v>25</x:v>
      </x:c>
      <x:c r="M483" t="n">
        <x:v>0</x:v>
      </x:c>
      <x:c r="N483" t="str">
        <x:v>Approved</x:v>
      </x:c>
      <x:c r="O483" t="n">
        <x:v>0</x:v>
      </x:c>
      <x:c r="P483" t="str">
        <x:f>IF(L483&gt;=75,"High",IF(L483&gt;=55,"Medium","Low"))</x:f>
        <x:v>Low</x:v>
      </x:c>
    </x:row>
    <x:row r="484">
      <x:c r="A484" t="n">
        <x:v>483</x:v>
      </x:c>
      <x:c r="B484" t="n">
        <x:v>10022</x:v>
      </x:c>
      <x:c r="C484" s="16" t="n">
        <x:v>46244</x:v>
      </x:c>
      <x:c r="D484" t="str">
        <x:v>14:59:00</x:v>
      </x:c>
      <x:c r="E484" t="str">
        <x:v>Bank Transfer</x:v>
      </x:c>
      <x:c r="F484" t="str">
        <x:v>Utilities</x:v>
      </x:c>
      <x:c r="G484" s="18" t="n">
        <x:v>139.63</x:v>
      </x:c>
      <x:c r="H484" t="n">
        <x:v>0</x:v>
      </x:c>
      <x:c r="I484" t="n">
        <x:v>1</x:v>
      </x:c>
      <x:c r="J484" t="n">
        <x:v>0</x:v>
      </x:c>
      <x:c r="K484" t="n">
        <x:v>0</x:v>
      </x:c>
      <x:c r="L484" t="n">
        <x:v>30</x:v>
      </x:c>
      <x:c r="M484" t="n">
        <x:v>0</x:v>
      </x:c>
      <x:c r="N484" t="str">
        <x:v>Declined</x:v>
      </x:c>
      <x:c r="O484" t="n">
        <x:v>0</x:v>
      </x:c>
      <x:c r="P484" t="str">
        <x:f>IF(L484&gt;=75,"High",IF(L484&gt;=55,"Medium","Low"))</x:f>
        <x:v>Low</x:v>
      </x:c>
    </x:row>
    <x:row r="485">
      <x:c r="A485" t="n">
        <x:v>484</x:v>
      </x:c>
      <x:c r="B485" t="n">
        <x:v>10020</x:v>
      </x:c>
      <x:c r="C485" s="16" t="n">
        <x:v>46283</x:v>
      </x:c>
      <x:c r="D485" t="str">
        <x:v>11:29:00</x:v>
      </x:c>
      <x:c r="E485" t="str">
        <x:v>Card</x:v>
      </x:c>
      <x:c r="F485" t="str">
        <x:v>Retail</x:v>
      </x:c>
      <x:c r="G485" s="18" t="n">
        <x:v>274.6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10</x:v>
      </x:c>
      <x:c r="M485" t="n">
        <x:v>0</x:v>
      </x:c>
      <x:c r="N485" t="str">
        <x:v>Approved</x:v>
      </x:c>
      <x:c r="O485" t="n">
        <x:v>0</x:v>
      </x:c>
      <x:c r="P485" t="str">
        <x:f>IF(L485&gt;=75,"High",IF(L485&gt;=55,"Medium","Low"))</x:f>
        <x:v>Low</x:v>
      </x:c>
    </x:row>
    <x:row r="486">
      <x:c r="A486" t="n">
        <x:v>485</x:v>
      </x:c>
      <x:c r="B486" t="n">
        <x:v>10343</x:v>
      </x:c>
      <x:c r="C486" s="16" t="n">
        <x:v>46247</x:v>
      </x:c>
      <x:c r="D486" t="str">
        <x:v>15:58:00</x:v>
      </x:c>
      <x:c r="E486" t="str">
        <x:v>Bank Transfer</x:v>
      </x:c>
      <x:c r="F486" t="str">
        <x:v>Dining</x:v>
      </x:c>
      <x:c r="G486" s="18" t="n">
        <x:v>27.11</x:v>
      </x:c>
      <x:c r="H486" t="n">
        <x:v>1</x:v>
      </x:c>
      <x:c r="I486" t="n">
        <x:v>0</x:v>
      </x:c>
      <x:c r="J486" t="n">
        <x:v>0</x:v>
      </x:c>
      <x:c r="K486" t="n">
        <x:v>0</x:v>
      </x:c>
      <x:c r="L486" t="n">
        <x:v>36</x:v>
      </x:c>
      <x:c r="M486" t="n">
        <x:v>0</x:v>
      </x:c>
      <x:c r="N486" t="str">
        <x:v>Approved</x:v>
      </x:c>
      <x:c r="O486" t="n">
        <x:v>0</x:v>
      </x:c>
      <x:c r="P486" t="str">
        <x:f>IF(L486&gt;=75,"High",IF(L486&gt;=55,"Medium","Low"))</x:f>
        <x:v>Low</x:v>
      </x:c>
    </x:row>
    <x:row r="487">
      <x:c r="A487" t="n">
        <x:v>486</x:v>
      </x:c>
      <x:c r="B487" t="n">
        <x:v>10215</x:v>
      </x:c>
      <x:c r="C487" s="16" t="n">
        <x:v>46178</x:v>
      </x:c>
      <x:c r="D487" t="str">
        <x:v>06:10:00</x:v>
      </x:c>
      <x:c r="E487" t="str">
        <x:v>Card</x:v>
      </x:c>
      <x:c r="F487" t="str">
        <x:v>Travel</x:v>
      </x:c>
      <x:c r="G487" s="18" t="n">
        <x:v>134.44</x:v>
      </x:c>
      <x:c r="H487" t="n">
        <x:v>0</x:v>
      </x:c>
      <x:c r="I487" t="n">
        <x:v>1</x:v>
      </x:c>
      <x:c r="J487" t="n">
        <x:v>0</x:v>
      </x:c>
      <x:c r="K487" t="n">
        <x:v>0</x:v>
      </x:c>
      <x:c r="L487" t="n">
        <x:v>30</x:v>
      </x:c>
      <x:c r="M487" t="n">
        <x:v>0</x:v>
      </x:c>
      <x:c r="N487" t="str">
        <x:v>Approved</x:v>
      </x:c>
      <x:c r="O487" t="n">
        <x:v>0</x:v>
      </x:c>
      <x:c r="P487" t="str">
        <x:f>IF(L487&gt;=75,"High",IF(L487&gt;=55,"Medium","Low"))</x:f>
        <x:v>Low</x:v>
      </x:c>
    </x:row>
    <x:row r="488">
      <x:c r="A488" t="n">
        <x:v>487</x:v>
      </x:c>
      <x:c r="B488" t="n">
        <x:v>10237</x:v>
      </x:c>
      <x:c r="C488" s="16" t="n">
        <x:v>46281</x:v>
      </x:c>
      <x:c r="D488" t="str">
        <x:v>05:27:00</x:v>
      </x:c>
      <x:c r="E488" t="str">
        <x:v>Card</x:v>
      </x:c>
      <x:c r="F488" t="str">
        <x:v>Subscriptions</x:v>
      </x:c>
      <x:c r="G488" s="18" t="n">
        <x:v>70.06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10</x:v>
      </x:c>
      <x:c r="M488" t="n">
        <x:v>0</x:v>
      </x:c>
      <x:c r="N488" t="str">
        <x:v>Approved</x:v>
      </x:c>
      <x:c r="O488" t="n">
        <x:v>0</x:v>
      </x:c>
      <x:c r="P488" t="str">
        <x:f>IF(L488&gt;=75,"High",IF(L488&gt;=55,"Medium","Low"))</x:f>
        <x:v>Low</x:v>
      </x:c>
    </x:row>
    <x:row r="489">
      <x:c r="A489" t="n">
        <x:v>488</x:v>
      </x:c>
      <x:c r="B489" t="n">
        <x:v>10356</x:v>
      </x:c>
      <x:c r="C489" s="16" t="n">
        <x:v>46264</x:v>
      </x:c>
      <x:c r="D489" t="str">
        <x:v>23:23:00</x:v>
      </x:c>
      <x:c r="E489" t="str">
        <x:v>Bank Transfer</x:v>
      </x:c>
      <x:c r="F489" t="str">
        <x:v>Utilities</x:v>
      </x:c>
      <x:c r="G489" s="18" t="n">
        <x:v>87.17</x:v>
      </x:c>
      <x:c r="H489" t="n">
        <x:v>1</x:v>
      </x:c>
      <x:c r="I489" t="n">
        <x:v>0</x:v>
      </x:c>
      <x:c r="J489" t="n">
        <x:v>0</x:v>
      </x:c>
      <x:c r="K489" t="n">
        <x:v>0</x:v>
      </x:c>
      <x:c r="L489" t="n">
        <x:v>36</x:v>
      </x:c>
      <x:c r="M489" t="n">
        <x:v>0</x:v>
      </x:c>
      <x:c r="N489" t="str">
        <x:v>Approved</x:v>
      </x:c>
      <x:c r="O489" t="n">
        <x:v>0</x:v>
      </x:c>
      <x:c r="P489" t="str">
        <x:f>IF(L489&gt;=75,"High",IF(L489&gt;=55,"Medium","Low"))</x:f>
        <x:v>Low</x:v>
      </x:c>
    </x:row>
    <x:row r="490">
      <x:c r="A490" t="n">
        <x:v>489</x:v>
      </x:c>
      <x:c r="B490" t="n">
        <x:v>10281</x:v>
      </x:c>
      <x:c r="C490" s="16" t="n">
        <x:v>46158</x:v>
      </x:c>
      <x:c r="D490" t="str">
        <x:v>00:14:00</x:v>
      </x:c>
      <x:c r="E490" t="str">
        <x:v>Card</x:v>
      </x:c>
      <x:c r="F490" t="str">
        <x:v>Subscriptions</x:v>
      </x:c>
      <x:c r="G490" s="18" t="n">
        <x:v>195.76</x:v>
      </x:c>
      <x:c r="H490" t="n">
        <x:v>0</x:v>
      </x:c>
      <x:c r="I490" t="n">
        <x:v>0</x:v>
      </x:c>
      <x:c r="J490" t="n">
        <x:v>0</x:v>
      </x:c>
      <x:c r="K490" t="n">
        <x:v>1</x:v>
      </x:c>
      <x:c r="L490" t="n">
        <x:v>25</x:v>
      </x:c>
      <x:c r="M490" t="n">
        <x:v>0</x:v>
      </x:c>
      <x:c r="N490" t="str">
        <x:v>Declined</x:v>
      </x:c>
      <x:c r="O490" t="n">
        <x:v>0</x:v>
      </x:c>
      <x:c r="P490" t="str">
        <x:f>IF(L490&gt;=75,"High",IF(L490&gt;=55,"Medium","Low"))</x:f>
        <x:v>Low</x:v>
      </x:c>
    </x:row>
    <x:row r="491">
      <x:c r="A491" t="n">
        <x:v>490</x:v>
      </x:c>
      <x:c r="B491" t="n">
        <x:v>10189</x:v>
      </x:c>
      <x:c r="C491" s="16" t="n">
        <x:v>46157</x:v>
      </x:c>
      <x:c r="D491" t="str">
        <x:v>00:27:00</x:v>
      </x:c>
      <x:c r="E491" t="str">
        <x:v>Card</x:v>
      </x:c>
      <x:c r="F491" t="str">
        <x:v>Subscriptions</x:v>
      </x:c>
      <x:c r="G491" s="18" t="n">
        <x:v>40.18</x:v>
      </x:c>
      <x:c r="H491" t="n">
        <x:v>1</x:v>
      </x:c>
      <x:c r="I491" t="n">
        <x:v>0</x:v>
      </x:c>
      <x:c r="J491" t="n">
        <x:v>0</x:v>
      </x:c>
      <x:c r="K491" t="n">
        <x:v>1</x:v>
      </x:c>
      <x:c r="L491" t="n">
        <x:v>51</x:v>
      </x:c>
      <x:c r="M491" t="n">
        <x:v>0</x:v>
      </x:c>
      <x:c r="N491" t="str">
        <x:v>Declined</x:v>
      </x:c>
      <x:c r="O491" t="n">
        <x:v>0</x:v>
      </x:c>
      <x:c r="P491" t="str">
        <x:f>IF(L491&gt;=75,"High",IF(L491&gt;=55,"Medium","Low"))</x:f>
        <x:v>Low</x:v>
      </x:c>
    </x:row>
    <x:row r="492">
      <x:c r="A492" t="n">
        <x:v>491</x:v>
      </x:c>
      <x:c r="B492" t="n">
        <x:v>10261</x:v>
      </x:c>
      <x:c r="C492" s="16" t="n">
        <x:v>46158</x:v>
      </x:c>
      <x:c r="D492" t="str">
        <x:v>20:00:00</x:v>
      </x:c>
      <x:c r="E492" t="str">
        <x:v>Card</x:v>
      </x:c>
      <x:c r="F492" t="str">
        <x:v>Electronics</x:v>
      </x:c>
      <x:c r="G492" s="18" t="n">
        <x:v>40.89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10</x:v>
      </x:c>
      <x:c r="M492" t="n">
        <x:v>0</x:v>
      </x:c>
      <x:c r="N492" t="str">
        <x:v>Approved</x:v>
      </x:c>
      <x:c r="O492" t="n">
        <x:v>0</x:v>
      </x:c>
      <x:c r="P492" t="str">
        <x:f>IF(L492&gt;=75,"High",IF(L492&gt;=55,"Medium","Low"))</x:f>
        <x:v>Low</x:v>
      </x:c>
    </x:row>
    <x:row r="493">
      <x:c r="A493" t="n">
        <x:v>492</x:v>
      </x:c>
      <x:c r="B493" t="n">
        <x:v>10300</x:v>
      </x:c>
      <x:c r="C493" s="16" t="n">
        <x:v>46176</x:v>
      </x:c>
      <x:c r="D493" t="str">
        <x:v>00:20:00</x:v>
      </x:c>
      <x:c r="E493" t="str">
        <x:v>Card</x:v>
      </x:c>
      <x:c r="F493" t="str">
        <x:v>Travel</x:v>
      </x:c>
      <x:c r="G493" s="18" t="n">
        <x:v>21.47</x:v>
      </x:c>
      <x:c r="H493" t="n">
        <x:v>0</x:v>
      </x:c>
      <x:c r="I493" t="n">
        <x:v>0</x:v>
      </x:c>
      <x:c r="J493" t="n">
        <x:v>0</x:v>
      </x:c>
      <x:c r="K493" t="n">
        <x:v>1</x:v>
      </x:c>
      <x:c r="L493" t="n">
        <x:v>25</x:v>
      </x:c>
      <x:c r="M493" t="n">
        <x:v>0</x:v>
      </x:c>
      <x:c r="N493" t="str">
        <x:v>Approved</x:v>
      </x:c>
      <x:c r="O493" t="n">
        <x:v>0</x:v>
      </x:c>
      <x:c r="P493" t="str">
        <x:f>IF(L493&gt;=75,"High",IF(L493&gt;=55,"Medium","Low"))</x:f>
        <x:v>Low</x:v>
      </x:c>
    </x:row>
    <x:row r="494">
      <x:c r="A494" t="n">
        <x:v>493</x:v>
      </x:c>
      <x:c r="B494" t="n">
        <x:v>10137</x:v>
      </x:c>
      <x:c r="C494" s="16" t="n">
        <x:v>46264</x:v>
      </x:c>
      <x:c r="D494" t="str">
        <x:v>09:52:00</x:v>
      </x:c>
      <x:c r="E494" t="str">
        <x:v>Bank Transfer</x:v>
      </x:c>
      <x:c r="F494" t="str">
        <x:v>Transfer</x:v>
      </x:c>
      <x:c r="G494" s="18" t="n">
        <x:v>181.6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10</x:v>
      </x:c>
      <x:c r="M494" t="n">
        <x:v>0</x:v>
      </x:c>
      <x:c r="N494" t="str">
        <x:v>Approved</x:v>
      </x:c>
      <x:c r="O494" t="n">
        <x:v>0</x:v>
      </x:c>
      <x:c r="P494" t="str">
        <x:f>IF(L494&gt;=75,"High",IF(L494&gt;=55,"Medium","Low"))</x:f>
        <x:v>Low</x:v>
      </x:c>
    </x:row>
    <x:row r="495">
      <x:c r="A495" t="n">
        <x:v>494</x:v>
      </x:c>
      <x:c r="B495" t="n">
        <x:v>10198</x:v>
      </x:c>
      <x:c r="C495" s="16" t="n">
        <x:v>46224</x:v>
      </x:c>
      <x:c r="D495" t="str">
        <x:v>18:09:00</x:v>
      </x:c>
      <x:c r="E495" t="str">
        <x:v>Card</x:v>
      </x:c>
      <x:c r="F495" t="str">
        <x:v>Travel</x:v>
      </x:c>
      <x:c r="G495" s="18" t="n">
        <x:v>29.46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10</x:v>
      </x:c>
      <x:c r="M495" t="n">
        <x:v>0</x:v>
      </x:c>
      <x:c r="N495" t="str">
        <x:v>Approved</x:v>
      </x:c>
      <x:c r="O495" t="n">
        <x:v>0</x:v>
      </x:c>
      <x:c r="P495" t="str">
        <x:f>IF(L495&gt;=75,"High",IF(L495&gt;=55,"Medium","Low"))</x:f>
        <x:v>Low</x:v>
      </x:c>
    </x:row>
    <x:row r="496">
      <x:c r="A496" t="n">
        <x:v>495</x:v>
      </x:c>
      <x:c r="B496" t="n">
        <x:v>10190</x:v>
      </x:c>
      <x:c r="C496" s="16" t="n">
        <x:v>46175</x:v>
      </x:c>
      <x:c r="D496" t="str">
        <x:v>17:57:00</x:v>
      </x:c>
      <x:c r="E496" t="str">
        <x:v>P2P</x:v>
      </x:c>
      <x:c r="F496" t="str">
        <x:v>Travel</x:v>
      </x:c>
      <x:c r="G496" s="18" t="n">
        <x:v>273.01</x:v>
      </x:c>
      <x:c r="H496" t="n">
        <x:v>0</x:v>
      </x:c>
      <x:c r="I496" t="n">
        <x:v>1</x:v>
      </x:c>
      <x:c r="J496" t="n">
        <x:v>0</x:v>
      </x:c>
      <x:c r="K496" t="n">
        <x:v>0</x:v>
      </x:c>
      <x:c r="L496" t="n">
        <x:v>30</x:v>
      </x:c>
      <x:c r="M496" t="n">
        <x:v>0</x:v>
      </x:c>
      <x:c r="N496" t="str">
        <x:v>Approved</x:v>
      </x:c>
      <x:c r="O496" t="n">
        <x:v>0</x:v>
      </x:c>
      <x:c r="P496" t="str">
        <x:f>IF(L496&gt;=75,"High",IF(L496&gt;=55,"Medium","Low"))</x:f>
        <x:v>Low</x:v>
      </x:c>
    </x:row>
    <x:row r="497">
      <x:c r="A497" t="n">
        <x:v>496</x:v>
      </x:c>
      <x:c r="B497" t="n">
        <x:v>10033</x:v>
      </x:c>
      <x:c r="C497" s="16" t="n">
        <x:v>46159</x:v>
      </x:c>
      <x:c r="D497" t="str">
        <x:v>22:25:00</x:v>
      </x:c>
      <x:c r="E497" t="str">
        <x:v>Card</x:v>
      </x:c>
      <x:c r="F497" t="str">
        <x:v>Transfer</x:v>
      </x:c>
      <x:c r="G497" s="18" t="n">
        <x:v>55.67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10</x:v>
      </x:c>
      <x:c r="M497" t="n">
        <x:v>0</x:v>
      </x:c>
      <x:c r="N497" t="str">
        <x:v>Approved</x:v>
      </x:c>
      <x:c r="O497" t="n">
        <x:v>0</x:v>
      </x:c>
      <x:c r="P497" t="str">
        <x:f>IF(L497&gt;=75,"High",IF(L497&gt;=55,"Medium","Low"))</x:f>
        <x:v>Low</x:v>
      </x:c>
    </x:row>
    <x:row r="498">
      <x:c r="A498" t="n">
        <x:v>497</x:v>
      </x:c>
      <x:c r="B498" t="n">
        <x:v>10335</x:v>
      </x:c>
      <x:c r="C498" s="16" t="n">
        <x:v>46266</x:v>
      </x:c>
      <x:c r="D498" t="str">
        <x:v>22:28:00</x:v>
      </x:c>
      <x:c r="E498" t="str">
        <x:v>Card</x:v>
      </x:c>
      <x:c r="F498" t="str">
        <x:v>Subscriptions</x:v>
      </x:c>
      <x:c r="G498" s="18" t="n">
        <x:v>607.58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10</x:v>
      </x:c>
      <x:c r="M498" t="n">
        <x:v>0</x:v>
      </x:c>
      <x:c r="N498" t="str">
        <x:v>Declined</x:v>
      </x:c>
      <x:c r="O498" t="n">
        <x:v>0</x:v>
      </x:c>
      <x:c r="P498" t="str">
        <x:f>IF(L498&gt;=75,"High",IF(L498&gt;=55,"Medium","Low"))</x:f>
        <x:v>Low</x:v>
      </x:c>
    </x:row>
    <x:row r="499">
      <x:c r="A499" t="n">
        <x:v>498</x:v>
      </x:c>
      <x:c r="B499" t="n">
        <x:v>10083</x:v>
      </x:c>
      <x:c r="C499" s="16" t="n">
        <x:v>46215</x:v>
      </x:c>
      <x:c r="D499" t="str">
        <x:v>12:12:00</x:v>
      </x:c>
      <x:c r="E499" t="str">
        <x:v>Card</x:v>
      </x:c>
      <x:c r="F499" t="str">
        <x:v>Subscriptions</x:v>
      </x:c>
      <x:c r="G499" s="18" t="n">
        <x:v>866.1</x:v>
      </x:c>
      <x:c r="H499" t="n">
        <x:v>0</x:v>
      </x:c>
      <x:c r="I499" t="n">
        <x:v>0</x:v>
      </x:c>
      <x:c r="J499" t="n">
        <x:v>1</x:v>
      </x:c>
      <x:c r="K499" t="n">
        <x:v>0</x:v>
      </x:c>
      <x:c r="L499" t="n">
        <x:v>44</x:v>
      </x:c>
      <x:c r="M499" t="n">
        <x:v>0</x:v>
      </x:c>
      <x:c r="N499" t="str">
        <x:v>Approved</x:v>
      </x:c>
      <x:c r="O499" t="n">
        <x:v>0</x:v>
      </x:c>
      <x:c r="P499" t="str">
        <x:f>IF(L499&gt;=75,"High",IF(L499&gt;=55,"Medium","Low"))</x:f>
        <x:v>Low</x:v>
      </x:c>
    </x:row>
    <x:row r="500">
      <x:c r="A500" t="n">
        <x:v>499</x:v>
      </x:c>
      <x:c r="B500" t="n">
        <x:v>10129</x:v>
      </x:c>
      <x:c r="C500" s="16" t="n">
        <x:v>46180</x:v>
      </x:c>
      <x:c r="D500" t="str">
        <x:v>15:38:00</x:v>
      </x:c>
      <x:c r="E500" t="str">
        <x:v>Bank Transfer</x:v>
      </x:c>
      <x:c r="F500" t="str">
        <x:v>Electronics</x:v>
      </x:c>
      <x:c r="G500" s="18" t="n">
        <x:v>54.15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10</x:v>
      </x:c>
      <x:c r="M500" t="n">
        <x:v>0</x:v>
      </x:c>
      <x:c r="N500" t="str">
        <x:v>Approved</x:v>
      </x:c>
      <x:c r="O500" t="n">
        <x:v>0</x:v>
      </x:c>
      <x:c r="P500" t="str">
        <x:f>IF(L500&gt;=75,"High",IF(L500&gt;=55,"Medium","Low"))</x:f>
        <x:v>Low</x:v>
      </x:c>
    </x:row>
    <x:row r="501">
      <x:c r="A501" t="n">
        <x:v>500</x:v>
      </x:c>
      <x:c r="B501" t="n">
        <x:v>10081</x:v>
      </x:c>
      <x:c r="C501" s="16" t="n">
        <x:v>46289</x:v>
      </x:c>
      <x:c r="D501" t="str">
        <x:v>01:26:00</x:v>
      </x:c>
      <x:c r="E501" t="str">
        <x:v>Card</x:v>
      </x:c>
      <x:c r="F501" t="str">
        <x:v>Dining</x:v>
      </x:c>
      <x:c r="G501" s="18" t="n">
        <x:v>104.47</x:v>
      </x:c>
      <x:c r="H501" t="n">
        <x:v>0</x:v>
      </x:c>
      <x:c r="I501" t="n">
        <x:v>0</x:v>
      </x:c>
      <x:c r="J501" t="n">
        <x:v>0</x:v>
      </x:c>
      <x:c r="K501" t="n">
        <x:v>1</x:v>
      </x:c>
      <x:c r="L501" t="n">
        <x:v>25</x:v>
      </x:c>
      <x:c r="M501" t="n">
        <x:v>0</x:v>
      </x:c>
      <x:c r="N501" t="str">
        <x:v>Approved</x:v>
      </x:c>
      <x:c r="O501" t="n">
        <x:v>0</x:v>
      </x:c>
      <x:c r="P501" t="str">
        <x:f>IF(L501&gt;=75,"High",IF(L501&gt;=55,"Medium","Low"))</x:f>
        <x:v>Low</x:v>
      </x:c>
    </x:row>
    <x:row r="502">
      <x:c r="A502" t="n">
        <x:v>501</x:v>
      </x:c>
      <x:c r="B502" t="n">
        <x:v>10108</x:v>
      </x:c>
      <x:c r="C502" s="16" t="n">
        <x:v>46222</x:v>
      </x:c>
      <x:c r="D502" t="str">
        <x:v>01:22:00</x:v>
      </x:c>
      <x:c r="E502" t="str">
        <x:v>Card</x:v>
      </x:c>
      <x:c r="F502" t="str">
        <x:v>Transfer</x:v>
      </x:c>
      <x:c r="G502" s="18" t="n">
        <x:v>76.93</x:v>
      </x:c>
      <x:c r="H502" t="n">
        <x:v>1</x:v>
      </x:c>
      <x:c r="I502" t="n">
        <x:v>0</x:v>
      </x:c>
      <x:c r="J502" t="n">
        <x:v>0</x:v>
      </x:c>
      <x:c r="K502" t="n">
        <x:v>1</x:v>
      </x:c>
      <x:c r="L502" t="n">
        <x:v>51</x:v>
      </x:c>
      <x:c r="M502" t="n">
        <x:v>0</x:v>
      </x:c>
      <x:c r="N502" t="str">
        <x:v>Approved</x:v>
      </x:c>
      <x:c r="O502" t="n">
        <x:v>0</x:v>
      </x:c>
      <x:c r="P502" t="str">
        <x:f>IF(L502&gt;=75,"High",IF(L502&gt;=55,"Medium","Low"))</x:f>
        <x:v>Low</x:v>
      </x:c>
    </x:row>
    <x:row r="503">
      <x:c r="A503" t="n">
        <x:v>502</x:v>
      </x:c>
      <x:c r="B503" t="n">
        <x:v>10360</x:v>
      </x:c>
      <x:c r="C503" s="16" t="n">
        <x:v>46285</x:v>
      </x:c>
      <x:c r="D503" t="str">
        <x:v>19:06:00</x:v>
      </x:c>
      <x:c r="E503" t="str">
        <x:v>Bank Transfer</x:v>
      </x:c>
      <x:c r="F503" t="str">
        <x:v>Transfer</x:v>
      </x:c>
      <x:c r="G503" s="18" t="n">
        <x:v>155.49</x:v>
      </x:c>
      <x:c r="H503" t="n">
        <x:v>1</x:v>
      </x:c>
      <x:c r="I503" t="n">
        <x:v>1</x:v>
      </x:c>
      <x:c r="J503" t="n">
        <x:v>0</x:v>
      </x:c>
      <x:c r="K503" t="n">
        <x:v>0</x:v>
      </x:c>
      <x:c r="L503" t="n">
        <x:v>56</x:v>
      </x:c>
      <x:c r="M503" t="n">
        <x:v>1</x:v>
      </x:c>
      <x:c r="N503" t="str">
        <x:v>Declined</x:v>
      </x:c>
      <x:c r="O503" t="n">
        <x:v>0</x:v>
      </x:c>
      <x:c r="P503" t="str">
        <x:f>IF(L503&gt;=75,"High",IF(L503&gt;=55,"Medium","Low"))</x:f>
        <x:v>Medium</x:v>
      </x:c>
    </x:row>
    <x:row r="504">
      <x:c r="A504" t="n">
        <x:v>503</x:v>
      </x:c>
      <x:c r="B504" t="n">
        <x:v>10034</x:v>
      </x:c>
      <x:c r="C504" s="16" t="n">
        <x:v>46156</x:v>
      </x:c>
      <x:c r="D504" t="str">
        <x:v>14:18:00</x:v>
      </x:c>
      <x:c r="E504" t="str">
        <x:v>Card</x:v>
      </x:c>
      <x:c r="F504" t="str">
        <x:v>Transfer</x:v>
      </x:c>
      <x:c r="G504" s="18" t="n">
        <x:v>440.12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10</x:v>
      </x:c>
      <x:c r="M504" t="n">
        <x:v>0</x:v>
      </x:c>
      <x:c r="N504" t="str">
        <x:v>Approved</x:v>
      </x:c>
      <x:c r="O504" t="n">
        <x:v>0</x:v>
      </x:c>
      <x:c r="P504" t="str">
        <x:f>IF(L504&gt;=75,"High",IF(L504&gt;=55,"Medium","Low"))</x:f>
        <x:v>Low</x:v>
      </x:c>
    </x:row>
    <x:row r="505">
      <x:c r="A505" t="n">
        <x:v>504</x:v>
      </x:c>
      <x:c r="B505" t="n">
        <x:v>10151</x:v>
      </x:c>
      <x:c r="C505" s="16" t="n">
        <x:v>46210</x:v>
      </x:c>
      <x:c r="D505" t="str">
        <x:v>00:21:00</x:v>
      </x:c>
      <x:c r="E505" t="str">
        <x:v>Bank Transfer</x:v>
      </x:c>
      <x:c r="F505" t="str">
        <x:v>Utilities</x:v>
      </x:c>
      <x:c r="G505" s="18" t="n">
        <x:v>29.97</x:v>
      </x:c>
      <x:c r="H505" t="n">
        <x:v>0</x:v>
      </x:c>
      <x:c r="I505" t="n">
        <x:v>0</x:v>
      </x:c>
      <x:c r="J505" t="n">
        <x:v>0</x:v>
      </x:c>
      <x:c r="K505" t="n">
        <x:v>1</x:v>
      </x:c>
      <x:c r="L505" t="n">
        <x:v>25</x:v>
      </x:c>
      <x:c r="M505" t="n">
        <x:v>0</x:v>
      </x:c>
      <x:c r="N505" t="str">
        <x:v>Approved</x:v>
      </x:c>
      <x:c r="O505" t="n">
        <x:v>0</x:v>
      </x:c>
      <x:c r="P505" t="str">
        <x:f>IF(L505&gt;=75,"High",IF(L505&gt;=55,"Medium","Low"))</x:f>
        <x:v>Low</x:v>
      </x:c>
    </x:row>
    <x:row r="506">
      <x:c r="A506" t="n">
        <x:v>505</x:v>
      </x:c>
      <x:c r="B506" t="n">
        <x:v>10322</x:v>
      </x:c>
      <x:c r="C506" s="16" t="n">
        <x:v>46218</x:v>
      </x:c>
      <x:c r="D506" t="str">
        <x:v>19:58:00</x:v>
      </x:c>
      <x:c r="E506" t="str">
        <x:v>Card</x:v>
      </x:c>
      <x:c r="F506" t="str">
        <x:v>Travel</x:v>
      </x:c>
      <x:c r="G506" s="18" t="n">
        <x:v>311.32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10</x:v>
      </x:c>
      <x:c r="M506" t="n">
        <x:v>0</x:v>
      </x:c>
      <x:c r="N506" t="str">
        <x:v>Approved</x:v>
      </x:c>
      <x:c r="O506" t="n">
        <x:v>0</x:v>
      </x:c>
      <x:c r="P506" t="str">
        <x:f>IF(L506&gt;=75,"High",IF(L506&gt;=55,"Medium","Low"))</x:f>
        <x:v>Low</x:v>
      </x:c>
    </x:row>
    <x:row r="507">
      <x:c r="A507" t="n">
        <x:v>506</x:v>
      </x:c>
      <x:c r="B507" t="n">
        <x:v>10030</x:v>
      </x:c>
      <x:c r="C507" s="16" t="n">
        <x:v>46128</x:v>
      </x:c>
      <x:c r="D507" t="str">
        <x:v>13:36:00</x:v>
      </x:c>
      <x:c r="E507" t="str">
        <x:v>Card</x:v>
      </x:c>
      <x:c r="F507" t="str">
        <x:v>Travel</x:v>
      </x:c>
      <x:c r="G507" s="18" t="n">
        <x:v>55.47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10</x:v>
      </x:c>
      <x:c r="M507" t="n">
        <x:v>0</x:v>
      </x:c>
      <x:c r="N507" t="str">
        <x:v>Approved</x:v>
      </x:c>
      <x:c r="O507" t="n">
        <x:v>0</x:v>
      </x:c>
      <x:c r="P507" t="str">
        <x:f>IF(L507&gt;=75,"High",IF(L507&gt;=55,"Medium","Low"))</x:f>
        <x:v>Low</x:v>
      </x:c>
    </x:row>
    <x:row r="508">
      <x:c r="A508" t="n">
        <x:v>507</x:v>
      </x:c>
      <x:c r="B508" t="n">
        <x:v>10317</x:v>
      </x:c>
      <x:c r="C508" s="16" t="n">
        <x:v>46141</x:v>
      </x:c>
      <x:c r="D508" t="str">
        <x:v>09:09:00</x:v>
      </x:c>
      <x:c r="E508" t="str">
        <x:v>P2P</x:v>
      </x:c>
      <x:c r="F508" t="str">
        <x:v>Subscriptions</x:v>
      </x:c>
      <x:c r="G508" s="18" t="n">
        <x:v>43.23</x:v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n">
        <x:v>10</x:v>
      </x:c>
      <x:c r="M508" t="n">
        <x:v>0</x:v>
      </x:c>
      <x:c r="N508" t="str">
        <x:v>Approved</x:v>
      </x:c>
      <x:c r="O508" t="n">
        <x:v>0</x:v>
      </x:c>
      <x:c r="P508" t="str">
        <x:f>IF(L508&gt;=75,"High",IF(L508&gt;=55,"Medium","Low"))</x:f>
        <x:v>Low</x:v>
      </x:c>
    </x:row>
    <x:row r="509">
      <x:c r="A509" t="n">
        <x:v>508</x:v>
      </x:c>
      <x:c r="B509" t="n">
        <x:v>10018</x:v>
      </x:c>
      <x:c r="C509" s="16" t="n">
        <x:v>46164</x:v>
      </x:c>
      <x:c r="D509" t="str">
        <x:v>17:04:00</x:v>
      </x:c>
      <x:c r="E509" t="str">
        <x:v>P2P</x:v>
      </x:c>
      <x:c r="F509" t="str">
        <x:v>Dining</x:v>
      </x:c>
      <x:c r="G509" s="18" t="n">
        <x:v>66.37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10</x:v>
      </x:c>
      <x:c r="M509" t="n">
        <x:v>0</x:v>
      </x:c>
      <x:c r="N509" t="str">
        <x:v>Declined</x:v>
      </x:c>
      <x:c r="O509" t="n">
        <x:v>0</x:v>
      </x:c>
      <x:c r="P509" t="str">
        <x:f>IF(L509&gt;=75,"High",IF(L509&gt;=55,"Medium","Low"))</x:f>
        <x:v>Low</x:v>
      </x:c>
    </x:row>
    <x:row r="510">
      <x:c r="A510" t="n">
        <x:v>509</x:v>
      </x:c>
      <x:c r="B510" t="n">
        <x:v>10303</x:v>
      </x:c>
      <x:c r="C510" s="16" t="n">
        <x:v>46122</x:v>
      </x:c>
      <x:c r="D510" t="str">
        <x:v>08:30:00</x:v>
      </x:c>
      <x:c r="E510" t="str">
        <x:v>Card</x:v>
      </x:c>
      <x:c r="F510" t="str">
        <x:v>Electronics</x:v>
      </x:c>
      <x:c r="G510" s="18" t="n">
        <x:v>142.33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10</x:v>
      </x:c>
      <x:c r="M510" t="n">
        <x:v>0</x:v>
      </x:c>
      <x:c r="N510" t="str">
        <x:v>Approved</x:v>
      </x:c>
      <x:c r="O510" t="n">
        <x:v>0</x:v>
      </x:c>
      <x:c r="P510" t="str">
        <x:f>IF(L510&gt;=75,"High",IF(L510&gt;=55,"Medium","Low"))</x:f>
        <x:v>Low</x:v>
      </x:c>
    </x:row>
    <x:row r="511">
      <x:c r="A511" t="n">
        <x:v>510</x:v>
      </x:c>
      <x:c r="B511" t="n">
        <x:v>10129</x:v>
      </x:c>
      <x:c r="C511" s="16" t="n">
        <x:v>46175</x:v>
      </x:c>
      <x:c r="D511" t="str">
        <x:v>09:17:00</x:v>
      </x:c>
      <x:c r="E511" t="str">
        <x:v>Card</x:v>
      </x:c>
      <x:c r="F511" t="str">
        <x:v>Electronics</x:v>
      </x:c>
      <x:c r="G511" s="18" t="n">
        <x:v>463.73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10</x:v>
      </x:c>
      <x:c r="M511" t="n">
        <x:v>0</x:v>
      </x:c>
      <x:c r="N511" t="str">
        <x:v>Approved</x:v>
      </x:c>
      <x:c r="O511" t="n">
        <x:v>0</x:v>
      </x:c>
      <x:c r="P511" t="str">
        <x:f>IF(L511&gt;=75,"High",IF(L511&gt;=55,"Medium","Low"))</x:f>
        <x:v>Low</x:v>
      </x:c>
    </x:row>
    <x:row r="512">
      <x:c r="A512" t="n">
        <x:v>511</x:v>
      </x:c>
      <x:c r="B512" t="n">
        <x:v>10136</x:v>
      </x:c>
      <x:c r="C512" s="16" t="n">
        <x:v>46145</x:v>
      </x:c>
      <x:c r="D512" t="str">
        <x:v>04:36:00</x:v>
      </x:c>
      <x:c r="E512" t="str">
        <x:v>Bank Transfer</x:v>
      </x:c>
      <x:c r="F512" t="str">
        <x:v>Subscriptions</x:v>
      </x:c>
      <x:c r="G512" s="18" t="n">
        <x:v>28.1</x:v>
      </x:c>
      <x:c r="H512" t="n">
        <x:v>0</x:v>
      </x:c>
      <x:c r="I512" t="n">
        <x:v>0</x:v>
      </x:c>
      <x:c r="J512" t="n">
        <x:v>0</x:v>
      </x:c>
      <x:c r="K512" t="n">
        <x:v>1</x:v>
      </x:c>
      <x:c r="L512" t="n">
        <x:v>25</x:v>
      </x:c>
      <x:c r="M512" t="n">
        <x:v>0</x:v>
      </x:c>
      <x:c r="N512" t="str">
        <x:v>Approved</x:v>
      </x:c>
      <x:c r="O512" t="n">
        <x:v>0</x:v>
      </x:c>
      <x:c r="P512" t="str">
        <x:f>IF(L512&gt;=75,"High",IF(L512&gt;=55,"Medium","Low"))</x:f>
        <x:v>Low</x:v>
      </x:c>
    </x:row>
    <x:row r="513">
      <x:c r="A513" t="n">
        <x:v>512</x:v>
      </x:c>
      <x:c r="B513" t="n">
        <x:v>10151</x:v>
      </x:c>
      <x:c r="C513" s="16" t="n">
        <x:v>46198</x:v>
      </x:c>
      <x:c r="D513" t="str">
        <x:v>02:25:00</x:v>
      </x:c>
      <x:c r="E513" t="str">
        <x:v>Bank Transfer</x:v>
      </x:c>
      <x:c r="F513" t="str">
        <x:v>Transfer</x:v>
      </x:c>
      <x:c r="G513" s="18" t="n">
        <x:v>61.17</x:v>
      </x:c>
      <x:c r="H513" t="n">
        <x:v>1</x:v>
      </x:c>
      <x:c r="I513" t="n">
        <x:v>0</x:v>
      </x:c>
      <x:c r="J513" t="n">
        <x:v>0</x:v>
      </x:c>
      <x:c r="K513" t="n">
        <x:v>1</x:v>
      </x:c>
      <x:c r="L513" t="n">
        <x:v>51</x:v>
      </x:c>
      <x:c r="M513" t="n">
        <x:v>0</x:v>
      </x:c>
      <x:c r="N513" t="str">
        <x:v>Approved</x:v>
      </x:c>
      <x:c r="O513" t="n">
        <x:v>0</x:v>
      </x:c>
      <x:c r="P513" t="str">
        <x:f>IF(L513&gt;=75,"High",IF(L513&gt;=55,"Medium","Low"))</x:f>
        <x:v>Low</x:v>
      </x:c>
    </x:row>
    <x:row r="514">
      <x:c r="A514" t="n">
        <x:v>513</x:v>
      </x:c>
      <x:c r="B514" t="n">
        <x:v>10309</x:v>
      </x:c>
      <x:c r="C514" s="16" t="n">
        <x:v>46210</x:v>
      </x:c>
      <x:c r="D514" t="str">
        <x:v>22:32:00</x:v>
      </x:c>
      <x:c r="E514" t="str">
        <x:v>Bank Transfer</x:v>
      </x:c>
      <x:c r="F514" t="str">
        <x:v>Retail</x:v>
      </x:c>
      <x:c r="G514" s="18" t="n">
        <x:v>86.72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10</x:v>
      </x:c>
      <x:c r="M514" t="n">
        <x:v>0</x:v>
      </x:c>
      <x:c r="N514" t="str">
        <x:v>Approved</x:v>
      </x:c>
      <x:c r="O514" t="n">
        <x:v>0</x:v>
      </x:c>
      <x:c r="P514" t="str">
        <x:f>IF(L514&gt;=75,"High",IF(L514&gt;=55,"Medium","Low"))</x:f>
        <x:v>Low</x:v>
      </x:c>
    </x:row>
    <x:row r="515">
      <x:c r="A515" t="n">
        <x:v>514</x:v>
      </x:c>
      <x:c r="B515" t="n">
        <x:v>10121</x:v>
      </x:c>
      <x:c r="C515" s="16" t="n">
        <x:v>46200</x:v>
      </x:c>
      <x:c r="D515" t="str">
        <x:v>11:56:00</x:v>
      </x:c>
      <x:c r="E515" t="str">
        <x:v>Card</x:v>
      </x:c>
      <x:c r="F515" t="str">
        <x:v>Subscriptions</x:v>
      </x:c>
      <x:c r="G515" s="18" t="n">
        <x:v>473.08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10</x:v>
      </x:c>
      <x:c r="M515" t="n">
        <x:v>0</x:v>
      </x:c>
      <x:c r="N515" t="str">
        <x:v>Approved</x:v>
      </x:c>
      <x:c r="O515" t="n">
        <x:v>0</x:v>
      </x:c>
      <x:c r="P515" t="str">
        <x:f>IF(L515&gt;=75,"High",IF(L515&gt;=55,"Medium","Low"))</x:f>
        <x:v>Low</x:v>
      </x:c>
    </x:row>
    <x:row r="516">
      <x:c r="A516" t="n">
        <x:v>515</x:v>
      </x:c>
      <x:c r="B516" t="n">
        <x:v>10035</x:v>
      </x:c>
      <x:c r="C516" s="16" t="n">
        <x:v>46127</x:v>
      </x:c>
      <x:c r="D516" t="str">
        <x:v>00:43:00</x:v>
      </x:c>
      <x:c r="E516" t="str">
        <x:v>P2P</x:v>
      </x:c>
      <x:c r="F516" t="str">
        <x:v>Travel</x:v>
      </x:c>
      <x:c r="G516" s="18" t="n">
        <x:v>13.93</x:v>
      </x:c>
      <x:c r="H516" t="n">
        <x:v>0</x:v>
      </x:c>
      <x:c r="I516" t="n">
        <x:v>0</x:v>
      </x:c>
      <x:c r="J516" t="n">
        <x:v>0</x:v>
      </x:c>
      <x:c r="K516" t="n">
        <x:v>1</x:v>
      </x:c>
      <x:c r="L516" t="n">
        <x:v>25</x:v>
      </x:c>
      <x:c r="M516" t="n">
        <x:v>0</x:v>
      </x:c>
      <x:c r="N516" t="str">
        <x:v>Approved</x:v>
      </x:c>
      <x:c r="O516" t="n">
        <x:v>0</x:v>
      </x:c>
      <x:c r="P516" t="str">
        <x:f>IF(L516&gt;=75,"High",IF(L516&gt;=55,"Medium","Low"))</x:f>
        <x:v>Low</x:v>
      </x:c>
    </x:row>
    <x:row r="517">
      <x:c r="A517" t="n">
        <x:v>516</x:v>
      </x:c>
      <x:c r="B517" t="n">
        <x:v>10092</x:v>
      </x:c>
      <x:c r="C517" s="16" t="n">
        <x:v>46138</x:v>
      </x:c>
      <x:c r="D517" t="str">
        <x:v>21:58:00</x:v>
      </x:c>
      <x:c r="E517" t="str">
        <x:v>Bank Transfer</x:v>
      </x:c>
      <x:c r="F517" t="str">
        <x:v>Transfer</x:v>
      </x:c>
      <x:c r="G517" s="18" t="n">
        <x:v>132.41</x:v>
      </x:c>
      <x:c r="H517" t="n">
        <x:v>1</x:v>
      </x:c>
      <x:c r="I517" t="n">
        <x:v>0</x:v>
      </x:c>
      <x:c r="J517" t="n">
        <x:v>0</x:v>
      </x:c>
      <x:c r="K517" t="n">
        <x:v>0</x:v>
      </x:c>
      <x:c r="L517" t="n">
        <x:v>36</x:v>
      </x:c>
      <x:c r="M517" t="n">
        <x:v>0</x:v>
      </x:c>
      <x:c r="N517" t="str">
        <x:v>Approved</x:v>
      </x:c>
      <x:c r="O517" t="n">
        <x:v>0</x:v>
      </x:c>
      <x:c r="P517" t="str">
        <x:f>IF(L517&gt;=75,"High",IF(L517&gt;=55,"Medium","Low"))</x:f>
        <x:v>Low</x:v>
      </x:c>
    </x:row>
    <x:row r="518">
      <x:c r="A518" t="n">
        <x:v>517</x:v>
      </x:c>
      <x:c r="B518" t="n">
        <x:v>10287</x:v>
      </x:c>
      <x:c r="C518" s="16" t="n">
        <x:v>46257</x:v>
      </x:c>
      <x:c r="D518" t="str">
        <x:v>07:46:00</x:v>
      </x:c>
      <x:c r="E518" t="str">
        <x:v>Card</x:v>
      </x:c>
      <x:c r="F518" t="str">
        <x:v>Travel</x:v>
      </x:c>
      <x:c r="G518" s="18" t="n">
        <x:v>143.35</x:v>
      </x:c>
      <x:c r="H518" t="n">
        <x:v>0</x:v>
      </x:c>
      <x:c r="I518" t="n">
        <x:v>1</x:v>
      </x:c>
      <x:c r="J518" t="n">
        <x:v>0</x:v>
      </x:c>
      <x:c r="K518" t="n">
        <x:v>0</x:v>
      </x:c>
      <x:c r="L518" t="n">
        <x:v>30</x:v>
      </x:c>
      <x:c r="M518" t="n">
        <x:v>0</x:v>
      </x:c>
      <x:c r="N518" t="str">
        <x:v>Approved</x:v>
      </x:c>
      <x:c r="O518" t="n">
        <x:v>0</x:v>
      </x:c>
      <x:c r="P518" t="str">
        <x:f>IF(L518&gt;=75,"High",IF(L518&gt;=55,"Medium","Low"))</x:f>
        <x:v>Low</x:v>
      </x:c>
    </x:row>
    <x:row r="519">
      <x:c r="A519" t="n">
        <x:v>518</x:v>
      </x:c>
      <x:c r="B519" t="n">
        <x:v>10151</x:v>
      </x:c>
      <x:c r="C519" s="16" t="n">
        <x:v>46238</x:v>
      </x:c>
      <x:c r="D519" t="str">
        <x:v>05:54:00</x:v>
      </x:c>
      <x:c r="E519" t="str">
        <x:v>Bank Transfer</x:v>
      </x:c>
      <x:c r="F519" t="str">
        <x:v>Utilities</x:v>
      </x:c>
      <x:c r="G519" s="18" t="n">
        <x:v>227.6</x:v>
      </x:c>
      <x:c r="H519" t="n">
        <x:v>1</x:v>
      </x:c>
      <x:c r="I519" t="n">
        <x:v>0</x:v>
      </x:c>
      <x:c r="J519" t="n">
        <x:v>0</x:v>
      </x:c>
      <x:c r="K519" t="n">
        <x:v>0</x:v>
      </x:c>
      <x:c r="L519" t="n">
        <x:v>36</x:v>
      </x:c>
      <x:c r="M519" t="n">
        <x:v>0</x:v>
      </x:c>
      <x:c r="N519" t="str">
        <x:v>Approved</x:v>
      </x:c>
      <x:c r="O519" t="n">
        <x:v>0</x:v>
      </x:c>
      <x:c r="P519" t="str">
        <x:f>IF(L519&gt;=75,"High",IF(L519&gt;=55,"Medium","Low"))</x:f>
        <x:v>Low</x:v>
      </x:c>
    </x:row>
    <x:row r="520">
      <x:c r="A520" t="n">
        <x:v>519</x:v>
      </x:c>
      <x:c r="B520" t="n">
        <x:v>10079</x:v>
      </x:c>
      <x:c r="C520" s="16" t="n">
        <x:v>46168</x:v>
      </x:c>
      <x:c r="D520" t="str">
        <x:v>00:13:00</x:v>
      </x:c>
      <x:c r="E520" t="str">
        <x:v>Bank Transfer</x:v>
      </x:c>
      <x:c r="F520" t="str">
        <x:v>Retail</x:v>
      </x:c>
      <x:c r="G520" s="18" t="n">
        <x:v>87.59</x:v>
      </x:c>
      <x:c r="H520" t="n">
        <x:v>0</x:v>
      </x:c>
      <x:c r="I520" t="n">
        <x:v>0</x:v>
      </x:c>
      <x:c r="J520" t="n">
        <x:v>0</x:v>
      </x:c>
      <x:c r="K520" t="n">
        <x:v>1</x:v>
      </x:c>
      <x:c r="L520" t="n">
        <x:v>25</x:v>
      </x:c>
      <x:c r="M520" t="n">
        <x:v>0</x:v>
      </x:c>
      <x:c r="N520" t="str">
        <x:v>Approved</x:v>
      </x:c>
      <x:c r="O520" t="n">
        <x:v>0</x:v>
      </x:c>
      <x:c r="P520" t="str">
        <x:f>IF(L520&gt;=75,"High",IF(L520&gt;=55,"Medium","Low"))</x:f>
        <x:v>Low</x:v>
      </x:c>
    </x:row>
    <x:row r="521">
      <x:c r="A521" t="n">
        <x:v>520</x:v>
      </x:c>
      <x:c r="B521" t="n">
        <x:v>10182</x:v>
      </x:c>
      <x:c r="C521" s="16" t="n">
        <x:v>46133</x:v>
      </x:c>
      <x:c r="D521" t="str">
        <x:v>05:28:00</x:v>
      </x:c>
      <x:c r="E521" t="str">
        <x:v>Card</x:v>
      </x:c>
      <x:c r="F521" t="str">
        <x:v>Travel</x:v>
      </x:c>
      <x:c r="G521" s="18" t="n">
        <x:v>64.26</x:v>
      </x:c>
      <x:c r="H521" t="n">
        <x:v>0</x:v>
      </x:c>
      <x:c r="I521" t="n">
        <x:v>1</x:v>
      </x:c>
      <x:c r="J521" t="n">
        <x:v>0</x:v>
      </x:c>
      <x:c r="K521" t="n">
        <x:v>0</x:v>
      </x:c>
      <x:c r="L521" t="n">
        <x:v>30</x:v>
      </x:c>
      <x:c r="M521" t="n">
        <x:v>0</x:v>
      </x:c>
      <x:c r="N521" t="str">
        <x:v>Approved</x:v>
      </x:c>
      <x:c r="O521" t="n">
        <x:v>0</x:v>
      </x:c>
      <x:c r="P521" t="str">
        <x:f>IF(L521&gt;=75,"High",IF(L521&gt;=55,"Medium","Low"))</x:f>
        <x:v>Low</x:v>
      </x:c>
    </x:row>
    <x:row r="522">
      <x:c r="A522" t="n">
        <x:v>521</x:v>
      </x:c>
      <x:c r="B522" t="n">
        <x:v>10117</x:v>
      </x:c>
      <x:c r="C522" s="16" t="n">
        <x:v>46127</x:v>
      </x:c>
      <x:c r="D522" t="str">
        <x:v>11:49:00</x:v>
      </x:c>
      <x:c r="E522" t="str">
        <x:v>P2P</x:v>
      </x:c>
      <x:c r="F522" t="str">
        <x:v>Transfer</x:v>
      </x:c>
      <x:c r="G522" s="18" t="n">
        <x:v>114.16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10</x:v>
      </x:c>
      <x:c r="M522" t="n">
        <x:v>0</x:v>
      </x:c>
      <x:c r="N522" t="str">
        <x:v>Approved</x:v>
      </x:c>
      <x:c r="O522" t="n">
        <x:v>0</x:v>
      </x:c>
      <x:c r="P522" t="str">
        <x:f>IF(L522&gt;=75,"High",IF(L522&gt;=55,"Medium","Low"))</x:f>
        <x:v>Low</x:v>
      </x:c>
    </x:row>
    <x:row r="523">
      <x:c r="A523" t="n">
        <x:v>522</x:v>
      </x:c>
      <x:c r="B523" t="n">
        <x:v>10246</x:v>
      </x:c>
      <x:c r="C523" s="16" t="n">
        <x:v>46176</x:v>
      </x:c>
      <x:c r="D523" t="str">
        <x:v>23:02:00</x:v>
      </x:c>
      <x:c r="E523" t="str">
        <x:v>Card</x:v>
      </x:c>
      <x:c r="F523" t="str">
        <x:v>Electronics</x:v>
      </x:c>
      <x:c r="G523" s="18" t="n">
        <x:v>296.71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10</x:v>
      </x:c>
      <x:c r="M523" t="n">
        <x:v>0</x:v>
      </x:c>
      <x:c r="N523" t="str">
        <x:v>Approved</x:v>
      </x:c>
      <x:c r="O523" t="n">
        <x:v>0</x:v>
      </x:c>
      <x:c r="P523" t="str">
        <x:f>IF(L523&gt;=75,"High",IF(L523&gt;=55,"Medium","Low"))</x:f>
        <x:v>Low</x:v>
      </x:c>
    </x:row>
    <x:row r="524">
      <x:c r="A524" t="n">
        <x:v>523</x:v>
      </x:c>
      <x:c r="B524" t="n">
        <x:v>10239</x:v>
      </x:c>
      <x:c r="C524" s="16" t="n">
        <x:v>46173</x:v>
      </x:c>
      <x:c r="D524" t="str">
        <x:v>16:04:00</x:v>
      </x:c>
      <x:c r="E524" t="str">
        <x:v>Bank Transfer</x:v>
      </x:c>
      <x:c r="F524" t="str">
        <x:v>Transfer</x:v>
      </x:c>
      <x:c r="G524" s="18" t="n">
        <x:v>132.27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10</x:v>
      </x:c>
      <x:c r="M524" t="n">
        <x:v>0</x:v>
      </x:c>
      <x:c r="N524" t="str">
        <x:v>Approved</x:v>
      </x:c>
      <x:c r="O524" t="n">
        <x:v>0</x:v>
      </x:c>
      <x:c r="P524" t="str">
        <x:f>IF(L524&gt;=75,"High",IF(L524&gt;=55,"Medium","Low"))</x:f>
        <x:v>Low</x:v>
      </x:c>
    </x:row>
    <x:row r="525">
      <x:c r="A525" t="n">
        <x:v>524</x:v>
      </x:c>
      <x:c r="B525" t="n">
        <x:v>10144</x:v>
      </x:c>
      <x:c r="C525" s="16" t="n">
        <x:v>46132</x:v>
      </x:c>
      <x:c r="D525" t="str">
        <x:v>16:45:00</x:v>
      </x:c>
      <x:c r="E525" t="str">
        <x:v>P2P</x:v>
      </x:c>
      <x:c r="F525" t="str">
        <x:v>Retail</x:v>
      </x:c>
      <x:c r="G525" s="18" t="n">
        <x:v>324.87</x:v>
      </x:c>
      <x:c r="H525" t="n">
        <x:v>0</x:v>
      </x:c>
      <x:c r="I525" t="n">
        <x:v>1</x:v>
      </x:c>
      <x:c r="J525" t="n">
        <x:v>0</x:v>
      </x:c>
      <x:c r="K525" t="n">
        <x:v>0</x:v>
      </x:c>
      <x:c r="L525" t="n">
        <x:v>30</x:v>
      </x:c>
      <x:c r="M525" t="n">
        <x:v>0</x:v>
      </x:c>
      <x:c r="N525" t="str">
        <x:v>Approved</x:v>
      </x:c>
      <x:c r="O525" t="n">
        <x:v>0</x:v>
      </x:c>
      <x:c r="P525" t="str">
        <x:f>IF(L525&gt;=75,"High",IF(L525&gt;=55,"Medium","Low"))</x:f>
        <x:v>Low</x:v>
      </x:c>
    </x:row>
    <x:row r="526">
      <x:c r="A526" t="n">
        <x:v>525</x:v>
      </x:c>
      <x:c r="B526" t="n">
        <x:v>10339</x:v>
      </x:c>
      <x:c r="C526" s="16" t="n">
        <x:v>46229</x:v>
      </x:c>
      <x:c r="D526" t="str">
        <x:v>20:16:00</x:v>
      </x:c>
      <x:c r="E526" t="str">
        <x:v>Bank Transfer</x:v>
      </x:c>
      <x:c r="F526" t="str">
        <x:v>Utilities</x:v>
      </x:c>
      <x:c r="G526" s="18" t="n">
        <x:v>67.93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10</x:v>
      </x:c>
      <x:c r="M526" t="n">
        <x:v>0</x:v>
      </x:c>
      <x:c r="N526" t="str">
        <x:v>Approved</x:v>
      </x:c>
      <x:c r="O526" t="n">
        <x:v>0</x:v>
      </x:c>
      <x:c r="P526" t="str">
        <x:f>IF(L526&gt;=75,"High",IF(L526&gt;=55,"Medium","Low"))</x:f>
        <x:v>Low</x:v>
      </x:c>
    </x:row>
    <x:row r="527">
      <x:c r="A527" t="n">
        <x:v>526</x:v>
      </x:c>
      <x:c r="B527" t="n">
        <x:v>10057</x:v>
      </x:c>
      <x:c r="C527" s="16" t="n">
        <x:v>46218</x:v>
      </x:c>
      <x:c r="D527" t="str">
        <x:v>23:14:00</x:v>
      </x:c>
      <x:c r="E527" t="str">
        <x:v>Card</x:v>
      </x:c>
      <x:c r="F527" t="str">
        <x:v>Subscriptions</x:v>
      </x:c>
      <x:c r="G527" s="18" t="n">
        <x:v>435.38</x:v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n">
        <x:v>10</x:v>
      </x:c>
      <x:c r="M527" t="n">
        <x:v>0</x:v>
      </x:c>
      <x:c r="N527" t="str">
        <x:v>Approved</x:v>
      </x:c>
      <x:c r="O527" t="n">
        <x:v>0</x:v>
      </x:c>
      <x:c r="P527" t="str">
        <x:f>IF(L527&gt;=75,"High",IF(L527&gt;=55,"Medium","Low"))</x:f>
        <x:v>Low</x:v>
      </x:c>
    </x:row>
    <x:row r="528">
      <x:c r="A528" t="n">
        <x:v>527</x:v>
      </x:c>
      <x:c r="B528" t="n">
        <x:v>10293</x:v>
      </x:c>
      <x:c r="C528" s="16" t="n">
        <x:v>46234</x:v>
      </x:c>
      <x:c r="D528" t="str">
        <x:v>08:31:00</x:v>
      </x:c>
      <x:c r="E528" t="str">
        <x:v>P2P</x:v>
      </x:c>
      <x:c r="F528" t="str">
        <x:v>Utilities</x:v>
      </x:c>
      <x:c r="G528" s="18" t="n">
        <x:v>124.69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10</x:v>
      </x:c>
      <x:c r="M528" t="n">
        <x:v>0</x:v>
      </x:c>
      <x:c r="N528" t="str">
        <x:v>Approved</x:v>
      </x:c>
      <x:c r="O528" t="n">
        <x:v>0</x:v>
      </x:c>
      <x:c r="P528" t="str">
        <x:f>IF(L528&gt;=75,"High",IF(L528&gt;=55,"Medium","Low"))</x:f>
        <x:v>Low</x:v>
      </x:c>
    </x:row>
    <x:row r="529">
      <x:c r="A529" t="n">
        <x:v>528</x:v>
      </x:c>
      <x:c r="B529" t="n">
        <x:v>10030</x:v>
      </x:c>
      <x:c r="C529" s="16" t="n">
        <x:v>46223</x:v>
      </x:c>
      <x:c r="D529" t="str">
        <x:v>06:53:00</x:v>
      </x:c>
      <x:c r="E529" t="str">
        <x:v>Bank Transfer</x:v>
      </x:c>
      <x:c r="F529" t="str">
        <x:v>Subscriptions</x:v>
      </x:c>
      <x:c r="G529" s="18" t="n">
        <x:v>33.37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10</x:v>
      </x:c>
      <x:c r="M529" t="n">
        <x:v>0</x:v>
      </x:c>
      <x:c r="N529" t="str">
        <x:v>Approved</x:v>
      </x:c>
      <x:c r="O529" t="n">
        <x:v>0</x:v>
      </x:c>
      <x:c r="P529" t="str">
        <x:f>IF(L529&gt;=75,"High",IF(L529&gt;=55,"Medium","Low"))</x:f>
        <x:v>Low</x:v>
      </x:c>
    </x:row>
    <x:row r="530">
      <x:c r="A530" t="n">
        <x:v>529</x:v>
      </x:c>
      <x:c r="B530" t="n">
        <x:v>10240</x:v>
      </x:c>
      <x:c r="C530" s="16" t="n">
        <x:v>46116</x:v>
      </x:c>
      <x:c r="D530" t="str">
        <x:v>04:46:00</x:v>
      </x:c>
      <x:c r="E530" t="str">
        <x:v>Card</x:v>
      </x:c>
      <x:c r="F530" t="str">
        <x:v>Subscriptions</x:v>
      </x:c>
      <x:c r="G530" s="18" t="n">
        <x:v>66.82</x:v>
      </x:c>
      <x:c r="H530" t="n">
        <x:v>0</x:v>
      </x:c>
      <x:c r="I530" t="n">
        <x:v>0</x:v>
      </x:c>
      <x:c r="J530" t="n">
        <x:v>0</x:v>
      </x:c>
      <x:c r="K530" t="n">
        <x:v>1</x:v>
      </x:c>
      <x:c r="L530" t="n">
        <x:v>25</x:v>
      </x:c>
      <x:c r="M530" t="n">
        <x:v>0</x:v>
      </x:c>
      <x:c r="N530" t="str">
        <x:v>Approved</x:v>
      </x:c>
      <x:c r="O530" t="n">
        <x:v>0</x:v>
      </x:c>
      <x:c r="P530" t="str">
        <x:f>IF(L530&gt;=75,"High",IF(L530&gt;=55,"Medium","Low"))</x:f>
        <x:v>Low</x:v>
      </x:c>
    </x:row>
    <x:row r="531">
      <x:c r="A531" t="n">
        <x:v>530</x:v>
      </x:c>
      <x:c r="B531" t="n">
        <x:v>10008</x:v>
      </x:c>
      <x:c r="C531" s="16" t="n">
        <x:v>46202</x:v>
      </x:c>
      <x:c r="D531" t="str">
        <x:v>08:16:00</x:v>
      </x:c>
      <x:c r="E531" t="str">
        <x:v>Card</x:v>
      </x:c>
      <x:c r="F531" t="str">
        <x:v>Transfer</x:v>
      </x:c>
      <x:c r="G531" s="18" t="n">
        <x:v>31.01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10</x:v>
      </x:c>
      <x:c r="M531" t="n">
        <x:v>0</x:v>
      </x:c>
      <x:c r="N531" t="str">
        <x:v>Approved</x:v>
      </x:c>
      <x:c r="O531" t="n">
        <x:v>0</x:v>
      </x:c>
      <x:c r="P531" t="str">
        <x:f>IF(L531&gt;=75,"High",IF(L531&gt;=55,"Medium","Low"))</x:f>
        <x:v>Low</x:v>
      </x:c>
    </x:row>
    <x:row r="532">
      <x:c r="A532" t="n">
        <x:v>531</x:v>
      </x:c>
      <x:c r="B532" t="n">
        <x:v>10265</x:v>
      </x:c>
      <x:c r="C532" s="16" t="n">
        <x:v>46295</x:v>
      </x:c>
      <x:c r="D532" t="str">
        <x:v>00:05:00</x:v>
      </x:c>
      <x:c r="E532" t="str">
        <x:v>Card</x:v>
      </x:c>
      <x:c r="F532" t="str">
        <x:v>Electronics</x:v>
      </x:c>
      <x:c r="G532" s="18" t="n">
        <x:v>58.59</x:v>
      </x:c>
      <x:c r="H532" t="n">
        <x:v>0</x:v>
      </x:c>
      <x:c r="I532" t="n">
        <x:v>0</x:v>
      </x:c>
      <x:c r="J532" t="n">
        <x:v>0</x:v>
      </x:c>
      <x:c r="K532" t="n">
        <x:v>1</x:v>
      </x:c>
      <x:c r="L532" t="n">
        <x:v>25</x:v>
      </x:c>
      <x:c r="M532" t="n">
        <x:v>0</x:v>
      </x:c>
      <x:c r="N532" t="str">
        <x:v>Approved</x:v>
      </x:c>
      <x:c r="O532" t="n">
        <x:v>0</x:v>
      </x:c>
      <x:c r="P532" t="str">
        <x:f>IF(L532&gt;=75,"High",IF(L532&gt;=55,"Medium","Low"))</x:f>
        <x:v>Low</x:v>
      </x:c>
    </x:row>
    <x:row r="533">
      <x:c r="A533" t="n">
        <x:v>532</x:v>
      </x:c>
      <x:c r="B533" t="n">
        <x:v>10290</x:v>
      </x:c>
      <x:c r="C533" s="16" t="n">
        <x:v>46262</x:v>
      </x:c>
      <x:c r="D533" t="str">
        <x:v>17:43:00</x:v>
      </x:c>
      <x:c r="E533" t="str">
        <x:v>Card</x:v>
      </x:c>
      <x:c r="F533" t="str">
        <x:v>Transfer</x:v>
      </x:c>
      <x:c r="G533" s="18" t="n">
        <x:v>38.36</x:v>
      </x:c>
      <x:c r="H533" t="n">
        <x:v>1</x:v>
      </x:c>
      <x:c r="I533" t="n">
        <x:v>0</x:v>
      </x:c>
      <x:c r="J533" t="n">
        <x:v>0</x:v>
      </x:c>
      <x:c r="K533" t="n">
        <x:v>0</x:v>
      </x:c>
      <x:c r="L533" t="n">
        <x:v>36</x:v>
      </x:c>
      <x:c r="M533" t="n">
        <x:v>0</x:v>
      </x:c>
      <x:c r="N533" t="str">
        <x:v>Approved</x:v>
      </x:c>
      <x:c r="O533" t="n">
        <x:v>0</x:v>
      </x:c>
      <x:c r="P533" t="str">
        <x:f>IF(L533&gt;=75,"High",IF(L533&gt;=55,"Medium","Low"))</x:f>
        <x:v>Low</x:v>
      </x:c>
    </x:row>
    <x:row r="534">
      <x:c r="A534" t="n">
        <x:v>533</x:v>
      </x:c>
      <x:c r="B534" t="n">
        <x:v>10041</x:v>
      </x:c>
      <x:c r="C534" s="16" t="n">
        <x:v>46280</x:v>
      </x:c>
      <x:c r="D534" t="str">
        <x:v>13:16:00</x:v>
      </x:c>
      <x:c r="E534" t="str">
        <x:v>Card</x:v>
      </x:c>
      <x:c r="F534" t="str">
        <x:v>Dining</x:v>
      </x:c>
      <x:c r="G534" s="18" t="n">
        <x:v>9.62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10</x:v>
      </x:c>
      <x:c r="M534" t="n">
        <x:v>0</x:v>
      </x:c>
      <x:c r="N534" t="str">
        <x:v>Approved</x:v>
      </x:c>
      <x:c r="O534" t="n">
        <x:v>1</x:v>
      </x:c>
      <x:c r="P534" t="str">
        <x:f>IF(L534&gt;=75,"High",IF(L534&gt;=55,"Medium","Low"))</x:f>
        <x:v>Low</x:v>
      </x:c>
    </x:row>
    <x:row r="535">
      <x:c r="A535" t="n">
        <x:v>534</x:v>
      </x:c>
      <x:c r="B535" t="n">
        <x:v>10001</x:v>
      </x:c>
      <x:c r="C535" s="16" t="n">
        <x:v>46146</x:v>
      </x:c>
      <x:c r="D535" t="str">
        <x:v>19:04:00</x:v>
      </x:c>
      <x:c r="E535" t="str">
        <x:v>P2P</x:v>
      </x:c>
      <x:c r="F535" t="str">
        <x:v>Utilities</x:v>
      </x:c>
      <x:c r="G535" s="18" t="n">
        <x:v>100.99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10</x:v>
      </x:c>
      <x:c r="M535" t="n">
        <x:v>0</x:v>
      </x:c>
      <x:c r="N535" t="str">
        <x:v>Approved</x:v>
      </x:c>
      <x:c r="O535" t="n">
        <x:v>0</x:v>
      </x:c>
      <x:c r="P535" t="str">
        <x:f>IF(L535&gt;=75,"High",IF(L535&gt;=55,"Medium","Low"))</x:f>
        <x:v>Low</x:v>
      </x:c>
    </x:row>
    <x:row r="536">
      <x:c r="A536" t="n">
        <x:v>535</x:v>
      </x:c>
      <x:c r="B536" t="n">
        <x:v>10182</x:v>
      </x:c>
      <x:c r="C536" s="16" t="n">
        <x:v>46219</x:v>
      </x:c>
      <x:c r="D536" t="str">
        <x:v>00:59:00</x:v>
      </x:c>
      <x:c r="E536" t="str">
        <x:v>Bank Transfer</x:v>
      </x:c>
      <x:c r="F536" t="str">
        <x:v>Utilities</x:v>
      </x:c>
      <x:c r="G536" s="18" t="n">
        <x:v>51.26</x:v>
      </x:c>
      <x:c r="H536" t="n">
        <x:v>1</x:v>
      </x:c>
      <x:c r="I536" t="n">
        <x:v>0</x:v>
      </x:c>
      <x:c r="J536" t="n">
        <x:v>0</x:v>
      </x:c>
      <x:c r="K536" t="n">
        <x:v>1</x:v>
      </x:c>
      <x:c r="L536" t="n">
        <x:v>51</x:v>
      </x:c>
      <x:c r="M536" t="n">
        <x:v>0</x:v>
      </x:c>
      <x:c r="N536" t="str">
        <x:v>Approved</x:v>
      </x:c>
      <x:c r="O536" t="n">
        <x:v>0</x:v>
      </x:c>
      <x:c r="P536" t="str">
        <x:f>IF(L536&gt;=75,"High",IF(L536&gt;=55,"Medium","Low"))</x:f>
        <x:v>Low</x:v>
      </x:c>
    </x:row>
    <x:row r="537">
      <x:c r="A537" t="n">
        <x:v>536</x:v>
      </x:c>
      <x:c r="B537" t="n">
        <x:v>10340</x:v>
      </x:c>
      <x:c r="C537" s="16" t="n">
        <x:v>46122</x:v>
      </x:c>
      <x:c r="D537" t="str">
        <x:v>18:47:00</x:v>
      </x:c>
      <x:c r="E537" t="str">
        <x:v>P2P</x:v>
      </x:c>
      <x:c r="F537" t="str">
        <x:v>Electronics</x:v>
      </x:c>
      <x:c r="G537" s="18" t="n">
        <x:v>171.6</x:v>
      </x:c>
      <x:c r="H537" t="n">
        <x:v>0</x:v>
      </x:c>
      <x:c r="I537" t="n">
        <x:v>1</x:v>
      </x:c>
      <x:c r="J537" t="n">
        <x:v>0</x:v>
      </x:c>
      <x:c r="K537" t="n">
        <x:v>0</x:v>
      </x:c>
      <x:c r="L537" t="n">
        <x:v>30</x:v>
      </x:c>
      <x:c r="M537" t="n">
        <x:v>0</x:v>
      </x:c>
      <x:c r="N537" t="str">
        <x:v>Approved</x:v>
      </x:c>
      <x:c r="O537" t="n">
        <x:v>0</x:v>
      </x:c>
      <x:c r="P537" t="str">
        <x:f>IF(L537&gt;=75,"High",IF(L537&gt;=55,"Medium","Low"))</x:f>
        <x:v>Low</x:v>
      </x:c>
    </x:row>
    <x:row r="538">
      <x:c r="A538" t="n">
        <x:v>537</x:v>
      </x:c>
      <x:c r="B538" t="n">
        <x:v>10267</x:v>
      </x:c>
      <x:c r="C538" s="16" t="n">
        <x:v>46156</x:v>
      </x:c>
      <x:c r="D538" t="str">
        <x:v>03:28:00</x:v>
      </x:c>
      <x:c r="E538" t="str">
        <x:v>Card</x:v>
      </x:c>
      <x:c r="F538" t="str">
        <x:v>Retail</x:v>
      </x:c>
      <x:c r="G538" s="18" t="n">
        <x:v>98.5</x:v>
      </x:c>
      <x:c r="H538" t="n">
        <x:v>0</x:v>
      </x:c>
      <x:c r="I538" t="n">
        <x:v>0</x:v>
      </x:c>
      <x:c r="J538" t="n">
        <x:v>0</x:v>
      </x:c>
      <x:c r="K538" t="n">
        <x:v>1</x:v>
      </x:c>
      <x:c r="L538" t="n">
        <x:v>25</x:v>
      </x:c>
      <x:c r="M538" t="n">
        <x:v>0</x:v>
      </x:c>
      <x:c r="N538" t="str">
        <x:v>Approved</x:v>
      </x:c>
      <x:c r="O538" t="n">
        <x:v>0</x:v>
      </x:c>
      <x:c r="P538" t="str">
        <x:f>IF(L538&gt;=75,"High",IF(L538&gt;=55,"Medium","Low"))</x:f>
        <x:v>Low</x:v>
      </x:c>
    </x:row>
    <x:row r="539">
      <x:c r="A539" t="n">
        <x:v>538</x:v>
      </x:c>
      <x:c r="B539" t="n">
        <x:v>10268</x:v>
      </x:c>
      <x:c r="C539" s="16" t="n">
        <x:v>46191</x:v>
      </x:c>
      <x:c r="D539" t="str">
        <x:v>16:51:00</x:v>
      </x:c>
      <x:c r="E539" t="str">
        <x:v>Card</x:v>
      </x:c>
      <x:c r="F539" t="str">
        <x:v>Subscriptions</x:v>
      </x:c>
      <x:c r="G539" s="18" t="n">
        <x:v>62.56</x:v>
      </x:c>
      <x:c r="H539" t="n">
        <x:v>1</x:v>
      </x:c>
      <x:c r="I539" t="n">
        <x:v>1</x:v>
      </x:c>
      <x:c r="J539" t="n">
        <x:v>0</x:v>
      </x:c>
      <x:c r="K539" t="n">
        <x:v>0</x:v>
      </x:c>
      <x:c r="L539" t="n">
        <x:v>56</x:v>
      </x:c>
      <x:c r="M539" t="n">
        <x:v>1</x:v>
      </x:c>
      <x:c r="N539" t="str">
        <x:v>Approved</x:v>
      </x:c>
      <x:c r="O539" t="n">
        <x:v>0</x:v>
      </x:c>
      <x:c r="P539" t="str">
        <x:f>IF(L539&gt;=75,"High",IF(L539&gt;=55,"Medium","Low"))</x:f>
        <x:v>Medium</x:v>
      </x:c>
    </x:row>
    <x:row r="540">
      <x:c r="A540" t="n">
        <x:v>539</x:v>
      </x:c>
      <x:c r="B540" t="n">
        <x:v>10251</x:v>
      </x:c>
      <x:c r="C540" s="16" t="n">
        <x:v>46137</x:v>
      </x:c>
      <x:c r="D540" t="str">
        <x:v>02:45:00</x:v>
      </x:c>
      <x:c r="E540" t="str">
        <x:v>Card</x:v>
      </x:c>
      <x:c r="F540" t="str">
        <x:v>Retail</x:v>
      </x:c>
      <x:c r="G540" s="18" t="n">
        <x:v>353.95</x:v>
      </x:c>
      <x:c r="H540" t="n">
        <x:v>0</x:v>
      </x:c>
      <x:c r="I540" t="n">
        <x:v>1</x:v>
      </x:c>
      <x:c r="J540" t="n">
        <x:v>0</x:v>
      </x:c>
      <x:c r="K540" t="n">
        <x:v>1</x:v>
      </x:c>
      <x:c r="L540" t="n">
        <x:v>45</x:v>
      </x:c>
      <x:c r="M540" t="n">
        <x:v>0</x:v>
      </x:c>
      <x:c r="N540" t="str">
        <x:v>Declined</x:v>
      </x:c>
      <x:c r="O540" t="n">
        <x:v>0</x:v>
      </x:c>
      <x:c r="P540" t="str">
        <x:f>IF(L540&gt;=75,"High",IF(L540&gt;=55,"Medium","Low"))</x:f>
        <x:v>Low</x:v>
      </x:c>
    </x:row>
    <x:row r="541">
      <x:c r="A541" t="n">
        <x:v>540</x:v>
      </x:c>
      <x:c r="B541" t="n">
        <x:v>10294</x:v>
      </x:c>
      <x:c r="C541" s="16" t="n">
        <x:v>46278</x:v>
      </x:c>
      <x:c r="D541" t="str">
        <x:v>20:32:00</x:v>
      </x:c>
      <x:c r="E541" t="str">
        <x:v>Card</x:v>
      </x:c>
      <x:c r="F541" t="str">
        <x:v>Dining</x:v>
      </x:c>
      <x:c r="G541" s="18" t="n">
        <x:v>165.93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10</x:v>
      </x:c>
      <x:c r="M541" t="n">
        <x:v>0</x:v>
      </x:c>
      <x:c r="N541" t="str">
        <x:v>Approved</x:v>
      </x:c>
      <x:c r="O541" t="n">
        <x:v>0</x:v>
      </x:c>
      <x:c r="P541" t="str">
        <x:f>IF(L541&gt;=75,"High",IF(L541&gt;=55,"Medium","Low"))</x:f>
        <x:v>Low</x:v>
      </x:c>
    </x:row>
    <x:row r="542">
      <x:c r="A542" t="n">
        <x:v>541</x:v>
      </x:c>
      <x:c r="B542" t="n">
        <x:v>10130</x:v>
      </x:c>
      <x:c r="C542" s="16" t="n">
        <x:v>46153</x:v>
      </x:c>
      <x:c r="D542" t="str">
        <x:v>07:17:00</x:v>
      </x:c>
      <x:c r="E542" t="str">
        <x:v>Card</x:v>
      </x:c>
      <x:c r="F542" t="str">
        <x:v>Subscriptions</x:v>
      </x:c>
      <x:c r="G542" s="18" t="n">
        <x:v>237.84</x:v>
      </x:c>
      <x:c r="H542" t="n">
        <x:v>1</x:v>
      </x:c>
      <x:c r="I542" t="n">
        <x:v>1</x:v>
      </x:c>
      <x:c r="J542" t="n">
        <x:v>0</x:v>
      </x:c>
      <x:c r="K542" t="n">
        <x:v>0</x:v>
      </x:c>
      <x:c r="L542" t="n">
        <x:v>56</x:v>
      </x:c>
      <x:c r="M542" t="n">
        <x:v>1</x:v>
      </x:c>
      <x:c r="N542" t="str">
        <x:v>Approved</x:v>
      </x:c>
      <x:c r="O542" t="n">
        <x:v>0</x:v>
      </x:c>
      <x:c r="P542" t="str">
        <x:f>IF(L542&gt;=75,"High",IF(L542&gt;=55,"Medium","Low"))</x:f>
        <x:v>Medium</x:v>
      </x:c>
    </x:row>
    <x:row r="543">
      <x:c r="A543" t="n">
        <x:v>542</x:v>
      </x:c>
      <x:c r="B543" t="n">
        <x:v>10122</x:v>
      </x:c>
      <x:c r="C543" s="16" t="n">
        <x:v>46186</x:v>
      </x:c>
      <x:c r="D543" t="str">
        <x:v>03:23:00</x:v>
      </x:c>
      <x:c r="E543" t="str">
        <x:v>Bank Transfer</x:v>
      </x:c>
      <x:c r="F543" t="str">
        <x:v>Retail</x:v>
      </x:c>
      <x:c r="G543" s="18" t="n">
        <x:v>131.13</x:v>
      </x:c>
      <x:c r="H543" t="n">
        <x:v>0</x:v>
      </x:c>
      <x:c r="I543" t="n">
        <x:v>0</x:v>
      </x:c>
      <x:c r="J543" t="n">
        <x:v>0</x:v>
      </x:c>
      <x:c r="K543" t="n">
        <x:v>1</x:v>
      </x:c>
      <x:c r="L543" t="n">
        <x:v>25</x:v>
      </x:c>
      <x:c r="M543" t="n">
        <x:v>0</x:v>
      </x:c>
      <x:c r="N543" t="str">
        <x:v>Declined</x:v>
      </x:c>
      <x:c r="O543" t="n">
        <x:v>0</x:v>
      </x:c>
      <x:c r="P543" t="str">
        <x:f>IF(L543&gt;=75,"High",IF(L543&gt;=55,"Medium","Low"))</x:f>
        <x:v>Low</x:v>
      </x:c>
    </x:row>
    <x:row r="544">
      <x:c r="A544" t="n">
        <x:v>543</x:v>
      </x:c>
      <x:c r="B544" t="n">
        <x:v>10353</x:v>
      </x:c>
      <x:c r="C544" s="16" t="n">
        <x:v>46282</x:v>
      </x:c>
      <x:c r="D544" t="str">
        <x:v>19:32:00</x:v>
      </x:c>
      <x:c r="E544" t="str">
        <x:v>Card</x:v>
      </x:c>
      <x:c r="F544" t="str">
        <x:v>Utilities</x:v>
      </x:c>
      <x:c r="G544" s="18" t="n">
        <x:v>583.59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10</x:v>
      </x:c>
      <x:c r="M544" t="n">
        <x:v>0</x:v>
      </x:c>
      <x:c r="N544" t="str">
        <x:v>Approved</x:v>
      </x:c>
      <x:c r="O544" t="n">
        <x:v>0</x:v>
      </x:c>
      <x:c r="P544" t="str">
        <x:f>IF(L544&gt;=75,"High",IF(L544&gt;=55,"Medium","Low"))</x:f>
        <x:v>Low</x:v>
      </x:c>
    </x:row>
    <x:row r="545">
      <x:c r="A545" t="n">
        <x:v>544</x:v>
      </x:c>
      <x:c r="B545" t="n">
        <x:v>10223</x:v>
      </x:c>
      <x:c r="C545" s="16" t="n">
        <x:v>46276</x:v>
      </x:c>
      <x:c r="D545" t="str">
        <x:v>04:53:00</x:v>
      </x:c>
      <x:c r="E545" t="str">
        <x:v>Card</x:v>
      </x:c>
      <x:c r="F545" t="str">
        <x:v>Subscriptions</x:v>
      </x:c>
      <x:c r="G545" s="18" t="n">
        <x:v>33.39</x:v>
      </x:c>
      <x:c r="H545" t="n">
        <x:v>0</x:v>
      </x:c>
      <x:c r="I545" t="n">
        <x:v>0</x:v>
      </x:c>
      <x:c r="J545" t="n">
        <x:v>0</x:v>
      </x:c>
      <x:c r="K545" t="n">
        <x:v>1</x:v>
      </x:c>
      <x:c r="L545" t="n">
        <x:v>25</x:v>
      </x:c>
      <x:c r="M545" t="n">
        <x:v>0</x:v>
      </x:c>
      <x:c r="N545" t="str">
        <x:v>Approved</x:v>
      </x:c>
      <x:c r="O545" t="n">
        <x:v>0</x:v>
      </x:c>
      <x:c r="P545" t="str">
        <x:f>IF(L545&gt;=75,"High",IF(L545&gt;=55,"Medium","Low"))</x:f>
        <x:v>Low</x:v>
      </x:c>
    </x:row>
    <x:row r="546">
      <x:c r="A546" t="n">
        <x:v>545</x:v>
      </x:c>
      <x:c r="B546" t="n">
        <x:v>10122</x:v>
      </x:c>
      <x:c r="C546" s="16" t="n">
        <x:v>46260</x:v>
      </x:c>
      <x:c r="D546" t="str">
        <x:v>00:14:00</x:v>
      </x:c>
      <x:c r="E546" t="str">
        <x:v>Card</x:v>
      </x:c>
      <x:c r="F546" t="str">
        <x:v>Transfer</x:v>
      </x:c>
      <x:c r="G546" s="18" t="n">
        <x:v>157.42</x:v>
      </x:c>
      <x:c r="H546" t="n">
        <x:v>0</x:v>
      </x:c>
      <x:c r="I546" t="n">
        <x:v>0</x:v>
      </x:c>
      <x:c r="J546" t="n">
        <x:v>0</x:v>
      </x:c>
      <x:c r="K546" t="n">
        <x:v>1</x:v>
      </x:c>
      <x:c r="L546" t="n">
        <x:v>25</x:v>
      </x:c>
      <x:c r="M546" t="n">
        <x:v>0</x:v>
      </x:c>
      <x:c r="N546" t="str">
        <x:v>Approved</x:v>
      </x:c>
      <x:c r="O546" t="n">
        <x:v>0</x:v>
      </x:c>
      <x:c r="P546" t="str">
        <x:f>IF(L546&gt;=75,"High",IF(L546&gt;=55,"Medium","Low"))</x:f>
        <x:v>Low</x:v>
      </x:c>
    </x:row>
    <x:row r="547">
      <x:c r="A547" t="n">
        <x:v>546</x:v>
      </x:c>
      <x:c r="B547" t="n">
        <x:v>10139</x:v>
      </x:c>
      <x:c r="C547" s="16" t="n">
        <x:v>46148</x:v>
      </x:c>
      <x:c r="D547" t="str">
        <x:v>12:25:00</x:v>
      </x:c>
      <x:c r="E547" t="str">
        <x:v>Card</x:v>
      </x:c>
      <x:c r="F547" t="str">
        <x:v>Utilities</x:v>
      </x:c>
      <x:c r="G547" s="18" t="n">
        <x:v>19.26</x:v>
      </x:c>
      <x:c r="H547" t="n">
        <x:v>1</x:v>
      </x:c>
      <x:c r="I547" t="n">
        <x:v>1</x:v>
      </x:c>
      <x:c r="J547" t="n">
        <x:v>0</x:v>
      </x:c>
      <x:c r="K547" t="n">
        <x:v>0</x:v>
      </x:c>
      <x:c r="L547" t="n">
        <x:v>56</x:v>
      </x:c>
      <x:c r="M547" t="n">
        <x:v>1</x:v>
      </x:c>
      <x:c r="N547" t="str">
        <x:v>Approved</x:v>
      </x:c>
      <x:c r="O547" t="n">
        <x:v>0</x:v>
      </x:c>
      <x:c r="P547" t="str">
        <x:f>IF(L547&gt;=75,"High",IF(L547&gt;=55,"Medium","Low"))</x:f>
        <x:v>Medium</x:v>
      </x:c>
    </x:row>
    <x:row r="548">
      <x:c r="A548" t="n">
        <x:v>547</x:v>
      </x:c>
      <x:c r="B548" t="n">
        <x:v>10073</x:v>
      </x:c>
      <x:c r="C548" s="16" t="n">
        <x:v>46195</x:v>
      </x:c>
      <x:c r="D548" t="str">
        <x:v>13:14:00</x:v>
      </x:c>
      <x:c r="E548" t="str">
        <x:v>Bank Transfer</x:v>
      </x:c>
      <x:c r="F548" t="str">
        <x:v>Retail</x:v>
      </x:c>
      <x:c r="G548" s="18" t="n">
        <x:v>87.16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10</x:v>
      </x:c>
      <x:c r="M548" t="n">
        <x:v>0</x:v>
      </x:c>
      <x:c r="N548" t="str">
        <x:v>Approved</x:v>
      </x:c>
      <x:c r="O548" t="n">
        <x:v>0</x:v>
      </x:c>
      <x:c r="P548" t="str">
        <x:f>IF(L548&gt;=75,"High",IF(L548&gt;=55,"Medium","Low"))</x:f>
        <x:v>Low</x:v>
      </x:c>
    </x:row>
    <x:row r="549">
      <x:c r="A549" t="n">
        <x:v>548</x:v>
      </x:c>
      <x:c r="B549" t="n">
        <x:v>10042</x:v>
      </x:c>
      <x:c r="C549" s="16" t="n">
        <x:v>46122</x:v>
      </x:c>
      <x:c r="D549" t="str">
        <x:v>03:18:00</x:v>
      </x:c>
      <x:c r="E549" t="str">
        <x:v>Card</x:v>
      </x:c>
      <x:c r="F549" t="str">
        <x:v>Subscriptions</x:v>
      </x:c>
      <x:c r="G549" s="18" t="n">
        <x:v>64.99</x:v>
      </x:c>
      <x:c r="H549" t="n">
        <x:v>0</x:v>
      </x:c>
      <x:c r="I549" t="n">
        <x:v>1</x:v>
      </x:c>
      <x:c r="J549" t="n">
        <x:v>0</x:v>
      </x:c>
      <x:c r="K549" t="n">
        <x:v>1</x:v>
      </x:c>
      <x:c r="L549" t="n">
        <x:v>45</x:v>
      </x:c>
      <x:c r="M549" t="n">
        <x:v>0</x:v>
      </x:c>
      <x:c r="N549" t="str">
        <x:v>Approved</x:v>
      </x:c>
      <x:c r="O549" t="n">
        <x:v>0</x:v>
      </x:c>
      <x:c r="P549" t="str">
        <x:f>IF(L549&gt;=75,"High",IF(L549&gt;=55,"Medium","Low"))</x:f>
        <x:v>Low</x:v>
      </x:c>
    </x:row>
    <x:row r="550">
      <x:c r="A550" t="n">
        <x:v>549</x:v>
      </x:c>
      <x:c r="B550" t="n">
        <x:v>10129</x:v>
      </x:c>
      <x:c r="C550" s="16" t="n">
        <x:v>46196</x:v>
      </x:c>
      <x:c r="D550" t="str">
        <x:v>02:35:00</x:v>
      </x:c>
      <x:c r="E550" t="str">
        <x:v>Card</x:v>
      </x:c>
      <x:c r="F550" t="str">
        <x:v>Retail</x:v>
      </x:c>
      <x:c r="G550" s="18" t="n">
        <x:v>14</x:v>
      </x:c>
      <x:c r="H550" t="n">
        <x:v>0</x:v>
      </x:c>
      <x:c r="I550" t="n">
        <x:v>0</x:v>
      </x:c>
      <x:c r="J550" t="n">
        <x:v>0</x:v>
      </x:c>
      <x:c r="K550" t="n">
        <x:v>1</x:v>
      </x:c>
      <x:c r="L550" t="n">
        <x:v>25</x:v>
      </x:c>
      <x:c r="M550" t="n">
        <x:v>0</x:v>
      </x:c>
      <x:c r="N550" t="str">
        <x:v>Approved</x:v>
      </x:c>
      <x:c r="O550" t="n">
        <x:v>0</x:v>
      </x:c>
      <x:c r="P550" t="str">
        <x:f>IF(L550&gt;=75,"High",IF(L550&gt;=55,"Medium","Low"))</x:f>
        <x:v>Low</x:v>
      </x:c>
    </x:row>
    <x:row r="551">
      <x:c r="A551" t="n">
        <x:v>550</x:v>
      </x:c>
      <x:c r="B551" t="n">
        <x:v>10237</x:v>
      </x:c>
      <x:c r="C551" s="16" t="n">
        <x:v>46232</x:v>
      </x:c>
      <x:c r="D551" t="str">
        <x:v>18:19:00</x:v>
      </x:c>
      <x:c r="E551" t="str">
        <x:v>P2P</x:v>
      </x:c>
      <x:c r="F551" t="str">
        <x:v>Retail</x:v>
      </x:c>
      <x:c r="G551" s="18" t="n">
        <x:v>23.87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10</x:v>
      </x:c>
      <x:c r="M551" t="n">
        <x:v>0</x:v>
      </x:c>
      <x:c r="N551" t="str">
        <x:v>Approved</x:v>
      </x:c>
      <x:c r="O551" t="n">
        <x:v>0</x:v>
      </x:c>
      <x:c r="P551" t="str">
        <x:f>IF(L551&gt;=75,"High",IF(L551&gt;=55,"Medium","Low"))</x:f>
        <x:v>Low</x:v>
      </x:c>
    </x:row>
    <x:row r="552">
      <x:c r="A552" t="n">
        <x:v>551</x:v>
      </x:c>
      <x:c r="B552" t="n">
        <x:v>10268</x:v>
      </x:c>
      <x:c r="C552" s="16" t="n">
        <x:v>46144</x:v>
      </x:c>
      <x:c r="D552" t="str">
        <x:v>16:22:00</x:v>
      </x:c>
      <x:c r="E552" t="str">
        <x:v>Card</x:v>
      </x:c>
      <x:c r="F552" t="str">
        <x:v>Utilities</x:v>
      </x:c>
      <x:c r="G552" s="18" t="n">
        <x:v>220.3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10</x:v>
      </x:c>
      <x:c r="M552" t="n">
        <x:v>0</x:v>
      </x:c>
      <x:c r="N552" t="str">
        <x:v>Approved</x:v>
      </x:c>
      <x:c r="O552" t="n">
        <x:v>0</x:v>
      </x:c>
      <x:c r="P552" t="str">
        <x:f>IF(L552&gt;=75,"High",IF(L552&gt;=55,"Medium","Low"))</x:f>
        <x:v>Low</x:v>
      </x:c>
    </x:row>
    <x:row r="553">
      <x:c r="A553" t="n">
        <x:v>552</x:v>
      </x:c>
      <x:c r="B553" t="n">
        <x:v>10053</x:v>
      </x:c>
      <x:c r="C553" s="16" t="n">
        <x:v>46277</x:v>
      </x:c>
      <x:c r="D553" t="str">
        <x:v>19:14:00</x:v>
      </x:c>
      <x:c r="E553" t="str">
        <x:v>P2P</x:v>
      </x:c>
      <x:c r="F553" t="str">
        <x:v>Electronics</x:v>
      </x:c>
      <x:c r="G553" s="18" t="n">
        <x:v>58.94</x:v>
      </x:c>
      <x:c r="H553" t="n">
        <x:v>1</x:v>
      </x:c>
      <x:c r="I553" t="n">
        <x:v>0</x:v>
      </x:c>
      <x:c r="J553" t="n">
        <x:v>0</x:v>
      </x:c>
      <x:c r="K553" t="n">
        <x:v>0</x:v>
      </x:c>
      <x:c r="L553" t="n">
        <x:v>36</x:v>
      </x:c>
      <x:c r="M553" t="n">
        <x:v>0</x:v>
      </x:c>
      <x:c r="N553" t="str">
        <x:v>Approved</x:v>
      </x:c>
      <x:c r="O553" t="n">
        <x:v>0</x:v>
      </x:c>
      <x:c r="P553" t="str">
        <x:f>IF(L553&gt;=75,"High",IF(L553&gt;=55,"Medium","Low"))</x:f>
        <x:v>Low</x:v>
      </x:c>
    </x:row>
    <x:row r="554">
      <x:c r="A554" t="n">
        <x:v>553</x:v>
      </x:c>
      <x:c r="B554" t="n">
        <x:v>10176</x:v>
      </x:c>
      <x:c r="C554" s="16" t="n">
        <x:v>46197</x:v>
      </x:c>
      <x:c r="D554" t="str">
        <x:v>13:43:00</x:v>
      </x:c>
      <x:c r="E554" t="str">
        <x:v>Card</x:v>
      </x:c>
      <x:c r="F554" t="str">
        <x:v>Travel</x:v>
      </x:c>
      <x:c r="G554" s="18" t="n">
        <x:v>82.42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10</x:v>
      </x:c>
      <x:c r="M554" t="n">
        <x:v>0</x:v>
      </x:c>
      <x:c r="N554" t="str">
        <x:v>Approved</x:v>
      </x:c>
      <x:c r="O554" t="n">
        <x:v>0</x:v>
      </x:c>
      <x:c r="P554" t="str">
        <x:f>IF(L554&gt;=75,"High",IF(L554&gt;=55,"Medium","Low"))</x:f>
        <x:v>Low</x:v>
      </x:c>
    </x:row>
    <x:row r="555">
      <x:c r="A555" t="n">
        <x:v>554</x:v>
      </x:c>
      <x:c r="B555" t="n">
        <x:v>10224</x:v>
      </x:c>
      <x:c r="C555" s="16" t="n">
        <x:v>46145</x:v>
      </x:c>
      <x:c r="D555" t="str">
        <x:v>01:46:00</x:v>
      </x:c>
      <x:c r="E555" t="str">
        <x:v>Bank Transfer</x:v>
      </x:c>
      <x:c r="F555" t="str">
        <x:v>Transfer</x:v>
      </x:c>
      <x:c r="G555" s="18" t="n">
        <x:v>157.9</x:v>
      </x:c>
      <x:c r="H555" t="n">
        <x:v>0</x:v>
      </x:c>
      <x:c r="I555" t="n">
        <x:v>0</x:v>
      </x:c>
      <x:c r="J555" t="n">
        <x:v>0</x:v>
      </x:c>
      <x:c r="K555" t="n">
        <x:v>1</x:v>
      </x:c>
      <x:c r="L555" t="n">
        <x:v>25</x:v>
      </x:c>
      <x:c r="M555" t="n">
        <x:v>0</x:v>
      </x:c>
      <x:c r="N555" t="str">
        <x:v>Approved</x:v>
      </x:c>
      <x:c r="O555" t="n">
        <x:v>0</x:v>
      </x:c>
      <x:c r="P555" t="str">
        <x:f>IF(L555&gt;=75,"High",IF(L555&gt;=55,"Medium","Low"))</x:f>
        <x:v>Low</x:v>
      </x:c>
    </x:row>
    <x:row r="556">
      <x:c r="A556" t="n">
        <x:v>555</x:v>
      </x:c>
      <x:c r="B556" t="n">
        <x:v>10123</x:v>
      </x:c>
      <x:c r="C556" s="16" t="n">
        <x:v>46174</x:v>
      </x:c>
      <x:c r="D556" t="str">
        <x:v>07:38:00</x:v>
      </x:c>
      <x:c r="E556" t="str">
        <x:v>Card</x:v>
      </x:c>
      <x:c r="F556" t="str">
        <x:v>Dining</x:v>
      </x:c>
      <x:c r="G556" s="18" t="n">
        <x:v>51.61</x:v>
      </x:c>
      <x:c r="H556" t="n">
        <x:v>1</x:v>
      </x:c>
      <x:c r="I556" t="n">
        <x:v>0</x:v>
      </x:c>
      <x:c r="J556" t="n">
        <x:v>0</x:v>
      </x:c>
      <x:c r="K556" t="n">
        <x:v>0</x:v>
      </x:c>
      <x:c r="L556" t="n">
        <x:v>36</x:v>
      </x:c>
      <x:c r="M556" t="n">
        <x:v>0</x:v>
      </x:c>
      <x:c r="N556" t="str">
        <x:v>Approved</x:v>
      </x:c>
      <x:c r="O556" t="n">
        <x:v>0</x:v>
      </x:c>
      <x:c r="P556" t="str">
        <x:f>IF(L556&gt;=75,"High",IF(L556&gt;=55,"Medium","Low"))</x:f>
        <x:v>Low</x:v>
      </x:c>
    </x:row>
    <x:row r="557">
      <x:c r="A557" t="n">
        <x:v>556</x:v>
      </x:c>
      <x:c r="B557" t="n">
        <x:v>10114</x:v>
      </x:c>
      <x:c r="C557" s="16" t="n">
        <x:v>46294</x:v>
      </x:c>
      <x:c r="D557" t="str">
        <x:v>07:55:00</x:v>
      </x:c>
      <x:c r="E557" t="str">
        <x:v>Card</x:v>
      </x:c>
      <x:c r="F557" t="str">
        <x:v>Subscriptions</x:v>
      </x:c>
      <x:c r="G557" s="18" t="n">
        <x:v>278.2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10</x:v>
      </x:c>
      <x:c r="M557" t="n">
        <x:v>0</x:v>
      </x:c>
      <x:c r="N557" t="str">
        <x:v>Approved</x:v>
      </x:c>
      <x:c r="O557" t="n">
        <x:v>0</x:v>
      </x:c>
      <x:c r="P557" t="str">
        <x:f>IF(L557&gt;=75,"High",IF(L557&gt;=55,"Medium","Low"))</x:f>
        <x:v>Low</x:v>
      </x:c>
    </x:row>
    <x:row r="558">
      <x:c r="A558" t="n">
        <x:v>557</x:v>
      </x:c>
      <x:c r="B558" t="n">
        <x:v>10028</x:v>
      </x:c>
      <x:c r="C558" s="16" t="n">
        <x:v>46246</x:v>
      </x:c>
      <x:c r="D558" t="str">
        <x:v>08:21:00</x:v>
      </x:c>
      <x:c r="E558" t="str">
        <x:v>Bank Transfer</x:v>
      </x:c>
      <x:c r="F558" t="str">
        <x:v>Travel</x:v>
      </x:c>
      <x:c r="G558" s="18" t="n">
        <x:v>206.13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10</x:v>
      </x:c>
      <x:c r="M558" t="n">
        <x:v>0</x:v>
      </x:c>
      <x:c r="N558" t="str">
        <x:v>Approved</x:v>
      </x:c>
      <x:c r="O558" t="n">
        <x:v>0</x:v>
      </x:c>
      <x:c r="P558" t="str">
        <x:f>IF(L558&gt;=75,"High",IF(L558&gt;=55,"Medium","Low"))</x:f>
        <x:v>Low</x:v>
      </x:c>
    </x:row>
    <x:row r="559">
      <x:c r="A559" t="n">
        <x:v>558</x:v>
      </x:c>
      <x:c r="B559" t="n">
        <x:v>10185</x:v>
      </x:c>
      <x:c r="C559" s="16" t="n">
        <x:v>46185</x:v>
      </x:c>
      <x:c r="D559" t="str">
        <x:v>04:42:00</x:v>
      </x:c>
      <x:c r="E559" t="str">
        <x:v>Bank Transfer</x:v>
      </x:c>
      <x:c r="F559" t="str">
        <x:v>Utilities</x:v>
      </x:c>
      <x:c r="G559" s="18" t="n">
        <x:v>86.67</x:v>
      </x:c>
      <x:c r="H559" t="n">
        <x:v>0</x:v>
      </x:c>
      <x:c r="I559" t="n">
        <x:v>0</x:v>
      </x:c>
      <x:c r="J559" t="n">
        <x:v>0</x:v>
      </x:c>
      <x:c r="K559" t="n">
        <x:v>1</x:v>
      </x:c>
      <x:c r="L559" t="n">
        <x:v>25</x:v>
      </x:c>
      <x:c r="M559" t="n">
        <x:v>0</x:v>
      </x:c>
      <x:c r="N559" t="str">
        <x:v>Declined</x:v>
      </x:c>
      <x:c r="O559" t="n">
        <x:v>0</x:v>
      </x:c>
      <x:c r="P559" t="str">
        <x:f>IF(L559&gt;=75,"High",IF(L559&gt;=55,"Medium","Low"))</x:f>
        <x:v>Low</x:v>
      </x:c>
    </x:row>
    <x:row r="560">
      <x:c r="A560" t="n">
        <x:v>559</x:v>
      </x:c>
      <x:c r="B560" t="n">
        <x:v>10178</x:v>
      </x:c>
      <x:c r="C560" s="16" t="n">
        <x:v>46208</x:v>
      </x:c>
      <x:c r="D560" t="str">
        <x:v>04:38:00</x:v>
      </x:c>
      <x:c r="E560" t="str">
        <x:v>P2P</x:v>
      </x:c>
      <x:c r="F560" t="str">
        <x:v>Subscriptions</x:v>
      </x:c>
      <x:c r="G560" s="18" t="n">
        <x:v>142.92</x:v>
      </x:c>
      <x:c r="H560" t="n">
        <x:v>0</x:v>
      </x:c>
      <x:c r="I560" t="n">
        <x:v>1</x:v>
      </x:c>
      <x:c r="J560" t="n">
        <x:v>0</x:v>
      </x:c>
      <x:c r="K560" t="n">
        <x:v>1</x:v>
      </x:c>
      <x:c r="L560" t="n">
        <x:v>45</x:v>
      </x:c>
      <x:c r="M560" t="n">
        <x:v>0</x:v>
      </x:c>
      <x:c r="N560" t="str">
        <x:v>Approved</x:v>
      </x:c>
      <x:c r="O560" t="n">
        <x:v>0</x:v>
      </x:c>
      <x:c r="P560" t="str">
        <x:f>IF(L560&gt;=75,"High",IF(L560&gt;=55,"Medium","Low"))</x:f>
        <x:v>Low</x:v>
      </x:c>
    </x:row>
    <x:row r="561">
      <x:c r="A561" t="n">
        <x:v>560</x:v>
      </x:c>
      <x:c r="B561" t="n">
        <x:v>10084</x:v>
      </x:c>
      <x:c r="C561" s="16" t="n">
        <x:v>46255</x:v>
      </x:c>
      <x:c r="D561" t="str">
        <x:v>16:15:00</x:v>
      </x:c>
      <x:c r="E561" t="str">
        <x:v>Bank Transfer</x:v>
      </x:c>
      <x:c r="F561" t="str">
        <x:v>Subscriptions</x:v>
      </x:c>
      <x:c r="G561" s="18" t="n">
        <x:v>71.04</x:v>
      </x:c>
      <x:c r="H561" t="n">
        <x:v>1</x:v>
      </x:c>
      <x:c r="I561" t="n">
        <x:v>0</x:v>
      </x:c>
      <x:c r="J561" t="n">
        <x:v>0</x:v>
      </x:c>
      <x:c r="K561" t="n">
        <x:v>0</x:v>
      </x:c>
      <x:c r="L561" t="n">
        <x:v>36</x:v>
      </x:c>
      <x:c r="M561" t="n">
        <x:v>0</x:v>
      </x:c>
      <x:c r="N561" t="str">
        <x:v>Approved</x:v>
      </x:c>
      <x:c r="O561" t="n">
        <x:v>0</x:v>
      </x:c>
      <x:c r="P561" t="str">
        <x:f>IF(L561&gt;=75,"High",IF(L561&gt;=55,"Medium","Low"))</x:f>
        <x:v>Low</x:v>
      </x:c>
    </x:row>
    <x:row r="562">
      <x:c r="A562" t="n">
        <x:v>561</x:v>
      </x:c>
      <x:c r="B562" t="n">
        <x:v>10277</x:v>
      </x:c>
      <x:c r="C562" s="16" t="n">
        <x:v>46235</x:v>
      </x:c>
      <x:c r="D562" t="str">
        <x:v>12:17:00</x:v>
      </x:c>
      <x:c r="E562" t="str">
        <x:v>Card</x:v>
      </x:c>
      <x:c r="F562" t="str">
        <x:v>Electronics</x:v>
      </x:c>
      <x:c r="G562" s="18" t="n">
        <x:v>61.49</x:v>
      </x:c>
      <x:c r="H562" t="n">
        <x:v>0</x:v>
      </x:c>
      <x:c r="I562" t="n">
        <x:v>0</x:v>
      </x:c>
      <x:c r="J562" t="n">
        <x:v>0</x:v>
      </x:c>
      <x:c r="K562" t="n">
        <x:v>0</x:v>
      </x:c>
      <x:c r="L562" t="n">
        <x:v>10</x:v>
      </x:c>
      <x:c r="M562" t="n">
        <x:v>0</x:v>
      </x:c>
      <x:c r="N562" t="str">
        <x:v>Approved</x:v>
      </x:c>
      <x:c r="O562" t="n">
        <x:v>0</x:v>
      </x:c>
      <x:c r="P562" t="str">
        <x:f>IF(L562&gt;=75,"High",IF(L562&gt;=55,"Medium","Low"))</x:f>
        <x:v>Low</x:v>
      </x:c>
    </x:row>
    <x:row r="563">
      <x:c r="A563" t="n">
        <x:v>562</x:v>
      </x:c>
      <x:c r="B563" t="n">
        <x:v>10304</x:v>
      </x:c>
      <x:c r="C563" s="16" t="n">
        <x:v>46284</x:v>
      </x:c>
      <x:c r="D563" t="str">
        <x:v>00:50:00</x:v>
      </x:c>
      <x:c r="E563" t="str">
        <x:v>Card</x:v>
      </x:c>
      <x:c r="F563" t="str">
        <x:v>Subscriptions</x:v>
      </x:c>
      <x:c r="G563" s="18" t="n">
        <x:v>423.06</x:v>
      </x:c>
      <x:c r="H563" t="n">
        <x:v>0</x:v>
      </x:c>
      <x:c r="I563" t="n">
        <x:v>0</x:v>
      </x:c>
      <x:c r="J563" t="n">
        <x:v>0</x:v>
      </x:c>
      <x:c r="K563" t="n">
        <x:v>1</x:v>
      </x:c>
      <x:c r="L563" t="n">
        <x:v>25</x:v>
      </x:c>
      <x:c r="M563" t="n">
        <x:v>0</x:v>
      </x:c>
      <x:c r="N563" t="str">
        <x:v>Approved</x:v>
      </x:c>
      <x:c r="O563" t="n">
        <x:v>0</x:v>
      </x:c>
      <x:c r="P563" t="str">
        <x:f>IF(L563&gt;=75,"High",IF(L563&gt;=55,"Medium","Low"))</x:f>
        <x:v>Low</x:v>
      </x:c>
    </x:row>
    <x:row r="564">
      <x:c r="A564" t="n">
        <x:v>563</x:v>
      </x:c>
      <x:c r="B564" t="n">
        <x:v>10344</x:v>
      </x:c>
      <x:c r="C564" s="16" t="n">
        <x:v>46294</x:v>
      </x:c>
      <x:c r="D564" t="str">
        <x:v>10:29:00</x:v>
      </x:c>
      <x:c r="E564" t="str">
        <x:v>Card</x:v>
      </x:c>
      <x:c r="F564" t="str">
        <x:v>Travel</x:v>
      </x:c>
      <x:c r="G564" s="18" t="n">
        <x:v>45.12</x:v>
      </x:c>
      <x:c r="H564" t="n">
        <x:v>1</x:v>
      </x:c>
      <x:c r="I564" t="n">
        <x:v>0</x:v>
      </x:c>
      <x:c r="J564" t="n">
        <x:v>0</x:v>
      </x:c>
      <x:c r="K564" t="n">
        <x:v>0</x:v>
      </x:c>
      <x:c r="L564" t="n">
        <x:v>36</x:v>
      </x:c>
      <x:c r="M564" t="n">
        <x:v>0</x:v>
      </x:c>
      <x:c r="N564" t="str">
        <x:v>Approved</x:v>
      </x:c>
      <x:c r="O564" t="n">
        <x:v>0</x:v>
      </x:c>
      <x:c r="P564" t="str">
        <x:f>IF(L564&gt;=75,"High",IF(L564&gt;=55,"Medium","Low"))</x:f>
        <x:v>Low</x:v>
      </x:c>
    </x:row>
    <x:row r="565">
      <x:c r="A565" t="n">
        <x:v>564</x:v>
      </x:c>
      <x:c r="B565" t="n">
        <x:v>10168</x:v>
      </x:c>
      <x:c r="C565" s="16" t="n">
        <x:v>46191</x:v>
      </x:c>
      <x:c r="D565" t="str">
        <x:v>11:42:00</x:v>
      </x:c>
      <x:c r="E565" t="str">
        <x:v>Card</x:v>
      </x:c>
      <x:c r="F565" t="str">
        <x:v>Electronics</x:v>
      </x:c>
      <x:c r="G565" s="18" t="n">
        <x:v>336.89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10</x:v>
      </x:c>
      <x:c r="M565" t="n">
        <x:v>0</x:v>
      </x:c>
      <x:c r="N565" t="str">
        <x:v>Approved</x:v>
      </x:c>
      <x:c r="O565" t="n">
        <x:v>0</x:v>
      </x:c>
      <x:c r="P565" t="str">
        <x:f>IF(L565&gt;=75,"High",IF(L565&gt;=55,"Medium","Low"))</x:f>
        <x:v>Low</x:v>
      </x:c>
    </x:row>
    <x:row r="566">
      <x:c r="A566" t="n">
        <x:v>565</x:v>
      </x:c>
      <x:c r="B566" t="n">
        <x:v>10292</x:v>
      </x:c>
      <x:c r="C566" s="16" t="n">
        <x:v>46217</x:v>
      </x:c>
      <x:c r="D566" t="str">
        <x:v>16:02:00</x:v>
      </x:c>
      <x:c r="E566" t="str">
        <x:v>Card</x:v>
      </x:c>
      <x:c r="F566" t="str">
        <x:v>Electronics</x:v>
      </x:c>
      <x:c r="G566" s="18" t="n">
        <x:v>83.75</x:v>
      </x:c>
      <x:c r="H566" t="n">
        <x:v>1</x:v>
      </x:c>
      <x:c r="I566" t="n">
        <x:v>0</x:v>
      </x:c>
      <x:c r="J566" t="n">
        <x:v>0</x:v>
      </x:c>
      <x:c r="K566" t="n">
        <x:v>0</x:v>
      </x:c>
      <x:c r="L566" t="n">
        <x:v>36</x:v>
      </x:c>
      <x:c r="M566" t="n">
        <x:v>0</x:v>
      </x:c>
      <x:c r="N566" t="str">
        <x:v>Approved</x:v>
      </x:c>
      <x:c r="O566" t="n">
        <x:v>0</x:v>
      </x:c>
      <x:c r="P566" t="str">
        <x:f>IF(L566&gt;=75,"High",IF(L566&gt;=55,"Medium","Low"))</x:f>
        <x:v>Low</x:v>
      </x:c>
    </x:row>
    <x:row r="567">
      <x:c r="A567" t="n">
        <x:v>566</x:v>
      </x:c>
      <x:c r="B567" t="n">
        <x:v>10345</x:v>
      </x:c>
      <x:c r="C567" s="16" t="n">
        <x:v>46201</x:v>
      </x:c>
      <x:c r="D567" t="str">
        <x:v>01:39:00</x:v>
      </x:c>
      <x:c r="E567" t="str">
        <x:v>P2P</x:v>
      </x:c>
      <x:c r="F567" t="str">
        <x:v>Dining</x:v>
      </x:c>
      <x:c r="G567" s="18" t="n">
        <x:v>50.65</x:v>
      </x:c>
      <x:c r="H567" t="n">
        <x:v>0</x:v>
      </x:c>
      <x:c r="I567" t="n">
        <x:v>0</x:v>
      </x:c>
      <x:c r="J567" t="n">
        <x:v>0</x:v>
      </x:c>
      <x:c r="K567" t="n">
        <x:v>1</x:v>
      </x:c>
      <x:c r="L567" t="n">
        <x:v>25</x:v>
      </x:c>
      <x:c r="M567" t="n">
        <x:v>0</x:v>
      </x:c>
      <x:c r="N567" t="str">
        <x:v>Approved</x:v>
      </x:c>
      <x:c r="O567" t="n">
        <x:v>0</x:v>
      </x:c>
      <x:c r="P567" t="str">
        <x:f>IF(L567&gt;=75,"High",IF(L567&gt;=55,"Medium","Low"))</x:f>
        <x:v>Low</x:v>
      </x:c>
    </x:row>
    <x:row r="568">
      <x:c r="A568" t="n">
        <x:v>567</x:v>
      </x:c>
      <x:c r="B568" t="n">
        <x:v>10145</x:v>
      </x:c>
      <x:c r="C568" s="16" t="n">
        <x:v>46242</x:v>
      </x:c>
      <x:c r="D568" t="str">
        <x:v>03:54:00</x:v>
      </x:c>
      <x:c r="E568" t="str">
        <x:v>Bank Transfer</x:v>
      </x:c>
      <x:c r="F568" t="str">
        <x:v>Subscriptions</x:v>
      </x:c>
      <x:c r="G568" s="18" t="n">
        <x:v>56.06</x:v>
      </x:c>
      <x:c r="H568" t="n">
        <x:v>1</x:v>
      </x:c>
      <x:c r="I568" t="n">
        <x:v>0</x:v>
      </x:c>
      <x:c r="J568" t="n">
        <x:v>0</x:v>
      </x:c>
      <x:c r="K568" t="n">
        <x:v>1</x:v>
      </x:c>
      <x:c r="L568" t="n">
        <x:v>51</x:v>
      </x:c>
      <x:c r="M568" t="n">
        <x:v>0</x:v>
      </x:c>
      <x:c r="N568" t="str">
        <x:v>Approved</x:v>
      </x:c>
      <x:c r="O568" t="n">
        <x:v>0</x:v>
      </x:c>
      <x:c r="P568" t="str">
        <x:f>IF(L568&gt;=75,"High",IF(L568&gt;=55,"Medium","Low"))</x:f>
        <x:v>Low</x:v>
      </x:c>
    </x:row>
    <x:row r="569">
      <x:c r="A569" t="n">
        <x:v>568</x:v>
      </x:c>
      <x:c r="B569" t="n">
        <x:v>10077</x:v>
      </x:c>
      <x:c r="C569" s="16" t="n">
        <x:v>46229</x:v>
      </x:c>
      <x:c r="D569" t="str">
        <x:v>21:42:00</x:v>
      </x:c>
      <x:c r="E569" t="str">
        <x:v>Card</x:v>
      </x:c>
      <x:c r="F569" t="str">
        <x:v>Dining</x:v>
      </x:c>
      <x:c r="G569" s="18" t="n">
        <x:v>35.25</x:v>
      </x:c>
      <x:c r="H569" t="n">
        <x:v>0</x:v>
      </x:c>
      <x:c r="I569" t="n">
        <x:v>1</x:v>
      </x:c>
      <x:c r="J569" t="n">
        <x:v>0</x:v>
      </x:c>
      <x:c r="K569" t="n">
        <x:v>0</x:v>
      </x:c>
      <x:c r="L569" t="n">
        <x:v>30</x:v>
      </x:c>
      <x:c r="M569" t="n">
        <x:v>0</x:v>
      </x:c>
      <x:c r="N569" t="str">
        <x:v>Approved</x:v>
      </x:c>
      <x:c r="O569" t="n">
        <x:v>0</x:v>
      </x:c>
      <x:c r="P569" t="str">
        <x:f>IF(L569&gt;=75,"High",IF(L569&gt;=55,"Medium","Low"))</x:f>
        <x:v>Low</x:v>
      </x:c>
    </x:row>
    <x:row r="570">
      <x:c r="A570" t="n">
        <x:v>569</x:v>
      </x:c>
      <x:c r="B570" t="n">
        <x:v>10208</x:v>
      </x:c>
      <x:c r="C570" s="16" t="n">
        <x:v>46197</x:v>
      </x:c>
      <x:c r="D570" t="str">
        <x:v>04:19:00</x:v>
      </x:c>
      <x:c r="E570" t="str">
        <x:v>Card</x:v>
      </x:c>
      <x:c r="F570" t="str">
        <x:v>Travel</x:v>
      </x:c>
      <x:c r="G570" s="18" t="n">
        <x:v>90.42</x:v>
      </x:c>
      <x:c r="H570" t="n">
        <x:v>0</x:v>
      </x:c>
      <x:c r="I570" t="n">
        <x:v>0</x:v>
      </x:c>
      <x:c r="J570" t="n">
        <x:v>0</x:v>
      </x:c>
      <x:c r="K570" t="n">
        <x:v>1</x:v>
      </x:c>
      <x:c r="L570" t="n">
        <x:v>25</x:v>
      </x:c>
      <x:c r="M570" t="n">
        <x:v>0</x:v>
      </x:c>
      <x:c r="N570" t="str">
        <x:v>Approved</x:v>
      </x:c>
      <x:c r="O570" t="n">
        <x:v>0</x:v>
      </x:c>
      <x:c r="P570" t="str">
        <x:f>IF(L570&gt;=75,"High",IF(L570&gt;=55,"Medium","Low"))</x:f>
        <x:v>Low</x:v>
      </x:c>
    </x:row>
    <x:row r="571">
      <x:c r="A571" t="n">
        <x:v>570</x:v>
      </x:c>
      <x:c r="B571" t="n">
        <x:v>10263</x:v>
      </x:c>
      <x:c r="C571" s="16" t="n">
        <x:v>46285</x:v>
      </x:c>
      <x:c r="D571" t="str">
        <x:v>08:31:00</x:v>
      </x:c>
      <x:c r="E571" t="str">
        <x:v>Card</x:v>
      </x:c>
      <x:c r="F571" t="str">
        <x:v>Dining</x:v>
      </x:c>
      <x:c r="G571" s="18" t="n">
        <x:v>46.34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10</x:v>
      </x:c>
      <x:c r="M571" t="n">
        <x:v>0</x:v>
      </x:c>
      <x:c r="N571" t="str">
        <x:v>Declined</x:v>
      </x:c>
      <x:c r="O571" t="n">
        <x:v>0</x:v>
      </x:c>
      <x:c r="P571" t="str">
        <x:f>IF(L571&gt;=75,"High",IF(L571&gt;=55,"Medium","Low"))</x:f>
        <x:v>Low</x:v>
      </x:c>
    </x:row>
    <x:row r="572">
      <x:c r="A572" t="n">
        <x:v>571</x:v>
      </x:c>
      <x:c r="B572" t="n">
        <x:v>10203</x:v>
      </x:c>
      <x:c r="C572" s="16" t="n">
        <x:v>46199</x:v>
      </x:c>
      <x:c r="D572" t="str">
        <x:v>20:53:00</x:v>
      </x:c>
      <x:c r="E572" t="str">
        <x:v>Bank Transfer</x:v>
      </x:c>
      <x:c r="F572" t="str">
        <x:v>Subscriptions</x:v>
      </x:c>
      <x:c r="G572" s="18" t="n">
        <x:v>53.09</x:v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n">
        <x:v>10</x:v>
      </x:c>
      <x:c r="M572" t="n">
        <x:v>0</x:v>
      </x:c>
      <x:c r="N572" t="str">
        <x:v>Declined</x:v>
      </x:c>
      <x:c r="O572" t="n">
        <x:v>0</x:v>
      </x:c>
      <x:c r="P572" t="str">
        <x:f>IF(L572&gt;=75,"High",IF(L572&gt;=55,"Medium","Low"))</x:f>
        <x:v>Low</x:v>
      </x:c>
    </x:row>
    <x:row r="573">
      <x:c r="A573" t="n">
        <x:v>572</x:v>
      </x:c>
      <x:c r="B573" t="n">
        <x:v>10164</x:v>
      </x:c>
      <x:c r="C573" s="16" t="n">
        <x:v>46201</x:v>
      </x:c>
      <x:c r="D573" t="str">
        <x:v>18:35:00</x:v>
      </x:c>
      <x:c r="E573" t="str">
        <x:v>Bank Transfer</x:v>
      </x:c>
      <x:c r="F573" t="str">
        <x:v>Electronics</x:v>
      </x:c>
      <x:c r="G573" s="18" t="n">
        <x:v>72.8</x:v>
      </x:c>
      <x:c r="H573" t="n">
        <x:v>1</x:v>
      </x:c>
      <x:c r="I573" t="n">
        <x:v>0</x:v>
      </x:c>
      <x:c r="J573" t="n">
        <x:v>0</x:v>
      </x:c>
      <x:c r="K573" t="n">
        <x:v>0</x:v>
      </x:c>
      <x:c r="L573" t="n">
        <x:v>36</x:v>
      </x:c>
      <x:c r="M573" t="n">
        <x:v>0</x:v>
      </x:c>
      <x:c r="N573" t="str">
        <x:v>Declined</x:v>
      </x:c>
      <x:c r="O573" t="n">
        <x:v>0</x:v>
      </x:c>
      <x:c r="P573" t="str">
        <x:f>IF(L573&gt;=75,"High",IF(L573&gt;=55,"Medium","Low"))</x:f>
        <x:v>Low</x:v>
      </x:c>
    </x:row>
    <x:row r="574">
      <x:c r="A574" t="n">
        <x:v>573</x:v>
      </x:c>
      <x:c r="B574" t="n">
        <x:v>10037</x:v>
      </x:c>
      <x:c r="C574" s="16" t="n">
        <x:v>46180</x:v>
      </x:c>
      <x:c r="D574" t="str">
        <x:v>08:35:00</x:v>
      </x:c>
      <x:c r="E574" t="str">
        <x:v>P2P</x:v>
      </x:c>
      <x:c r="F574" t="str">
        <x:v>Subscriptions</x:v>
      </x:c>
      <x:c r="G574" s="18" t="n">
        <x:v>142.92</x:v>
      </x:c>
      <x:c r="H574" t="n">
        <x:v>1</x:v>
      </x:c>
      <x:c r="I574" t="n">
        <x:v>1</x:v>
      </x:c>
      <x:c r="J574" t="n">
        <x:v>0</x:v>
      </x:c>
      <x:c r="K574" t="n">
        <x:v>0</x:v>
      </x:c>
      <x:c r="L574" t="n">
        <x:v>56</x:v>
      </x:c>
      <x:c r="M574" t="n">
        <x:v>1</x:v>
      </x:c>
      <x:c r="N574" t="str">
        <x:v>Approved</x:v>
      </x:c>
      <x:c r="O574" t="n">
        <x:v>0</x:v>
      </x:c>
      <x:c r="P574" t="str">
        <x:f>IF(L574&gt;=75,"High",IF(L574&gt;=55,"Medium","Low"))</x:f>
        <x:v>Medium</x:v>
      </x:c>
    </x:row>
    <x:row r="575">
      <x:c r="A575" t="n">
        <x:v>574</x:v>
      </x:c>
      <x:c r="B575" t="n">
        <x:v>10054</x:v>
      </x:c>
      <x:c r="C575" s="16" t="n">
        <x:v>46216</x:v>
      </x:c>
      <x:c r="D575" t="str">
        <x:v>09:13:00</x:v>
      </x:c>
      <x:c r="E575" t="str">
        <x:v>Card</x:v>
      </x:c>
      <x:c r="F575" t="str">
        <x:v>Subscriptions</x:v>
      </x:c>
      <x:c r="G575" s="18" t="n">
        <x:v>79.79</x:v>
      </x:c>
      <x:c r="H575" t="n">
        <x:v>0</x:v>
      </x:c>
      <x:c r="I575" t="n">
        <x:v>1</x:v>
      </x:c>
      <x:c r="J575" t="n">
        <x:v>0</x:v>
      </x:c>
      <x:c r="K575" t="n">
        <x:v>0</x:v>
      </x:c>
      <x:c r="L575" t="n">
        <x:v>30</x:v>
      </x:c>
      <x:c r="M575" t="n">
        <x:v>0</x:v>
      </x:c>
      <x:c r="N575" t="str">
        <x:v>Approved</x:v>
      </x:c>
      <x:c r="O575" t="n">
        <x:v>0</x:v>
      </x:c>
      <x:c r="P575" t="str">
        <x:f>IF(L575&gt;=75,"High",IF(L575&gt;=55,"Medium","Low"))</x:f>
        <x:v>Low</x:v>
      </x:c>
    </x:row>
    <x:row r="576">
      <x:c r="A576" t="n">
        <x:v>575</x:v>
      </x:c>
      <x:c r="B576" t="n">
        <x:v>10100</x:v>
      </x:c>
      <x:c r="C576" s="16" t="n">
        <x:v>46207</x:v>
      </x:c>
      <x:c r="D576" t="str">
        <x:v>14:05:00</x:v>
      </x:c>
      <x:c r="E576" t="str">
        <x:v>Bank Transfer</x:v>
      </x:c>
      <x:c r="F576" t="str">
        <x:v>Utilities</x:v>
      </x:c>
      <x:c r="G576" s="18" t="n">
        <x:v>199.77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10</x:v>
      </x:c>
      <x:c r="M576" t="n">
        <x:v>0</x:v>
      </x:c>
      <x:c r="N576" t="str">
        <x:v>Approved</x:v>
      </x:c>
      <x:c r="O576" t="n">
        <x:v>0</x:v>
      </x:c>
      <x:c r="P576" t="str">
        <x:f>IF(L576&gt;=75,"High",IF(L576&gt;=55,"Medium","Low"))</x:f>
        <x:v>Low</x:v>
      </x:c>
    </x:row>
    <x:row r="577">
      <x:c r="A577" t="n">
        <x:v>576</x:v>
      </x:c>
      <x:c r="B577" t="n">
        <x:v>10056</x:v>
      </x:c>
      <x:c r="C577" s="16" t="n">
        <x:v>46225</x:v>
      </x:c>
      <x:c r="D577" t="str">
        <x:v>04:19:00</x:v>
      </x:c>
      <x:c r="E577" t="str">
        <x:v>Card</x:v>
      </x:c>
      <x:c r="F577" t="str">
        <x:v>Retail</x:v>
      </x:c>
      <x:c r="G577" s="18" t="n">
        <x:v>122.7</x:v>
      </x:c>
      <x:c r="H577" t="n">
        <x:v>0</x:v>
      </x:c>
      <x:c r="I577" t="n">
        <x:v>0</x:v>
      </x:c>
      <x:c r="J577" t="n">
        <x:v>0</x:v>
      </x:c>
      <x:c r="K577" t="n">
        <x:v>1</x:v>
      </x:c>
      <x:c r="L577" t="n">
        <x:v>25</x:v>
      </x:c>
      <x:c r="M577" t="n">
        <x:v>0</x:v>
      </x:c>
      <x:c r="N577" t="str">
        <x:v>Approved</x:v>
      </x:c>
      <x:c r="O577" t="n">
        <x:v>0</x:v>
      </x:c>
      <x:c r="P577" t="str">
        <x:f>IF(L577&gt;=75,"High",IF(L577&gt;=55,"Medium","Low"))</x:f>
        <x:v>Low</x:v>
      </x:c>
    </x:row>
    <x:row r="578">
      <x:c r="A578" t="n">
        <x:v>577</x:v>
      </x:c>
      <x:c r="B578" t="n">
        <x:v>10139</x:v>
      </x:c>
      <x:c r="C578" s="16" t="n">
        <x:v>46115</x:v>
      </x:c>
      <x:c r="D578" t="str">
        <x:v>21:45:00</x:v>
      </x:c>
      <x:c r="E578" t="str">
        <x:v>Card</x:v>
      </x:c>
      <x:c r="F578" t="str">
        <x:v>Dining</x:v>
      </x:c>
      <x:c r="G578" s="18" t="n">
        <x:v>68.81</x:v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n">
        <x:v>10</x:v>
      </x:c>
      <x:c r="M578" t="n">
        <x:v>0</x:v>
      </x:c>
      <x:c r="N578" t="str">
        <x:v>Approved</x:v>
      </x:c>
      <x:c r="O578" t="n">
        <x:v>0</x:v>
      </x:c>
      <x:c r="P578" t="str">
        <x:f>IF(L578&gt;=75,"High",IF(L578&gt;=55,"Medium","Low"))</x:f>
        <x:v>Low</x:v>
      </x:c>
    </x:row>
    <x:row r="579">
      <x:c r="A579" t="n">
        <x:v>578</x:v>
      </x:c>
      <x:c r="B579" t="n">
        <x:v>10019</x:v>
      </x:c>
      <x:c r="C579" s="16" t="n">
        <x:v>46257</x:v>
      </x:c>
      <x:c r="D579" t="str">
        <x:v>18:50:00</x:v>
      </x:c>
      <x:c r="E579" t="str">
        <x:v>Bank Transfer</x:v>
      </x:c>
      <x:c r="F579" t="str">
        <x:v>Utilities</x:v>
      </x:c>
      <x:c r="G579" s="18" t="n">
        <x:v>59.28</x:v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n">
        <x:v>10</x:v>
      </x:c>
      <x:c r="M579" t="n">
        <x:v>0</x:v>
      </x:c>
      <x:c r="N579" t="str">
        <x:v>Approved</x:v>
      </x:c>
      <x:c r="O579" t="n">
        <x:v>0</x:v>
      </x:c>
      <x:c r="P579" t="str">
        <x:f>IF(L579&gt;=75,"High",IF(L579&gt;=55,"Medium","Low"))</x:f>
        <x:v>Low</x:v>
      </x:c>
    </x:row>
    <x:row r="580">
      <x:c r="A580" t="n">
        <x:v>579</x:v>
      </x:c>
      <x:c r="B580" t="n">
        <x:v>10167</x:v>
      </x:c>
      <x:c r="C580" s="16" t="n">
        <x:v>46195</x:v>
      </x:c>
      <x:c r="D580" t="str">
        <x:v>06:40:00</x:v>
      </x:c>
      <x:c r="E580" t="str">
        <x:v>Card</x:v>
      </x:c>
      <x:c r="F580" t="str">
        <x:v>Travel</x:v>
      </x:c>
      <x:c r="G580" s="18" t="n">
        <x:v>113.47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10</x:v>
      </x:c>
      <x:c r="M580" t="n">
        <x:v>0</x:v>
      </x:c>
      <x:c r="N580" t="str">
        <x:v>Approved</x:v>
      </x:c>
      <x:c r="O580" t="n">
        <x:v>0</x:v>
      </x:c>
      <x:c r="P580" t="str">
        <x:f>IF(L580&gt;=75,"High",IF(L580&gt;=55,"Medium","Low"))</x:f>
        <x:v>Low</x:v>
      </x:c>
    </x:row>
    <x:row r="581">
      <x:c r="A581" t="n">
        <x:v>580</x:v>
      </x:c>
      <x:c r="B581" t="n">
        <x:v>10270</x:v>
      </x:c>
      <x:c r="C581" s="16" t="n">
        <x:v>46205</x:v>
      </x:c>
      <x:c r="D581" t="str">
        <x:v>23:40:00</x:v>
      </x:c>
      <x:c r="E581" t="str">
        <x:v>P2P</x:v>
      </x:c>
      <x:c r="F581" t="str">
        <x:v>Dining</x:v>
      </x:c>
      <x:c r="G581" s="18" t="n">
        <x:v>77.16</x:v>
      </x:c>
      <x:c r="H581" t="n">
        <x:v>1</x:v>
      </x:c>
      <x:c r="I581" t="n">
        <x:v>0</x:v>
      </x:c>
      <x:c r="J581" t="n">
        <x:v>0</x:v>
      </x:c>
      <x:c r="K581" t="n">
        <x:v>0</x:v>
      </x:c>
      <x:c r="L581" t="n">
        <x:v>36</x:v>
      </x:c>
      <x:c r="M581" t="n">
        <x:v>0</x:v>
      </x:c>
      <x:c r="N581" t="str">
        <x:v>Approved</x:v>
      </x:c>
      <x:c r="O581" t="n">
        <x:v>0</x:v>
      </x:c>
      <x:c r="P581" t="str">
        <x:f>IF(L581&gt;=75,"High",IF(L581&gt;=55,"Medium","Low"))</x:f>
        <x:v>Low</x:v>
      </x:c>
    </x:row>
    <x:row r="582">
      <x:c r="A582" t="n">
        <x:v>581</x:v>
      </x:c>
      <x:c r="B582" t="n">
        <x:v>10159</x:v>
      </x:c>
      <x:c r="C582" s="16" t="n">
        <x:v>46244</x:v>
      </x:c>
      <x:c r="D582" t="str">
        <x:v>01:24:00</x:v>
      </x:c>
      <x:c r="E582" t="str">
        <x:v>Bank Transfer</x:v>
      </x:c>
      <x:c r="F582" t="str">
        <x:v>Electronics</x:v>
      </x:c>
      <x:c r="G582" s="18" t="n">
        <x:v>230.9</x:v>
      </x:c>
      <x:c r="H582" t="n">
        <x:v>1</x:v>
      </x:c>
      <x:c r="I582" t="n">
        <x:v>0</x:v>
      </x:c>
      <x:c r="J582" t="n">
        <x:v>0</x:v>
      </x:c>
      <x:c r="K582" t="n">
        <x:v>1</x:v>
      </x:c>
      <x:c r="L582" t="n">
        <x:v>51</x:v>
      </x:c>
      <x:c r="M582" t="n">
        <x:v>0</x:v>
      </x:c>
      <x:c r="N582" t="str">
        <x:v>Approved</x:v>
      </x:c>
      <x:c r="O582" t="n">
        <x:v>0</x:v>
      </x:c>
      <x:c r="P582" t="str">
        <x:f>IF(L582&gt;=75,"High",IF(L582&gt;=55,"Medium","Low"))</x:f>
        <x:v>Low</x:v>
      </x:c>
    </x:row>
    <x:row r="583">
      <x:c r="A583" t="n">
        <x:v>582</x:v>
      </x:c>
      <x:c r="B583" t="n">
        <x:v>10153</x:v>
      </x:c>
      <x:c r="C583" s="16" t="n">
        <x:v>46226</x:v>
      </x:c>
      <x:c r="D583" t="str">
        <x:v>15:35:00</x:v>
      </x:c>
      <x:c r="E583" t="str">
        <x:v>P2P</x:v>
      </x:c>
      <x:c r="F583" t="str">
        <x:v>Electronics</x:v>
      </x:c>
      <x:c r="G583" s="18" t="n">
        <x:v>42.17</x:v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n">
        <x:v>10</x:v>
      </x:c>
      <x:c r="M583" t="n">
        <x:v>0</x:v>
      </x:c>
      <x:c r="N583" t="str">
        <x:v>Approved</x:v>
      </x:c>
      <x:c r="O583" t="n">
        <x:v>0</x:v>
      </x:c>
      <x:c r="P583" t="str">
        <x:f>IF(L583&gt;=75,"High",IF(L583&gt;=55,"Medium","Low"))</x:f>
        <x:v>Low</x:v>
      </x:c>
    </x:row>
    <x:row r="584">
      <x:c r="A584" t="n">
        <x:v>583</x:v>
      </x:c>
      <x:c r="B584" t="n">
        <x:v>10180</x:v>
      </x:c>
      <x:c r="C584" s="16" t="n">
        <x:v>46274</x:v>
      </x:c>
      <x:c r="D584" t="str">
        <x:v>08:26:00</x:v>
      </x:c>
      <x:c r="E584" t="str">
        <x:v>Card</x:v>
      </x:c>
      <x:c r="F584" t="str">
        <x:v>Retail</x:v>
      </x:c>
      <x:c r="G584" s="18" t="n">
        <x:v>25.65</x:v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n">
        <x:v>10</x:v>
      </x:c>
      <x:c r="M584" t="n">
        <x:v>0</x:v>
      </x:c>
      <x:c r="N584" t="str">
        <x:v>Approved</x:v>
      </x:c>
      <x:c r="O584" t="n">
        <x:v>0</x:v>
      </x:c>
      <x:c r="P584" t="str">
        <x:f>IF(L584&gt;=75,"High",IF(L584&gt;=55,"Medium","Low"))</x:f>
        <x:v>Low</x:v>
      </x:c>
    </x:row>
    <x:row r="585">
      <x:c r="A585" t="n">
        <x:v>584</x:v>
      </x:c>
      <x:c r="B585" t="n">
        <x:v>10242</x:v>
      </x:c>
      <x:c r="C585" s="16" t="n">
        <x:v>46165</x:v>
      </x:c>
      <x:c r="D585" t="str">
        <x:v>11:35:00</x:v>
      </x:c>
      <x:c r="E585" t="str">
        <x:v>Card</x:v>
      </x:c>
      <x:c r="F585" t="str">
        <x:v>Electronics</x:v>
      </x:c>
      <x:c r="G585" s="18" t="n">
        <x:v>57.08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10</x:v>
      </x:c>
      <x:c r="M585" t="n">
        <x:v>0</x:v>
      </x:c>
      <x:c r="N585" t="str">
        <x:v>Approved</x:v>
      </x:c>
      <x:c r="O585" t="n">
        <x:v>0</x:v>
      </x:c>
      <x:c r="P585" t="str">
        <x:f>IF(L585&gt;=75,"High",IF(L585&gt;=55,"Medium","Low"))</x:f>
        <x:v>Low</x:v>
      </x:c>
    </x:row>
    <x:row r="586">
      <x:c r="A586" t="n">
        <x:v>585</x:v>
      </x:c>
      <x:c r="B586" t="n">
        <x:v>10349</x:v>
      </x:c>
      <x:c r="C586" s="16" t="n">
        <x:v>46131</x:v>
      </x:c>
      <x:c r="D586" t="str">
        <x:v>02:21:00</x:v>
      </x:c>
      <x:c r="E586" t="str">
        <x:v>Card</x:v>
      </x:c>
      <x:c r="F586" t="str">
        <x:v>Retail</x:v>
      </x:c>
      <x:c r="G586" s="18" t="n">
        <x:v>85.29</x:v>
      </x:c>
      <x:c r="H586" t="n">
        <x:v>0</x:v>
      </x:c>
      <x:c r="I586" t="n">
        <x:v>0</x:v>
      </x:c>
      <x:c r="J586" t="n">
        <x:v>0</x:v>
      </x:c>
      <x:c r="K586" t="n">
        <x:v>1</x:v>
      </x:c>
      <x:c r="L586" t="n">
        <x:v>25</x:v>
      </x:c>
      <x:c r="M586" t="n">
        <x:v>0</x:v>
      </x:c>
      <x:c r="N586" t="str">
        <x:v>Approved</x:v>
      </x:c>
      <x:c r="O586" t="n">
        <x:v>0</x:v>
      </x:c>
      <x:c r="P586" t="str">
        <x:f>IF(L586&gt;=75,"High",IF(L586&gt;=55,"Medium","Low"))</x:f>
        <x:v>Low</x:v>
      </x:c>
    </x:row>
    <x:row r="587">
      <x:c r="A587" t="n">
        <x:v>586</x:v>
      </x:c>
      <x:c r="B587" t="n">
        <x:v>10046</x:v>
      </x:c>
      <x:c r="C587" s="16" t="n">
        <x:v>46254</x:v>
      </x:c>
      <x:c r="D587" t="str">
        <x:v>17:35:00</x:v>
      </x:c>
      <x:c r="E587" t="str">
        <x:v>Bank Transfer</x:v>
      </x:c>
      <x:c r="F587" t="str">
        <x:v>Retail</x:v>
      </x:c>
      <x:c r="G587" s="18" t="n">
        <x:v>412.72</x:v>
      </x:c>
      <x:c r="H587" t="n">
        <x:v>1</x:v>
      </x:c>
      <x:c r="I587" t="n">
        <x:v>0</x:v>
      </x:c>
      <x:c r="J587" t="n">
        <x:v>0</x:v>
      </x:c>
      <x:c r="K587" t="n">
        <x:v>0</x:v>
      </x:c>
      <x:c r="L587" t="n">
        <x:v>36</x:v>
      </x:c>
      <x:c r="M587" t="n">
        <x:v>0</x:v>
      </x:c>
      <x:c r="N587" t="str">
        <x:v>Approved</x:v>
      </x:c>
      <x:c r="O587" t="n">
        <x:v>0</x:v>
      </x:c>
      <x:c r="P587" t="str">
        <x:f>IF(L587&gt;=75,"High",IF(L587&gt;=55,"Medium","Low"))</x:f>
        <x:v>Low</x:v>
      </x:c>
    </x:row>
    <x:row r="588">
      <x:c r="A588" t="n">
        <x:v>587</x:v>
      </x:c>
      <x:c r="B588" t="n">
        <x:v>10076</x:v>
      </x:c>
      <x:c r="C588" s="16" t="n">
        <x:v>46236</x:v>
      </x:c>
      <x:c r="D588" t="str">
        <x:v>19:20:00</x:v>
      </x:c>
      <x:c r="E588" t="str">
        <x:v>Bank Transfer</x:v>
      </x:c>
      <x:c r="F588" t="str">
        <x:v>Subscriptions</x:v>
      </x:c>
      <x:c r="G588" s="18" t="n">
        <x:v>40.38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10</x:v>
      </x:c>
      <x:c r="M588" t="n">
        <x:v>0</x:v>
      </x:c>
      <x:c r="N588" t="str">
        <x:v>Approved</x:v>
      </x:c>
      <x:c r="O588" t="n">
        <x:v>0</x:v>
      </x:c>
      <x:c r="P588" t="str">
        <x:f>IF(L588&gt;=75,"High",IF(L588&gt;=55,"Medium","Low"))</x:f>
        <x:v>Low</x:v>
      </x:c>
    </x:row>
    <x:row r="589">
      <x:c r="A589" t="n">
        <x:v>588</x:v>
      </x:c>
      <x:c r="B589" t="n">
        <x:v>10218</x:v>
      </x:c>
      <x:c r="C589" s="16" t="n">
        <x:v>46283</x:v>
      </x:c>
      <x:c r="D589" t="str">
        <x:v>02:40:00</x:v>
      </x:c>
      <x:c r="E589" t="str">
        <x:v>Card</x:v>
      </x:c>
      <x:c r="F589" t="str">
        <x:v>Electronics</x:v>
      </x:c>
      <x:c r="G589" s="18" t="n">
        <x:v>58.66</x:v>
      </x:c>
      <x:c r="H589" t="n">
        <x:v>0</x:v>
      </x:c>
      <x:c r="I589" t="n">
        <x:v>0</x:v>
      </x:c>
      <x:c r="J589" t="n">
        <x:v>0</x:v>
      </x:c>
      <x:c r="K589" t="n">
        <x:v>1</x:v>
      </x:c>
      <x:c r="L589" t="n">
        <x:v>25</x:v>
      </x:c>
      <x:c r="M589" t="n">
        <x:v>0</x:v>
      </x:c>
      <x:c r="N589" t="str">
        <x:v>Approved</x:v>
      </x:c>
      <x:c r="O589" t="n">
        <x:v>0</x:v>
      </x:c>
      <x:c r="P589" t="str">
        <x:f>IF(L589&gt;=75,"High",IF(L589&gt;=55,"Medium","Low"))</x:f>
        <x:v>Low</x:v>
      </x:c>
    </x:row>
    <x:row r="590">
      <x:c r="A590" t="n">
        <x:v>589</x:v>
      </x:c>
      <x:c r="B590" t="n">
        <x:v>10125</x:v>
      </x:c>
      <x:c r="C590" s="16" t="n">
        <x:v>46135</x:v>
      </x:c>
      <x:c r="D590" t="str">
        <x:v>03:12:00</x:v>
      </x:c>
      <x:c r="E590" t="str">
        <x:v>Bank Transfer</x:v>
      </x:c>
      <x:c r="F590" t="str">
        <x:v>Travel</x:v>
      </x:c>
      <x:c r="G590" s="18" t="n">
        <x:v>463.71</x:v>
      </x:c>
      <x:c r="H590" t="n">
        <x:v>1</x:v>
      </x:c>
      <x:c r="I590" t="n">
        <x:v>0</x:v>
      </x:c>
      <x:c r="J590" t="n">
        <x:v>0</x:v>
      </x:c>
      <x:c r="K590" t="n">
        <x:v>1</x:v>
      </x:c>
      <x:c r="L590" t="n">
        <x:v>51</x:v>
      </x:c>
      <x:c r="M590" t="n">
        <x:v>0</x:v>
      </x:c>
      <x:c r="N590" t="str">
        <x:v>Approved</x:v>
      </x:c>
      <x:c r="O590" t="n">
        <x:v>0</x:v>
      </x:c>
      <x:c r="P590" t="str">
        <x:f>IF(L590&gt;=75,"High",IF(L590&gt;=55,"Medium","Low"))</x:f>
        <x:v>Low</x:v>
      </x:c>
    </x:row>
    <x:row r="591">
      <x:c r="A591" t="n">
        <x:v>590</x:v>
      </x:c>
      <x:c r="B591" t="n">
        <x:v>10317</x:v>
      </x:c>
      <x:c r="C591" s="16" t="n">
        <x:v>46277</x:v>
      </x:c>
      <x:c r="D591" t="str">
        <x:v>17:52:00</x:v>
      </x:c>
      <x:c r="E591" t="str">
        <x:v>Card</x:v>
      </x:c>
      <x:c r="F591" t="str">
        <x:v>Electronics</x:v>
      </x:c>
      <x:c r="G591" s="18" t="n">
        <x:v>52.54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10</x:v>
      </x:c>
      <x:c r="M591" t="n">
        <x:v>0</x:v>
      </x:c>
      <x:c r="N591" t="str">
        <x:v>Approved</x:v>
      </x:c>
      <x:c r="O591" t="n">
        <x:v>0</x:v>
      </x:c>
      <x:c r="P591" t="str">
        <x:f>IF(L591&gt;=75,"High",IF(L591&gt;=55,"Medium","Low"))</x:f>
        <x:v>Low</x:v>
      </x:c>
    </x:row>
    <x:row r="592">
      <x:c r="A592" t="n">
        <x:v>591</x:v>
      </x:c>
      <x:c r="B592" t="n">
        <x:v>10138</x:v>
      </x:c>
      <x:c r="C592" s="16" t="n">
        <x:v>46288</x:v>
      </x:c>
      <x:c r="D592" t="str">
        <x:v>20:23:00</x:v>
      </x:c>
      <x:c r="E592" t="str">
        <x:v>Card</x:v>
      </x:c>
      <x:c r="F592" t="str">
        <x:v>Electronics</x:v>
      </x:c>
      <x:c r="G592" s="18" t="n">
        <x:v>229.95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10</x:v>
      </x:c>
      <x:c r="M592" t="n">
        <x:v>0</x:v>
      </x:c>
      <x:c r="N592" t="str">
        <x:v>Approved</x:v>
      </x:c>
      <x:c r="O592" t="n">
        <x:v>0</x:v>
      </x:c>
      <x:c r="P592" t="str">
        <x:f>IF(L592&gt;=75,"High",IF(L592&gt;=55,"Medium","Low"))</x:f>
        <x:v>Low</x:v>
      </x:c>
    </x:row>
    <x:row r="593">
      <x:c r="A593" t="n">
        <x:v>592</x:v>
      </x:c>
      <x:c r="B593" t="n">
        <x:v>10263</x:v>
      </x:c>
      <x:c r="C593" s="16" t="n">
        <x:v>46219</x:v>
      </x:c>
      <x:c r="D593" t="str">
        <x:v>21:11:00</x:v>
      </x:c>
      <x:c r="E593" t="str">
        <x:v>Bank Transfer</x:v>
      </x:c>
      <x:c r="F593" t="str">
        <x:v>Utilities</x:v>
      </x:c>
      <x:c r="G593" s="18" t="n">
        <x:v>7.25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10</x:v>
      </x:c>
      <x:c r="M593" t="n">
        <x:v>0</x:v>
      </x:c>
      <x:c r="N593" t="str">
        <x:v>Approved</x:v>
      </x:c>
      <x:c r="O593" t="n">
        <x:v>0</x:v>
      </x:c>
      <x:c r="P593" t="str">
        <x:f>IF(L593&gt;=75,"High",IF(L593&gt;=55,"Medium","Low"))</x:f>
        <x:v>Low</x:v>
      </x:c>
    </x:row>
    <x:row r="594">
      <x:c r="A594" t="n">
        <x:v>593</x:v>
      </x:c>
      <x:c r="B594" t="n">
        <x:v>10023</x:v>
      </x:c>
      <x:c r="C594" s="16" t="n">
        <x:v>46216</x:v>
      </x:c>
      <x:c r="D594" t="str">
        <x:v>20:44:00</x:v>
      </x:c>
      <x:c r="E594" t="str">
        <x:v>Card</x:v>
      </x:c>
      <x:c r="F594" t="str">
        <x:v>Electronics</x:v>
      </x:c>
      <x:c r="G594" s="18" t="n">
        <x:v>29.78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10</x:v>
      </x:c>
      <x:c r="M594" t="n">
        <x:v>0</x:v>
      </x:c>
      <x:c r="N594" t="str">
        <x:v>Approved</x:v>
      </x:c>
      <x:c r="O594" t="n">
        <x:v>0</x:v>
      </x:c>
      <x:c r="P594" t="str">
        <x:f>IF(L594&gt;=75,"High",IF(L594&gt;=55,"Medium","Low"))</x:f>
        <x:v>Low</x:v>
      </x:c>
    </x:row>
    <x:row r="595">
      <x:c r="A595" t="n">
        <x:v>594</x:v>
      </x:c>
      <x:c r="B595" t="n">
        <x:v>10092</x:v>
      </x:c>
      <x:c r="C595" s="16" t="n">
        <x:v>46273</x:v>
      </x:c>
      <x:c r="D595" t="str">
        <x:v>06:57:00</x:v>
      </x:c>
      <x:c r="E595" t="str">
        <x:v>Card</x:v>
      </x:c>
      <x:c r="F595" t="str">
        <x:v>Utilities</x:v>
      </x:c>
      <x:c r="G595" s="18" t="n">
        <x:v>55.47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10</x:v>
      </x:c>
      <x:c r="M595" t="n">
        <x:v>0</x:v>
      </x:c>
      <x:c r="N595" t="str">
        <x:v>Approved</x:v>
      </x:c>
      <x:c r="O595" t="n">
        <x:v>0</x:v>
      </x:c>
      <x:c r="P595" t="str">
        <x:f>IF(L595&gt;=75,"High",IF(L595&gt;=55,"Medium","Low"))</x:f>
        <x:v>Low</x:v>
      </x:c>
    </x:row>
    <x:row r="596">
      <x:c r="A596" t="n">
        <x:v>595</x:v>
      </x:c>
      <x:c r="B596" t="n">
        <x:v>10218</x:v>
      </x:c>
      <x:c r="C596" s="16" t="n">
        <x:v>46127</x:v>
      </x:c>
      <x:c r="D596" t="str">
        <x:v>12:17:00</x:v>
      </x:c>
      <x:c r="E596" t="str">
        <x:v>Card</x:v>
      </x:c>
      <x:c r="F596" t="str">
        <x:v>Retail</x:v>
      </x:c>
      <x:c r="G596" s="18" t="n">
        <x:v>44.5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10</x:v>
      </x:c>
      <x:c r="M596" t="n">
        <x:v>0</x:v>
      </x:c>
      <x:c r="N596" t="str">
        <x:v>Approved</x:v>
      </x:c>
      <x:c r="O596" t="n">
        <x:v>0</x:v>
      </x:c>
      <x:c r="P596" t="str">
        <x:f>IF(L596&gt;=75,"High",IF(L596&gt;=55,"Medium","Low"))</x:f>
        <x:v>Low</x:v>
      </x:c>
    </x:row>
    <x:row r="597">
      <x:c r="A597" t="n">
        <x:v>596</x:v>
      </x:c>
      <x:c r="B597" t="n">
        <x:v>10332</x:v>
      </x:c>
      <x:c r="C597" s="16" t="n">
        <x:v>46215</x:v>
      </x:c>
      <x:c r="D597" t="str">
        <x:v>17:38:00</x:v>
      </x:c>
      <x:c r="E597" t="str">
        <x:v>P2P</x:v>
      </x:c>
      <x:c r="F597" t="str">
        <x:v>Utilities</x:v>
      </x:c>
      <x:c r="G597" s="18" t="n">
        <x:v>156.09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10</x:v>
      </x:c>
      <x:c r="M597" t="n">
        <x:v>0</x:v>
      </x:c>
      <x:c r="N597" t="str">
        <x:v>Approved</x:v>
      </x:c>
      <x:c r="O597" t="n">
        <x:v>0</x:v>
      </x:c>
      <x:c r="P597" t="str">
        <x:f>IF(L597&gt;=75,"High",IF(L597&gt;=55,"Medium","Low"))</x:f>
        <x:v>Low</x:v>
      </x:c>
    </x:row>
    <x:row r="598">
      <x:c r="A598" t="n">
        <x:v>597</x:v>
      </x:c>
      <x:c r="B598" t="n">
        <x:v>10225</x:v>
      </x:c>
      <x:c r="C598" s="16" t="n">
        <x:v>46211</x:v>
      </x:c>
      <x:c r="D598" t="str">
        <x:v>20:16:00</x:v>
      </x:c>
      <x:c r="E598" t="str">
        <x:v>Card</x:v>
      </x:c>
      <x:c r="F598" t="str">
        <x:v>Transfer</x:v>
      </x:c>
      <x:c r="G598" s="18" t="n">
        <x:v>179.54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10</x:v>
      </x:c>
      <x:c r="M598" t="n">
        <x:v>0</x:v>
      </x:c>
      <x:c r="N598" t="str">
        <x:v>Approved</x:v>
      </x:c>
      <x:c r="O598" t="n">
        <x:v>0</x:v>
      </x:c>
      <x:c r="P598" t="str">
        <x:f>IF(L598&gt;=75,"High",IF(L598&gt;=55,"Medium","Low"))</x:f>
        <x:v>Low</x:v>
      </x:c>
    </x:row>
    <x:row r="599">
      <x:c r="A599" t="n">
        <x:v>598</x:v>
      </x:c>
      <x:c r="B599" t="n">
        <x:v>10232</x:v>
      </x:c>
      <x:c r="C599" s="16" t="n">
        <x:v>46131</x:v>
      </x:c>
      <x:c r="D599" t="str">
        <x:v>17:00:00</x:v>
      </x:c>
      <x:c r="E599" t="str">
        <x:v>Card</x:v>
      </x:c>
      <x:c r="F599" t="str">
        <x:v>Subscriptions</x:v>
      </x:c>
      <x:c r="G599" s="18" t="n">
        <x:v>72.59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10</x:v>
      </x:c>
      <x:c r="M599" t="n">
        <x:v>0</x:v>
      </x:c>
      <x:c r="N599" t="str">
        <x:v>Approved</x:v>
      </x:c>
      <x:c r="O599" t="n">
        <x:v>0</x:v>
      </x:c>
      <x:c r="P599" t="str">
        <x:f>IF(L599&gt;=75,"High",IF(L599&gt;=55,"Medium","Low"))</x:f>
        <x:v>Low</x:v>
      </x:c>
    </x:row>
    <x:row r="600">
      <x:c r="A600" t="n">
        <x:v>599</x:v>
      </x:c>
      <x:c r="B600" t="n">
        <x:v>10340</x:v>
      </x:c>
      <x:c r="C600" s="16" t="n">
        <x:v>46200</x:v>
      </x:c>
      <x:c r="D600" t="str">
        <x:v>10:36:00</x:v>
      </x:c>
      <x:c r="E600" t="str">
        <x:v>Card</x:v>
      </x:c>
      <x:c r="F600" t="str">
        <x:v>Travel</x:v>
      </x:c>
      <x:c r="G600" s="18" t="n">
        <x:v>496.94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10</x:v>
      </x:c>
      <x:c r="M600" t="n">
        <x:v>0</x:v>
      </x:c>
      <x:c r="N600" t="str">
        <x:v>Approved</x:v>
      </x:c>
      <x:c r="O600" t="n">
        <x:v>0</x:v>
      </x:c>
      <x:c r="P600" t="str">
        <x:f>IF(L600&gt;=75,"High",IF(L600&gt;=55,"Medium","Low"))</x:f>
        <x:v>Low</x:v>
      </x:c>
    </x:row>
    <x:row r="601">
      <x:c r="A601" t="n">
        <x:v>600</x:v>
      </x:c>
      <x:c r="B601" t="n">
        <x:v>10071</x:v>
      </x:c>
      <x:c r="C601" s="16" t="n">
        <x:v>46177</x:v>
      </x:c>
      <x:c r="D601" t="str">
        <x:v>03:29:00</x:v>
      </x:c>
      <x:c r="E601" t="str">
        <x:v>Bank Transfer</x:v>
      </x:c>
      <x:c r="F601" t="str">
        <x:v>Dining</x:v>
      </x:c>
      <x:c r="G601" s="18" t="n">
        <x:v>72.89</x:v>
      </x:c>
      <x:c r="H601" t="n">
        <x:v>0</x:v>
      </x:c>
      <x:c r="I601" t="n">
        <x:v>0</x:v>
      </x:c>
      <x:c r="J601" t="n">
        <x:v>0</x:v>
      </x:c>
      <x:c r="K601" t="n">
        <x:v>1</x:v>
      </x:c>
      <x:c r="L601" t="n">
        <x:v>25</x:v>
      </x:c>
      <x:c r="M601" t="n">
        <x:v>0</x:v>
      </x:c>
      <x:c r="N601" t="str">
        <x:v>Approved</x:v>
      </x:c>
      <x:c r="O601" t="n">
        <x:v>0</x:v>
      </x:c>
      <x:c r="P601" t="str">
        <x:f>IF(L601&gt;=75,"High",IF(L601&gt;=55,"Medium","Low"))</x:f>
        <x:v>Low</x:v>
      </x:c>
    </x:row>
    <x:row r="602">
      <x:c r="A602" t="n">
        <x:v>601</x:v>
      </x:c>
      <x:c r="B602" t="n">
        <x:v>10184</x:v>
      </x:c>
      <x:c r="C602" s="16" t="n">
        <x:v>46207</x:v>
      </x:c>
      <x:c r="D602" t="str">
        <x:v>11:35:00</x:v>
      </x:c>
      <x:c r="E602" t="str">
        <x:v>P2P</x:v>
      </x:c>
      <x:c r="F602" t="str">
        <x:v>Dining</x:v>
      </x:c>
      <x:c r="G602" s="18" t="n">
        <x:v>240.91</x:v>
      </x:c>
      <x:c r="H602" t="n">
        <x:v>1</x:v>
      </x:c>
      <x:c r="I602" t="n">
        <x:v>0</x:v>
      </x:c>
      <x:c r="J602" t="n">
        <x:v>0</x:v>
      </x:c>
      <x:c r="K602" t="n">
        <x:v>0</x:v>
      </x:c>
      <x:c r="L602" t="n">
        <x:v>36</x:v>
      </x:c>
      <x:c r="M602" t="n">
        <x:v>0</x:v>
      </x:c>
      <x:c r="N602" t="str">
        <x:v>Approved</x:v>
      </x:c>
      <x:c r="O602" t="n">
        <x:v>0</x:v>
      </x:c>
      <x:c r="P602" t="str">
        <x:f>IF(L602&gt;=75,"High",IF(L602&gt;=55,"Medium","Low"))</x:f>
        <x:v>Low</x:v>
      </x:c>
    </x:row>
    <x:row r="603">
      <x:c r="A603" t="n">
        <x:v>602</x:v>
      </x:c>
      <x:c r="B603" t="n">
        <x:v>10319</x:v>
      </x:c>
      <x:c r="C603" s="16" t="n">
        <x:v>46132</x:v>
      </x:c>
      <x:c r="D603" t="str">
        <x:v>06:11:00</x:v>
      </x:c>
      <x:c r="E603" t="str">
        <x:v>Card</x:v>
      </x:c>
      <x:c r="F603" t="str">
        <x:v>Retail</x:v>
      </x:c>
      <x:c r="G603" s="18" t="n">
        <x:v>96.65</x:v>
      </x:c>
      <x:c r="H603" t="n">
        <x:v>1</x:v>
      </x:c>
      <x:c r="I603" t="n">
        <x:v>0</x:v>
      </x:c>
      <x:c r="J603" t="n">
        <x:v>0</x:v>
      </x:c>
      <x:c r="K603" t="n">
        <x:v>0</x:v>
      </x:c>
      <x:c r="L603" t="n">
        <x:v>36</x:v>
      </x:c>
      <x:c r="M603" t="n">
        <x:v>0</x:v>
      </x:c>
      <x:c r="N603" t="str">
        <x:v>Declined</x:v>
      </x:c>
      <x:c r="O603" t="n">
        <x:v>0</x:v>
      </x:c>
      <x:c r="P603" t="str">
        <x:f>IF(L603&gt;=75,"High",IF(L603&gt;=55,"Medium","Low"))</x:f>
        <x:v>Low</x:v>
      </x:c>
    </x:row>
    <x:row r="604">
      <x:c r="A604" t="n">
        <x:v>603</x:v>
      </x:c>
      <x:c r="B604" t="n">
        <x:v>10328</x:v>
      </x:c>
      <x:c r="C604" s="16" t="n">
        <x:v>46155</x:v>
      </x:c>
      <x:c r="D604" t="str">
        <x:v>19:44:00</x:v>
      </x:c>
      <x:c r="E604" t="str">
        <x:v>P2P</x:v>
      </x:c>
      <x:c r="F604" t="str">
        <x:v>Electronics</x:v>
      </x:c>
      <x:c r="G604" s="18" t="n">
        <x:v>48.67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10</x:v>
      </x:c>
      <x:c r="M604" t="n">
        <x:v>0</x:v>
      </x:c>
      <x:c r="N604" t="str">
        <x:v>Approved</x:v>
      </x:c>
      <x:c r="O604" t="n">
        <x:v>0</x:v>
      </x:c>
      <x:c r="P604" t="str">
        <x:f>IF(L604&gt;=75,"High",IF(L604&gt;=55,"Medium","Low"))</x:f>
        <x:v>Low</x:v>
      </x:c>
    </x:row>
    <x:row r="605">
      <x:c r="A605" t="n">
        <x:v>604</x:v>
      </x:c>
      <x:c r="B605" t="n">
        <x:v>10094</x:v>
      </x:c>
      <x:c r="C605" s="16" t="n">
        <x:v>46295</x:v>
      </x:c>
      <x:c r="D605" t="str">
        <x:v>02:31:00</x:v>
      </x:c>
      <x:c r="E605" t="str">
        <x:v>Card</x:v>
      </x:c>
      <x:c r="F605" t="str">
        <x:v>Utilities</x:v>
      </x:c>
      <x:c r="G605" s="18" t="n">
        <x:v>56.71</x:v>
      </x:c>
      <x:c r="H605" t="n">
        <x:v>1</x:v>
      </x:c>
      <x:c r="I605" t="n">
        <x:v>0</x:v>
      </x:c>
      <x:c r="J605" t="n">
        <x:v>0</x:v>
      </x:c>
      <x:c r="K605" t="n">
        <x:v>1</x:v>
      </x:c>
      <x:c r="L605" t="n">
        <x:v>51</x:v>
      </x:c>
      <x:c r="M605" t="n">
        <x:v>0</x:v>
      </x:c>
      <x:c r="N605" t="str">
        <x:v>Declined</x:v>
      </x:c>
      <x:c r="O605" t="n">
        <x:v>0</x:v>
      </x:c>
      <x:c r="P605" t="str">
        <x:f>IF(L605&gt;=75,"High",IF(L605&gt;=55,"Medium","Low"))</x:f>
        <x:v>Low</x:v>
      </x:c>
    </x:row>
    <x:row r="606">
      <x:c r="A606" t="n">
        <x:v>605</x:v>
      </x:c>
      <x:c r="B606" t="n">
        <x:v>10191</x:v>
      </x:c>
      <x:c r="C606" s="16" t="n">
        <x:v>46280</x:v>
      </x:c>
      <x:c r="D606" t="str">
        <x:v>05:10:00</x:v>
      </x:c>
      <x:c r="E606" t="str">
        <x:v>P2P</x:v>
      </x:c>
      <x:c r="F606" t="str">
        <x:v>Travel</x:v>
      </x:c>
      <x:c r="G606" s="18" t="n">
        <x:v>24.4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10</x:v>
      </x:c>
      <x:c r="M606" t="n">
        <x:v>0</x:v>
      </x:c>
      <x:c r="N606" t="str">
        <x:v>Approved</x:v>
      </x:c>
      <x:c r="O606" t="n">
        <x:v>0</x:v>
      </x:c>
      <x:c r="P606" t="str">
        <x:f>IF(L606&gt;=75,"High",IF(L606&gt;=55,"Medium","Low"))</x:f>
        <x:v>Low</x:v>
      </x:c>
    </x:row>
    <x:row r="607">
      <x:c r="A607" t="n">
        <x:v>606</x:v>
      </x:c>
      <x:c r="B607" t="n">
        <x:v>10316</x:v>
      </x:c>
      <x:c r="C607" s="16" t="n">
        <x:v>46145</x:v>
      </x:c>
      <x:c r="D607" t="str">
        <x:v>22:23:00</x:v>
      </x:c>
      <x:c r="E607" t="str">
        <x:v>Bank Transfer</x:v>
      </x:c>
      <x:c r="F607" t="str">
        <x:v>Subscriptions</x:v>
      </x:c>
      <x:c r="G607" s="18" t="n">
        <x:v>11.76</x:v>
      </x:c>
      <x:c r="H607" t="n">
        <x:v>1</x:v>
      </x:c>
      <x:c r="I607" t="n">
        <x:v>0</x:v>
      </x:c>
      <x:c r="J607" t="n">
        <x:v>0</x:v>
      </x:c>
      <x:c r="K607" t="n">
        <x:v>0</x:v>
      </x:c>
      <x:c r="L607" t="n">
        <x:v>36</x:v>
      </x:c>
      <x:c r="M607" t="n">
        <x:v>0</x:v>
      </x:c>
      <x:c r="N607" t="str">
        <x:v>Approved</x:v>
      </x:c>
      <x:c r="O607" t="n">
        <x:v>0</x:v>
      </x:c>
      <x:c r="P607" t="str">
        <x:f>IF(L607&gt;=75,"High",IF(L607&gt;=55,"Medium","Low"))</x:f>
        <x:v>Low</x:v>
      </x:c>
    </x:row>
    <x:row r="608">
      <x:c r="A608" t="n">
        <x:v>607</x:v>
      </x:c>
      <x:c r="B608" t="n">
        <x:v>10309</x:v>
      </x:c>
      <x:c r="C608" s="16" t="n">
        <x:v>46253</x:v>
      </x:c>
      <x:c r="D608" t="str">
        <x:v>19:47:00</x:v>
      </x:c>
      <x:c r="E608" t="str">
        <x:v>Card</x:v>
      </x:c>
      <x:c r="F608" t="str">
        <x:v>Electronics</x:v>
      </x:c>
      <x:c r="G608" s="18" t="n">
        <x:v>474.49</x:v>
      </x:c>
      <x:c r="H608" t="n">
        <x:v>0</x:v>
      </x:c>
      <x:c r="I608" t="n">
        <x:v>0</x:v>
      </x:c>
      <x:c r="J608" t="n">
        <x:v>0</x:v>
      </x:c>
      <x:c r="K608" t="n">
        <x:v>0</x:v>
      </x:c>
      <x:c r="L608" t="n">
        <x:v>10</x:v>
      </x:c>
      <x:c r="M608" t="n">
        <x:v>0</x:v>
      </x:c>
      <x:c r="N608" t="str">
        <x:v>Approved</x:v>
      </x:c>
      <x:c r="O608" t="n">
        <x:v>0</x:v>
      </x:c>
      <x:c r="P608" t="str">
        <x:f>IF(L608&gt;=75,"High",IF(L608&gt;=55,"Medium","Low"))</x:f>
        <x:v>Low</x:v>
      </x:c>
    </x:row>
    <x:row r="609">
      <x:c r="A609" t="n">
        <x:v>608</x:v>
      </x:c>
      <x:c r="B609" t="n">
        <x:v>10357</x:v>
      </x:c>
      <x:c r="C609" s="16" t="n">
        <x:v>46145</x:v>
      </x:c>
      <x:c r="D609" t="str">
        <x:v>18:31:00</x:v>
      </x:c>
      <x:c r="E609" t="str">
        <x:v>P2P</x:v>
      </x:c>
      <x:c r="F609" t="str">
        <x:v>Electronics</x:v>
      </x:c>
      <x:c r="G609" s="18" t="n">
        <x:v>171.2</x:v>
      </x:c>
      <x:c r="H609" t="n">
        <x:v>1</x:v>
      </x:c>
      <x:c r="I609" t="n">
        <x:v>0</x:v>
      </x:c>
      <x:c r="J609" t="n">
        <x:v>0</x:v>
      </x:c>
      <x:c r="K609" t="n">
        <x:v>0</x:v>
      </x:c>
      <x:c r="L609" t="n">
        <x:v>36</x:v>
      </x:c>
      <x:c r="M609" t="n">
        <x:v>0</x:v>
      </x:c>
      <x:c r="N609" t="str">
        <x:v>Approved</x:v>
      </x:c>
      <x:c r="O609" t="n">
        <x:v>0</x:v>
      </x:c>
      <x:c r="P609" t="str">
        <x:f>IF(L609&gt;=75,"High",IF(L609&gt;=55,"Medium","Low"))</x:f>
        <x:v>Low</x:v>
      </x:c>
    </x:row>
    <x:row r="610">
      <x:c r="A610" t="n">
        <x:v>609</x:v>
      </x:c>
      <x:c r="B610" t="n">
        <x:v>10033</x:v>
      </x:c>
      <x:c r="C610" s="16" t="n">
        <x:v>46146</x:v>
      </x:c>
      <x:c r="D610" t="str">
        <x:v>07:53:00</x:v>
      </x:c>
      <x:c r="E610" t="str">
        <x:v>Card</x:v>
      </x:c>
      <x:c r="F610" t="str">
        <x:v>Travel</x:v>
      </x:c>
      <x:c r="G610" s="18" t="n">
        <x:v>205.74</x:v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n">
        <x:v>10</x:v>
      </x:c>
      <x:c r="M610" t="n">
        <x:v>0</x:v>
      </x:c>
      <x:c r="N610" t="str">
        <x:v>Approved</x:v>
      </x:c>
      <x:c r="O610" t="n">
        <x:v>0</x:v>
      </x:c>
      <x:c r="P610" t="str">
        <x:f>IF(L610&gt;=75,"High",IF(L610&gt;=55,"Medium","Low"))</x:f>
        <x:v>Low</x:v>
      </x:c>
    </x:row>
    <x:row r="611">
      <x:c r="A611" t="n">
        <x:v>610</x:v>
      </x:c>
      <x:c r="B611" t="n">
        <x:v>10115</x:v>
      </x:c>
      <x:c r="C611" s="16" t="n">
        <x:v>46222</x:v>
      </x:c>
      <x:c r="D611" t="str">
        <x:v>04:37:00</x:v>
      </x:c>
      <x:c r="E611" t="str">
        <x:v>Card</x:v>
      </x:c>
      <x:c r="F611" t="str">
        <x:v>Retail</x:v>
      </x:c>
      <x:c r="G611" s="18" t="n">
        <x:v>53.63</x:v>
      </x:c>
      <x:c r="H611" t="n">
        <x:v>0</x:v>
      </x:c>
      <x:c r="I611" t="n">
        <x:v>0</x:v>
      </x:c>
      <x:c r="J611" t="n">
        <x:v>0</x:v>
      </x:c>
      <x:c r="K611" t="n">
        <x:v>1</x:v>
      </x:c>
      <x:c r="L611" t="n">
        <x:v>25</x:v>
      </x:c>
      <x:c r="M611" t="n">
        <x:v>0</x:v>
      </x:c>
      <x:c r="N611" t="str">
        <x:v>Declined</x:v>
      </x:c>
      <x:c r="O611" t="n">
        <x:v>0</x:v>
      </x:c>
      <x:c r="P611" t="str">
        <x:f>IF(L611&gt;=75,"High",IF(L611&gt;=55,"Medium","Low"))</x:f>
        <x:v>Low</x:v>
      </x:c>
    </x:row>
    <x:row r="612">
      <x:c r="A612" t="n">
        <x:v>611</x:v>
      </x:c>
      <x:c r="B612" t="n">
        <x:v>10323</x:v>
      </x:c>
      <x:c r="C612" s="16" t="n">
        <x:v>46240</x:v>
      </x:c>
      <x:c r="D612" t="str">
        <x:v>15:51:00</x:v>
      </x:c>
      <x:c r="E612" t="str">
        <x:v>Card</x:v>
      </x:c>
      <x:c r="F612" t="str">
        <x:v>Dining</x:v>
      </x:c>
      <x:c r="G612" s="18" t="n">
        <x:v>96.02</x:v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n">
        <x:v>10</x:v>
      </x:c>
      <x:c r="M612" t="n">
        <x:v>0</x:v>
      </x:c>
      <x:c r="N612" t="str">
        <x:v>Approved</x:v>
      </x:c>
      <x:c r="O612" t="n">
        <x:v>0</x:v>
      </x:c>
      <x:c r="P612" t="str">
        <x:f>IF(L612&gt;=75,"High",IF(L612&gt;=55,"Medium","Low"))</x:f>
        <x:v>Low</x:v>
      </x:c>
    </x:row>
    <x:row r="613">
      <x:c r="A613" t="n">
        <x:v>612</x:v>
      </x:c>
      <x:c r="B613" t="n">
        <x:v>10200</x:v>
      </x:c>
      <x:c r="C613" s="16" t="n">
        <x:v>46128</x:v>
      </x:c>
      <x:c r="D613" t="str">
        <x:v>05:12:00</x:v>
      </x:c>
      <x:c r="E613" t="str">
        <x:v>Card</x:v>
      </x:c>
      <x:c r="F613" t="str">
        <x:v>Dining</x:v>
      </x:c>
      <x:c r="G613" s="18" t="n">
        <x:v>101.76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10</x:v>
      </x:c>
      <x:c r="M613" t="n">
        <x:v>0</x:v>
      </x:c>
      <x:c r="N613" t="str">
        <x:v>Approved</x:v>
      </x:c>
      <x:c r="O613" t="n">
        <x:v>0</x:v>
      </x:c>
      <x:c r="P613" t="str">
        <x:f>IF(L613&gt;=75,"High",IF(L613&gt;=55,"Medium","Low"))</x:f>
        <x:v>Low</x:v>
      </x:c>
    </x:row>
    <x:row r="614">
      <x:c r="A614" t="n">
        <x:v>613</x:v>
      </x:c>
      <x:c r="B614" t="n">
        <x:v>10348</x:v>
      </x:c>
      <x:c r="C614" s="16" t="n">
        <x:v>46281</x:v>
      </x:c>
      <x:c r="D614" t="str">
        <x:v>16:43:00</x:v>
      </x:c>
      <x:c r="E614" t="str">
        <x:v>P2P</x:v>
      </x:c>
      <x:c r="F614" t="str">
        <x:v>Travel</x:v>
      </x:c>
      <x:c r="G614" s="18" t="n">
        <x:v>103.19</x:v>
      </x:c>
      <x:c r="H614" t="n">
        <x:v>1</x:v>
      </x:c>
      <x:c r="I614" t="n">
        <x:v>1</x:v>
      </x:c>
      <x:c r="J614" t="n">
        <x:v>0</x:v>
      </x:c>
      <x:c r="K614" t="n">
        <x:v>0</x:v>
      </x:c>
      <x:c r="L614" t="n">
        <x:v>56</x:v>
      </x:c>
      <x:c r="M614" t="n">
        <x:v>1</x:v>
      </x:c>
      <x:c r="N614" t="str">
        <x:v>Declined</x:v>
      </x:c>
      <x:c r="O614" t="n">
        <x:v>0</x:v>
      </x:c>
      <x:c r="P614" t="str">
        <x:f>IF(L614&gt;=75,"High",IF(L614&gt;=55,"Medium","Low"))</x:f>
        <x:v>Medium</x:v>
      </x:c>
    </x:row>
    <x:row r="615">
      <x:c r="A615" t="n">
        <x:v>614</x:v>
      </x:c>
      <x:c r="B615" t="n">
        <x:v>10343</x:v>
      </x:c>
      <x:c r="C615" s="16" t="n">
        <x:v>46128</x:v>
      </x:c>
      <x:c r="D615" t="str">
        <x:v>20:33:00</x:v>
      </x:c>
      <x:c r="E615" t="str">
        <x:v>Card</x:v>
      </x:c>
      <x:c r="F615" t="str">
        <x:v>Transfer</x:v>
      </x:c>
      <x:c r="G615" s="18" t="n">
        <x:v>34.45</x:v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n">
        <x:v>10</x:v>
      </x:c>
      <x:c r="M615" t="n">
        <x:v>0</x:v>
      </x:c>
      <x:c r="N615" t="str">
        <x:v>Approved</x:v>
      </x:c>
      <x:c r="O615" t="n">
        <x:v>0</x:v>
      </x:c>
      <x:c r="P615" t="str">
        <x:f>IF(L615&gt;=75,"High",IF(L615&gt;=55,"Medium","Low"))</x:f>
        <x:v>Low</x:v>
      </x:c>
    </x:row>
    <x:row r="616">
      <x:c r="A616" t="n">
        <x:v>615</x:v>
      </x:c>
      <x:c r="B616" t="n">
        <x:v>10119</x:v>
      </x:c>
      <x:c r="C616" s="16" t="n">
        <x:v>46192</x:v>
      </x:c>
      <x:c r="D616" t="str">
        <x:v>06:05:00</x:v>
      </x:c>
      <x:c r="E616" t="str">
        <x:v>Bank Transfer</x:v>
      </x:c>
      <x:c r="F616" t="str">
        <x:v>Travel</x:v>
      </x:c>
      <x:c r="G616" s="18" t="n">
        <x:v>130.23</x:v>
      </x:c>
      <x:c r="H616" t="n">
        <x:v>1</x:v>
      </x:c>
      <x:c r="I616" t="n">
        <x:v>0</x:v>
      </x:c>
      <x:c r="J616" t="n">
        <x:v>0</x:v>
      </x:c>
      <x:c r="K616" t="n">
        <x:v>0</x:v>
      </x:c>
      <x:c r="L616" t="n">
        <x:v>36</x:v>
      </x:c>
      <x:c r="M616" t="n">
        <x:v>0</x:v>
      </x:c>
      <x:c r="N616" t="str">
        <x:v>Declined</x:v>
      </x:c>
      <x:c r="O616" t="n">
        <x:v>0</x:v>
      </x:c>
      <x:c r="P616" t="str">
        <x:f>IF(L616&gt;=75,"High",IF(L616&gt;=55,"Medium","Low"))</x:f>
        <x:v>Low</x:v>
      </x:c>
    </x:row>
    <x:row r="617">
      <x:c r="A617" t="n">
        <x:v>616</x:v>
      </x:c>
      <x:c r="B617" t="n">
        <x:v>10289</x:v>
      </x:c>
      <x:c r="C617" s="16" t="n">
        <x:v>46173</x:v>
      </x:c>
      <x:c r="D617" t="str">
        <x:v>07:05:00</x:v>
      </x:c>
      <x:c r="E617" t="str">
        <x:v>Bank Transfer</x:v>
      </x:c>
      <x:c r="F617" t="str">
        <x:v>Subscriptions</x:v>
      </x:c>
      <x:c r="G617" s="18" t="n">
        <x:v>132.33</x:v>
      </x:c>
      <x:c r="H617" t="n">
        <x:v>1</x:v>
      </x:c>
      <x:c r="I617" t="n">
        <x:v>0</x:v>
      </x:c>
      <x:c r="J617" t="n">
        <x:v>0</x:v>
      </x:c>
      <x:c r="K617" t="n">
        <x:v>0</x:v>
      </x:c>
      <x:c r="L617" t="n">
        <x:v>36</x:v>
      </x:c>
      <x:c r="M617" t="n">
        <x:v>0</x:v>
      </x:c>
      <x:c r="N617" t="str">
        <x:v>Approved</x:v>
      </x:c>
      <x:c r="O617" t="n">
        <x:v>0</x:v>
      </x:c>
      <x:c r="P617" t="str">
        <x:f>IF(L617&gt;=75,"High",IF(L617&gt;=55,"Medium","Low"))</x:f>
        <x:v>Low</x:v>
      </x:c>
    </x:row>
    <x:row r="618">
      <x:c r="A618" t="n">
        <x:v>617</x:v>
      </x:c>
      <x:c r="B618" t="n">
        <x:v>10265</x:v>
      </x:c>
      <x:c r="C618" s="16" t="n">
        <x:v>46195</x:v>
      </x:c>
      <x:c r="D618" t="str">
        <x:v>13:07:00</x:v>
      </x:c>
      <x:c r="E618" t="str">
        <x:v>Card</x:v>
      </x:c>
      <x:c r="F618" t="str">
        <x:v>Retail</x:v>
      </x:c>
      <x:c r="G618" s="18" t="n">
        <x:v>75.99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10</x:v>
      </x:c>
      <x:c r="M618" t="n">
        <x:v>0</x:v>
      </x:c>
      <x:c r="N618" t="str">
        <x:v>Approved</x:v>
      </x:c>
      <x:c r="O618" t="n">
        <x:v>0</x:v>
      </x:c>
      <x:c r="P618" t="str">
        <x:f>IF(L618&gt;=75,"High",IF(L618&gt;=55,"Medium","Low"))</x:f>
        <x:v>Low</x:v>
      </x:c>
    </x:row>
    <x:row r="619">
      <x:c r="A619" t="n">
        <x:v>618</x:v>
      </x:c>
      <x:c r="B619" t="n">
        <x:v>10047</x:v>
      </x:c>
      <x:c r="C619" s="16" t="n">
        <x:v>46165</x:v>
      </x:c>
      <x:c r="D619" t="str">
        <x:v>09:25:00</x:v>
      </x:c>
      <x:c r="E619" t="str">
        <x:v>Card</x:v>
      </x:c>
      <x:c r="F619" t="str">
        <x:v>Retail</x:v>
      </x:c>
      <x:c r="G619" s="18" t="n">
        <x:v>62.37</x:v>
      </x:c>
      <x:c r="H619" t="n">
        <x:v>0</x:v>
      </x:c>
      <x:c r="I619" t="n">
        <x:v>1</x:v>
      </x:c>
      <x:c r="J619" t="n">
        <x:v>0</x:v>
      </x:c>
      <x:c r="K619" t="n">
        <x:v>0</x:v>
      </x:c>
      <x:c r="L619" t="n">
        <x:v>30</x:v>
      </x:c>
      <x:c r="M619" t="n">
        <x:v>0</x:v>
      </x:c>
      <x:c r="N619" t="str">
        <x:v>Approved</x:v>
      </x:c>
      <x:c r="O619" t="n">
        <x:v>0</x:v>
      </x:c>
      <x:c r="P619" t="str">
        <x:f>IF(L619&gt;=75,"High",IF(L619&gt;=55,"Medium","Low"))</x:f>
        <x:v>Low</x:v>
      </x:c>
    </x:row>
    <x:row r="620">
      <x:c r="A620" t="n">
        <x:v>619</x:v>
      </x:c>
      <x:c r="B620" t="n">
        <x:v>10181</x:v>
      </x:c>
      <x:c r="C620" s="16" t="n">
        <x:v>46143</x:v>
      </x:c>
      <x:c r="D620" t="str">
        <x:v>21:18:00</x:v>
      </x:c>
      <x:c r="E620" t="str">
        <x:v>Card</x:v>
      </x:c>
      <x:c r="F620" t="str">
        <x:v>Retail</x:v>
      </x:c>
      <x:c r="G620" s="18" t="n">
        <x:v>29.18</x:v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n">
        <x:v>10</x:v>
      </x:c>
      <x:c r="M620" t="n">
        <x:v>0</x:v>
      </x:c>
      <x:c r="N620" t="str">
        <x:v>Approved</x:v>
      </x:c>
      <x:c r="O620" t="n">
        <x:v>0</x:v>
      </x:c>
      <x:c r="P620" t="str">
        <x:f>IF(L620&gt;=75,"High",IF(L620&gt;=55,"Medium","Low"))</x:f>
        <x:v>Low</x:v>
      </x:c>
    </x:row>
    <x:row r="621">
      <x:c r="A621" t="n">
        <x:v>620</x:v>
      </x:c>
      <x:c r="B621" t="n">
        <x:v>10201</x:v>
      </x:c>
      <x:c r="C621" s="16" t="n">
        <x:v>46137</x:v>
      </x:c>
      <x:c r="D621" t="str">
        <x:v>08:28:00</x:v>
      </x:c>
      <x:c r="E621" t="str">
        <x:v>Bank Transfer</x:v>
      </x:c>
      <x:c r="F621" t="str">
        <x:v>Dining</x:v>
      </x:c>
      <x:c r="G621" s="18" t="n">
        <x:v>18.05</x:v>
      </x:c>
      <x:c r="H621" t="n">
        <x:v>1</x:v>
      </x:c>
      <x:c r="I621" t="n">
        <x:v>0</x:v>
      </x:c>
      <x:c r="J621" t="n">
        <x:v>0</x:v>
      </x:c>
      <x:c r="K621" t="n">
        <x:v>0</x:v>
      </x:c>
      <x:c r="L621" t="n">
        <x:v>36</x:v>
      </x:c>
      <x:c r="M621" t="n">
        <x:v>0</x:v>
      </x:c>
      <x:c r="N621" t="str">
        <x:v>Approved</x:v>
      </x:c>
      <x:c r="O621" t="n">
        <x:v>0</x:v>
      </x:c>
      <x:c r="P621" t="str">
        <x:f>IF(L621&gt;=75,"High",IF(L621&gt;=55,"Medium","Low"))</x:f>
        <x:v>Low</x:v>
      </x:c>
    </x:row>
    <x:row r="622">
      <x:c r="A622" t="n">
        <x:v>621</x:v>
      </x:c>
      <x:c r="B622" t="n">
        <x:v>10339</x:v>
      </x:c>
      <x:c r="C622" s="16" t="n">
        <x:v>46138</x:v>
      </x:c>
      <x:c r="D622" t="str">
        <x:v>08:47:00</x:v>
      </x:c>
      <x:c r="E622" t="str">
        <x:v>Card</x:v>
      </x:c>
      <x:c r="F622" t="str">
        <x:v>Retail</x:v>
      </x:c>
      <x:c r="G622" s="18" t="n">
        <x:v>68.28</x:v>
      </x:c>
      <x:c r="H622" t="n">
        <x:v>0</x:v>
      </x:c>
      <x:c r="I622" t="n">
        <x:v>0</x:v>
      </x:c>
      <x:c r="J622" t="n">
        <x:v>0</x:v>
      </x:c>
      <x:c r="K622" t="n">
        <x:v>0</x:v>
      </x:c>
      <x:c r="L622" t="n">
        <x:v>10</x:v>
      </x:c>
      <x:c r="M622" t="n">
        <x:v>0</x:v>
      </x:c>
      <x:c r="N622" t="str">
        <x:v>Approved</x:v>
      </x:c>
      <x:c r="O622" t="n">
        <x:v>0</x:v>
      </x:c>
      <x:c r="P622" t="str">
        <x:f>IF(L622&gt;=75,"High",IF(L622&gt;=55,"Medium","Low"))</x:f>
        <x:v>Low</x:v>
      </x:c>
    </x:row>
    <x:row r="623">
      <x:c r="A623" t="n">
        <x:v>622</x:v>
      </x:c>
      <x:c r="B623" t="n">
        <x:v>10102</x:v>
      </x:c>
      <x:c r="C623" s="16" t="n">
        <x:v>46127</x:v>
      </x:c>
      <x:c r="D623" t="str">
        <x:v>21:19:00</x:v>
      </x:c>
      <x:c r="E623" t="str">
        <x:v>Card</x:v>
      </x:c>
      <x:c r="F623" t="str">
        <x:v>Subscriptions</x:v>
      </x:c>
      <x:c r="G623" s="18" t="n">
        <x:v>119.57</x:v>
      </x:c>
      <x:c r="H623" t="n">
        <x:v>0</x:v>
      </x:c>
      <x:c r="I623" t="n">
        <x:v>0</x:v>
      </x:c>
      <x:c r="J623" t="n">
        <x:v>0</x:v>
      </x:c>
      <x:c r="K623" t="n">
        <x:v>0</x:v>
      </x:c>
      <x:c r="L623" t="n">
        <x:v>10</x:v>
      </x:c>
      <x:c r="M623" t="n">
        <x:v>0</x:v>
      </x:c>
      <x:c r="N623" t="str">
        <x:v>Approved</x:v>
      </x:c>
      <x:c r="O623" t="n">
        <x:v>0</x:v>
      </x:c>
      <x:c r="P623" t="str">
        <x:f>IF(L623&gt;=75,"High",IF(L623&gt;=55,"Medium","Low"))</x:f>
        <x:v>Low</x:v>
      </x:c>
    </x:row>
    <x:row r="624">
      <x:c r="A624" t="n">
        <x:v>623</x:v>
      </x:c>
      <x:c r="B624" t="n">
        <x:v>10197</x:v>
      </x:c>
      <x:c r="C624" s="16" t="n">
        <x:v>46231</x:v>
      </x:c>
      <x:c r="D624" t="str">
        <x:v>07:52:00</x:v>
      </x:c>
      <x:c r="E624" t="str">
        <x:v>P2P</x:v>
      </x:c>
      <x:c r="F624" t="str">
        <x:v>Dining</x:v>
      </x:c>
      <x:c r="G624" s="18" t="n">
        <x:v>123.61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10</x:v>
      </x:c>
      <x:c r="M624" t="n">
        <x:v>0</x:v>
      </x:c>
      <x:c r="N624" t="str">
        <x:v>Approved</x:v>
      </x:c>
      <x:c r="O624" t="n">
        <x:v>0</x:v>
      </x:c>
      <x:c r="P624" t="str">
        <x:f>IF(L624&gt;=75,"High",IF(L624&gt;=55,"Medium","Low"))</x:f>
        <x:v>Low</x:v>
      </x:c>
    </x:row>
    <x:row r="625">
      <x:c r="A625" t="n">
        <x:v>624</x:v>
      </x:c>
      <x:c r="B625" t="n">
        <x:v>10252</x:v>
      </x:c>
      <x:c r="C625" s="16" t="n">
        <x:v>46113</x:v>
      </x:c>
      <x:c r="D625" t="str">
        <x:v>21:25:00</x:v>
      </x:c>
      <x:c r="E625" t="str">
        <x:v>Bank Transfer</x:v>
      </x:c>
      <x:c r="F625" t="str">
        <x:v>Travel</x:v>
      </x:c>
      <x:c r="G625" s="18" t="n">
        <x:v>222.97</x:v>
      </x:c>
      <x:c r="H625" t="n">
        <x:v>1</x:v>
      </x:c>
      <x:c r="I625" t="n">
        <x:v>1</x:v>
      </x:c>
      <x:c r="J625" t="n">
        <x:v>0</x:v>
      </x:c>
      <x:c r="K625" t="n">
        <x:v>0</x:v>
      </x:c>
      <x:c r="L625" t="n">
        <x:v>56</x:v>
      </x:c>
      <x:c r="M625" t="n">
        <x:v>1</x:v>
      </x:c>
      <x:c r="N625" t="str">
        <x:v>Declined</x:v>
      </x:c>
      <x:c r="O625" t="n">
        <x:v>0</x:v>
      </x:c>
      <x:c r="P625" t="str">
        <x:f>IF(L625&gt;=75,"High",IF(L625&gt;=55,"Medium","Low"))</x:f>
        <x:v>Medium</x:v>
      </x:c>
    </x:row>
    <x:row r="626">
      <x:c r="A626" t="n">
        <x:v>625</x:v>
      </x:c>
      <x:c r="B626" t="n">
        <x:v>10048</x:v>
      </x:c>
      <x:c r="C626" s="16" t="n">
        <x:v>46221</x:v>
      </x:c>
      <x:c r="D626" t="str">
        <x:v>18:00:00</x:v>
      </x:c>
      <x:c r="E626" t="str">
        <x:v>Card</x:v>
      </x:c>
      <x:c r="F626" t="str">
        <x:v>Travel</x:v>
      </x:c>
      <x:c r="G626" s="18" t="n">
        <x:v>283.37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10</x:v>
      </x:c>
      <x:c r="M626" t="n">
        <x:v>0</x:v>
      </x:c>
      <x:c r="N626" t="str">
        <x:v>Approved</x:v>
      </x:c>
      <x:c r="O626" t="n">
        <x:v>0</x:v>
      </x:c>
      <x:c r="P626" t="str">
        <x:f>IF(L626&gt;=75,"High",IF(L626&gt;=55,"Medium","Low"))</x:f>
        <x:v>Low</x:v>
      </x:c>
    </x:row>
    <x:row r="627">
      <x:c r="A627" t="n">
        <x:v>626</x:v>
      </x:c>
      <x:c r="B627" t="n">
        <x:v>10308</x:v>
      </x:c>
      <x:c r="C627" s="16" t="n">
        <x:v>46254</x:v>
      </x:c>
      <x:c r="D627" t="str">
        <x:v>05:22:00</x:v>
      </x:c>
      <x:c r="E627" t="str">
        <x:v>Card</x:v>
      </x:c>
      <x:c r="F627" t="str">
        <x:v>Transfer</x:v>
      </x:c>
      <x:c r="G627" s="18" t="n">
        <x:v>170.8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10</x:v>
      </x:c>
      <x:c r="M627" t="n">
        <x:v>0</x:v>
      </x:c>
      <x:c r="N627" t="str">
        <x:v>Approved</x:v>
      </x:c>
      <x:c r="O627" t="n">
        <x:v>0</x:v>
      </x:c>
      <x:c r="P627" t="str">
        <x:f>IF(L627&gt;=75,"High",IF(L627&gt;=55,"Medium","Low"))</x:f>
        <x:v>Low</x:v>
      </x:c>
    </x:row>
    <x:row r="628">
      <x:c r="A628" t="n">
        <x:v>627</x:v>
      </x:c>
      <x:c r="B628" t="n">
        <x:v>10210</x:v>
      </x:c>
      <x:c r="C628" s="16" t="n">
        <x:v>46135</x:v>
      </x:c>
      <x:c r="D628" t="str">
        <x:v>10:21:00</x:v>
      </x:c>
      <x:c r="E628" t="str">
        <x:v>Card</x:v>
      </x:c>
      <x:c r="F628" t="str">
        <x:v>Dining</x:v>
      </x:c>
      <x:c r="G628" s="18" t="n">
        <x:v>27.51</x:v>
      </x:c>
      <x:c r="H628" t="n">
        <x:v>1</x:v>
      </x:c>
      <x:c r="I628" t="n">
        <x:v>0</x:v>
      </x:c>
      <x:c r="J628" t="n">
        <x:v>0</x:v>
      </x:c>
      <x:c r="K628" t="n">
        <x:v>0</x:v>
      </x:c>
      <x:c r="L628" t="n">
        <x:v>36</x:v>
      </x:c>
      <x:c r="M628" t="n">
        <x:v>0</x:v>
      </x:c>
      <x:c r="N628" t="str">
        <x:v>Approved</x:v>
      </x:c>
      <x:c r="O628" t="n">
        <x:v>0</x:v>
      </x:c>
      <x:c r="P628" t="str">
        <x:f>IF(L628&gt;=75,"High",IF(L628&gt;=55,"Medium","Low"))</x:f>
        <x:v>Low</x:v>
      </x:c>
    </x:row>
    <x:row r="629">
      <x:c r="A629" t="n">
        <x:v>628</x:v>
      </x:c>
      <x:c r="B629" t="n">
        <x:v>10098</x:v>
      </x:c>
      <x:c r="C629" s="16" t="n">
        <x:v>46218</x:v>
      </x:c>
      <x:c r="D629" t="str">
        <x:v>18:27:00</x:v>
      </x:c>
      <x:c r="E629" t="str">
        <x:v>Card</x:v>
      </x:c>
      <x:c r="F629" t="str">
        <x:v>Dining</x:v>
      </x:c>
      <x:c r="G629" s="18" t="n">
        <x:v>145.62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10</x:v>
      </x:c>
      <x:c r="M629" t="n">
        <x:v>0</x:v>
      </x:c>
      <x:c r="N629" t="str">
        <x:v>Approved</x:v>
      </x:c>
      <x:c r="O629" t="n">
        <x:v>0</x:v>
      </x:c>
      <x:c r="P629" t="str">
        <x:f>IF(L629&gt;=75,"High",IF(L629&gt;=55,"Medium","Low"))</x:f>
        <x:v>Low</x:v>
      </x:c>
    </x:row>
    <x:row r="630">
      <x:c r="A630" t="n">
        <x:v>629</x:v>
      </x:c>
      <x:c r="B630" t="n">
        <x:v>10019</x:v>
      </x:c>
      <x:c r="C630" s="16" t="n">
        <x:v>46269</x:v>
      </x:c>
      <x:c r="D630" t="str">
        <x:v>07:07:00</x:v>
      </x:c>
      <x:c r="E630" t="str">
        <x:v>Card</x:v>
      </x:c>
      <x:c r="F630" t="str">
        <x:v>Travel</x:v>
      </x:c>
      <x:c r="G630" s="18" t="n">
        <x:v>4.99</x:v>
      </x:c>
      <x:c r="H630" t="n">
        <x:v>0</x:v>
      </x:c>
      <x:c r="I630" t="n">
        <x:v>1</x:v>
      </x:c>
      <x:c r="J630" t="n">
        <x:v>0</x:v>
      </x:c>
      <x:c r="K630" t="n">
        <x:v>0</x:v>
      </x:c>
      <x:c r="L630" t="n">
        <x:v>30</x:v>
      </x:c>
      <x:c r="M630" t="n">
        <x:v>0</x:v>
      </x:c>
      <x:c r="N630" t="str">
        <x:v>Approved</x:v>
      </x:c>
      <x:c r="O630" t="n">
        <x:v>0</x:v>
      </x:c>
      <x:c r="P630" t="str">
        <x:f>IF(L630&gt;=75,"High",IF(L630&gt;=55,"Medium","Low"))</x:f>
        <x:v>Low</x:v>
      </x:c>
    </x:row>
    <x:row r="631">
      <x:c r="A631" t="n">
        <x:v>630</x:v>
      </x:c>
      <x:c r="B631" t="n">
        <x:v>10132</x:v>
      </x:c>
      <x:c r="C631" s="16" t="n">
        <x:v>46206</x:v>
      </x:c>
      <x:c r="D631" t="str">
        <x:v>09:44:00</x:v>
      </x:c>
      <x:c r="E631" t="str">
        <x:v>Card</x:v>
      </x:c>
      <x:c r="F631" t="str">
        <x:v>Subscriptions</x:v>
      </x:c>
      <x:c r="G631" s="18" t="n">
        <x:v>26.01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10</x:v>
      </x:c>
      <x:c r="M631" t="n">
        <x:v>0</x:v>
      </x:c>
      <x:c r="N631" t="str">
        <x:v>Approved</x:v>
      </x:c>
      <x:c r="O631" t="n">
        <x:v>0</x:v>
      </x:c>
      <x:c r="P631" t="str">
        <x:f>IF(L631&gt;=75,"High",IF(L631&gt;=55,"Medium","Low"))</x:f>
        <x:v>Low</x:v>
      </x:c>
    </x:row>
    <x:row r="632">
      <x:c r="A632" t="n">
        <x:v>631</x:v>
      </x:c>
      <x:c r="B632" t="n">
        <x:v>10107</x:v>
      </x:c>
      <x:c r="C632" s="16" t="n">
        <x:v>46200</x:v>
      </x:c>
      <x:c r="D632" t="str">
        <x:v>12:42:00</x:v>
      </x:c>
      <x:c r="E632" t="str">
        <x:v>Card</x:v>
      </x:c>
      <x:c r="F632" t="str">
        <x:v>Transfer</x:v>
      </x:c>
      <x:c r="G632" s="18" t="n">
        <x:v>49.59</x:v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n">
        <x:v>10</x:v>
      </x:c>
      <x:c r="M632" t="n">
        <x:v>0</x:v>
      </x:c>
      <x:c r="N632" t="str">
        <x:v>Approved</x:v>
      </x:c>
      <x:c r="O632" t="n">
        <x:v>0</x:v>
      </x:c>
      <x:c r="P632" t="str">
        <x:f>IF(L632&gt;=75,"High",IF(L632&gt;=55,"Medium","Low"))</x:f>
        <x:v>Low</x:v>
      </x:c>
    </x:row>
    <x:row r="633">
      <x:c r="A633" t="n">
        <x:v>632</x:v>
      </x:c>
      <x:c r="B633" t="n">
        <x:v>10027</x:v>
      </x:c>
      <x:c r="C633" s="16" t="n">
        <x:v>46144</x:v>
      </x:c>
      <x:c r="D633" t="str">
        <x:v>04:38:00</x:v>
      </x:c>
      <x:c r="E633" t="str">
        <x:v>Card</x:v>
      </x:c>
      <x:c r="F633" t="str">
        <x:v>Transfer</x:v>
      </x:c>
      <x:c r="G633" s="18" t="n">
        <x:v>247.88</x:v>
      </x:c>
      <x:c r="H633" t="n">
        <x:v>0</x:v>
      </x:c>
      <x:c r="I633" t="n">
        <x:v>0</x:v>
      </x:c>
      <x:c r="J633" t="n">
        <x:v>0</x:v>
      </x:c>
      <x:c r="K633" t="n">
        <x:v>1</x:v>
      </x:c>
      <x:c r="L633" t="n">
        <x:v>25</x:v>
      </x:c>
      <x:c r="M633" t="n">
        <x:v>0</x:v>
      </x:c>
      <x:c r="N633" t="str">
        <x:v>Approved</x:v>
      </x:c>
      <x:c r="O633" t="n">
        <x:v>1</x:v>
      </x:c>
      <x:c r="P633" t="str">
        <x:f>IF(L633&gt;=75,"High",IF(L633&gt;=55,"Medium","Low"))</x:f>
        <x:v>Low</x:v>
      </x:c>
    </x:row>
    <x:row r="634">
      <x:c r="A634" t="n">
        <x:v>633</x:v>
      </x:c>
      <x:c r="B634" t="n">
        <x:v>10011</x:v>
      </x:c>
      <x:c r="C634" s="16" t="n">
        <x:v>46260</x:v>
      </x:c>
      <x:c r="D634" t="str">
        <x:v>01:26:00</x:v>
      </x:c>
      <x:c r="E634" t="str">
        <x:v>Card</x:v>
      </x:c>
      <x:c r="F634" t="str">
        <x:v>Utilities</x:v>
      </x:c>
      <x:c r="G634" s="18" t="n">
        <x:v>8.21</x:v>
      </x:c>
      <x:c r="H634" t="n">
        <x:v>0</x:v>
      </x:c>
      <x:c r="I634" t="n">
        <x:v>0</x:v>
      </x:c>
      <x:c r="J634" t="n">
        <x:v>0</x:v>
      </x:c>
      <x:c r="K634" t="n">
        <x:v>1</x:v>
      </x:c>
      <x:c r="L634" t="n">
        <x:v>25</x:v>
      </x:c>
      <x:c r="M634" t="n">
        <x:v>0</x:v>
      </x:c>
      <x:c r="N634" t="str">
        <x:v>Approved</x:v>
      </x:c>
      <x:c r="O634" t="n">
        <x:v>0</x:v>
      </x:c>
      <x:c r="P634" t="str">
        <x:f>IF(L634&gt;=75,"High",IF(L634&gt;=55,"Medium","Low"))</x:f>
        <x:v>Low</x:v>
      </x:c>
    </x:row>
    <x:row r="635">
      <x:c r="A635" t="n">
        <x:v>634</x:v>
      </x:c>
      <x:c r="B635" t="n">
        <x:v>10147</x:v>
      </x:c>
      <x:c r="C635" s="16" t="n">
        <x:v>46125</x:v>
      </x:c>
      <x:c r="D635" t="str">
        <x:v>01:45:00</x:v>
      </x:c>
      <x:c r="E635" t="str">
        <x:v>Card</x:v>
      </x:c>
      <x:c r="F635" t="str">
        <x:v>Transfer</x:v>
      </x:c>
      <x:c r="G635" s="18" t="n">
        <x:v>56.93</x:v>
      </x:c>
      <x:c r="H635" t="n">
        <x:v>0</x:v>
      </x:c>
      <x:c r="I635" t="n">
        <x:v>0</x:v>
      </x:c>
      <x:c r="J635" t="n">
        <x:v>0</x:v>
      </x:c>
      <x:c r="K635" t="n">
        <x:v>1</x:v>
      </x:c>
      <x:c r="L635" t="n">
        <x:v>25</x:v>
      </x:c>
      <x:c r="M635" t="n">
        <x:v>0</x:v>
      </x:c>
      <x:c r="N635" t="str">
        <x:v>Approved</x:v>
      </x:c>
      <x:c r="O635" t="n">
        <x:v>0</x:v>
      </x:c>
      <x:c r="P635" t="str">
        <x:f>IF(L635&gt;=75,"High",IF(L635&gt;=55,"Medium","Low"))</x:f>
        <x:v>Low</x:v>
      </x:c>
    </x:row>
    <x:row r="636">
      <x:c r="A636" t="n">
        <x:v>635</x:v>
      </x:c>
      <x:c r="B636" t="n">
        <x:v>10143</x:v>
      </x:c>
      <x:c r="C636" s="16" t="n">
        <x:v>46113</x:v>
      </x:c>
      <x:c r="D636" t="str">
        <x:v>03:03:00</x:v>
      </x:c>
      <x:c r="E636" t="str">
        <x:v>P2P</x:v>
      </x:c>
      <x:c r="F636" t="str">
        <x:v>Subscriptions</x:v>
      </x:c>
      <x:c r="G636" s="18" t="n">
        <x:v>289.14</x:v>
      </x:c>
      <x:c r="H636" t="n">
        <x:v>0</x:v>
      </x:c>
      <x:c r="I636" t="n">
        <x:v>0</x:v>
      </x:c>
      <x:c r="J636" t="n">
        <x:v>0</x:v>
      </x:c>
      <x:c r="K636" t="n">
        <x:v>1</x:v>
      </x:c>
      <x:c r="L636" t="n">
        <x:v>25</x:v>
      </x:c>
      <x:c r="M636" t="n">
        <x:v>0</x:v>
      </x:c>
      <x:c r="N636" t="str">
        <x:v>Approved</x:v>
      </x:c>
      <x:c r="O636" t="n">
        <x:v>0</x:v>
      </x:c>
      <x:c r="P636" t="str">
        <x:f>IF(L636&gt;=75,"High",IF(L636&gt;=55,"Medium","Low"))</x:f>
        <x:v>Low</x:v>
      </x:c>
    </x:row>
    <x:row r="637">
      <x:c r="A637" t="n">
        <x:v>636</x:v>
      </x:c>
      <x:c r="B637" t="n">
        <x:v>10290</x:v>
      </x:c>
      <x:c r="C637" s="16" t="n">
        <x:v>46276</x:v>
      </x:c>
      <x:c r="D637" t="str">
        <x:v>04:43:00</x:v>
      </x:c>
      <x:c r="E637" t="str">
        <x:v>Card</x:v>
      </x:c>
      <x:c r="F637" t="str">
        <x:v>Travel</x:v>
      </x:c>
      <x:c r="G637" s="18" t="n">
        <x:v>69.27</x:v>
      </x:c>
      <x:c r="H637" t="n">
        <x:v>1</x:v>
      </x:c>
      <x:c r="I637" t="n">
        <x:v>1</x:v>
      </x:c>
      <x:c r="J637" t="n">
        <x:v>0</x:v>
      </x:c>
      <x:c r="K637" t="n">
        <x:v>1</x:v>
      </x:c>
      <x:c r="L637" t="n">
        <x:v>71</x:v>
      </x:c>
      <x:c r="M637" t="n">
        <x:v>1</x:v>
      </x:c>
      <x:c r="N637" t="str">
        <x:v>Approved</x:v>
      </x:c>
      <x:c r="O637" t="n">
        <x:v>0</x:v>
      </x:c>
      <x:c r="P637" t="str">
        <x:f>IF(L637&gt;=75,"High",IF(L637&gt;=55,"Medium","Low"))</x:f>
        <x:v>Medium</x:v>
      </x:c>
    </x:row>
    <x:row r="638">
      <x:c r="A638" t="n">
        <x:v>637</x:v>
      </x:c>
      <x:c r="B638" t="n">
        <x:v>10195</x:v>
      </x:c>
      <x:c r="C638" s="16" t="n">
        <x:v>46167</x:v>
      </x:c>
      <x:c r="D638" t="str">
        <x:v>21:45:00</x:v>
      </x:c>
      <x:c r="E638" t="str">
        <x:v>Bank Transfer</x:v>
      </x:c>
      <x:c r="F638" t="str">
        <x:v>Subscriptions</x:v>
      </x:c>
      <x:c r="G638" s="18" t="n">
        <x:v>325.76</x:v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n">
        <x:v>10</x:v>
      </x:c>
      <x:c r="M638" t="n">
        <x:v>0</x:v>
      </x:c>
      <x:c r="N638" t="str">
        <x:v>Approved</x:v>
      </x:c>
      <x:c r="O638" t="n">
        <x:v>0</x:v>
      </x:c>
      <x:c r="P638" t="str">
        <x:f>IF(L638&gt;=75,"High",IF(L638&gt;=55,"Medium","Low"))</x:f>
        <x:v>Low</x:v>
      </x:c>
    </x:row>
    <x:row r="639">
      <x:c r="A639" t="n">
        <x:v>638</x:v>
      </x:c>
      <x:c r="B639" t="n">
        <x:v>10328</x:v>
      </x:c>
      <x:c r="C639" s="16" t="n">
        <x:v>46117</x:v>
      </x:c>
      <x:c r="D639" t="str">
        <x:v>06:26:00</x:v>
      </x:c>
      <x:c r="E639" t="str">
        <x:v>Card</x:v>
      </x:c>
      <x:c r="F639" t="str">
        <x:v>Retail</x:v>
      </x:c>
      <x:c r="G639" s="18" t="n">
        <x:v>46.6</x:v>
      </x:c>
      <x:c r="H639" t="n">
        <x:v>0</x:v>
      </x:c>
      <x:c r="I639" t="n">
        <x:v>0</x:v>
      </x:c>
      <x:c r="J639" t="n">
        <x:v>0</x:v>
      </x:c>
      <x:c r="K639" t="n">
        <x:v>0</x:v>
      </x:c>
      <x:c r="L639" t="n">
        <x:v>10</x:v>
      </x:c>
      <x:c r="M639" t="n">
        <x:v>0</x:v>
      </x:c>
      <x:c r="N639" t="str">
        <x:v>Approved</x:v>
      </x:c>
      <x:c r="O639" t="n">
        <x:v>0</x:v>
      </x:c>
      <x:c r="P639" t="str">
        <x:f>IF(L639&gt;=75,"High",IF(L639&gt;=55,"Medium","Low"))</x:f>
        <x:v>Low</x:v>
      </x:c>
    </x:row>
    <x:row r="640">
      <x:c r="A640" t="n">
        <x:v>639</x:v>
      </x:c>
      <x:c r="B640" t="n">
        <x:v>10325</x:v>
      </x:c>
      <x:c r="C640" s="16" t="n">
        <x:v>46113</x:v>
      </x:c>
      <x:c r="D640" t="str">
        <x:v>10:29:00</x:v>
      </x:c>
      <x:c r="E640" t="str">
        <x:v>Card</x:v>
      </x:c>
      <x:c r="F640" t="str">
        <x:v>Dining</x:v>
      </x:c>
      <x:c r="G640" s="18" t="n">
        <x:v>12.58</x:v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n">
        <x:v>10</x:v>
      </x:c>
      <x:c r="M640" t="n">
        <x:v>0</x:v>
      </x:c>
      <x:c r="N640" t="str">
        <x:v>Approved</x:v>
      </x:c>
      <x:c r="O640" t="n">
        <x:v>0</x:v>
      </x:c>
      <x:c r="P640" t="str">
        <x:f>IF(L640&gt;=75,"High",IF(L640&gt;=55,"Medium","Low"))</x:f>
        <x:v>Low</x:v>
      </x:c>
    </x:row>
    <x:row r="641">
      <x:c r="A641" t="n">
        <x:v>640</x:v>
      </x:c>
      <x:c r="B641" t="n">
        <x:v>10048</x:v>
      </x:c>
      <x:c r="C641" s="16" t="n">
        <x:v>46213</x:v>
      </x:c>
      <x:c r="D641" t="str">
        <x:v>10:48:00</x:v>
      </x:c>
      <x:c r="E641" t="str">
        <x:v>Card</x:v>
      </x:c>
      <x:c r="F641" t="str">
        <x:v>Electronics</x:v>
      </x:c>
      <x:c r="G641" s="18" t="n">
        <x:v>22.87</x:v>
      </x:c>
      <x:c r="H641" t="n">
        <x:v>0</x:v>
      </x:c>
      <x:c r="I641" t="n">
        <x:v>1</x:v>
      </x:c>
      <x:c r="J641" t="n">
        <x:v>0</x:v>
      </x:c>
      <x:c r="K641" t="n">
        <x:v>0</x:v>
      </x:c>
      <x:c r="L641" t="n">
        <x:v>30</x:v>
      </x:c>
      <x:c r="M641" t="n">
        <x:v>0</x:v>
      </x:c>
      <x:c r="N641" t="str">
        <x:v>Approved</x:v>
      </x:c>
      <x:c r="O641" t="n">
        <x:v>0</x:v>
      </x:c>
      <x:c r="P641" t="str">
        <x:f>IF(L641&gt;=75,"High",IF(L641&gt;=55,"Medium","Low"))</x:f>
        <x:v>Low</x:v>
      </x:c>
    </x:row>
    <x:row r="642">
      <x:c r="A642" t="n">
        <x:v>641</x:v>
      </x:c>
      <x:c r="B642" t="n">
        <x:v>10194</x:v>
      </x:c>
      <x:c r="C642" s="16" t="n">
        <x:v>46284</x:v>
      </x:c>
      <x:c r="D642" t="str">
        <x:v>01:47:00</x:v>
      </x:c>
      <x:c r="E642" t="str">
        <x:v>Card</x:v>
      </x:c>
      <x:c r="F642" t="str">
        <x:v>Transfer</x:v>
      </x:c>
      <x:c r="G642" s="18" t="n">
        <x:v>190.32</x:v>
      </x:c>
      <x:c r="H642" t="n">
        <x:v>0</x:v>
      </x:c>
      <x:c r="I642" t="n">
        <x:v>0</x:v>
      </x:c>
      <x:c r="J642" t="n">
        <x:v>0</x:v>
      </x:c>
      <x:c r="K642" t="n">
        <x:v>1</x:v>
      </x:c>
      <x:c r="L642" t="n">
        <x:v>25</x:v>
      </x:c>
      <x:c r="M642" t="n">
        <x:v>0</x:v>
      </x:c>
      <x:c r="N642" t="str">
        <x:v>Approved</x:v>
      </x:c>
      <x:c r="O642" t="n">
        <x:v>0</x:v>
      </x:c>
      <x:c r="P642" t="str">
        <x:f>IF(L642&gt;=75,"High",IF(L642&gt;=55,"Medium","Low"))</x:f>
        <x:v>Low</x:v>
      </x:c>
    </x:row>
    <x:row r="643">
      <x:c r="A643" t="n">
        <x:v>642</x:v>
      </x:c>
      <x:c r="B643" t="n">
        <x:v>10019</x:v>
      </x:c>
      <x:c r="C643" s="16" t="n">
        <x:v>46145</x:v>
      </x:c>
      <x:c r="D643" t="str">
        <x:v>02:37:00</x:v>
      </x:c>
      <x:c r="E643" t="str">
        <x:v>Bank Transfer</x:v>
      </x:c>
      <x:c r="F643" t="str">
        <x:v>Dining</x:v>
      </x:c>
      <x:c r="G643" s="18" t="n">
        <x:v>200.71</x:v>
      </x:c>
      <x:c r="H643" t="n">
        <x:v>1</x:v>
      </x:c>
      <x:c r="I643" t="n">
        <x:v>0</x:v>
      </x:c>
      <x:c r="J643" t="n">
        <x:v>0</x:v>
      </x:c>
      <x:c r="K643" t="n">
        <x:v>1</x:v>
      </x:c>
      <x:c r="L643" t="n">
        <x:v>51</x:v>
      </x:c>
      <x:c r="M643" t="n">
        <x:v>0</x:v>
      </x:c>
      <x:c r="N643" t="str">
        <x:v>Approved</x:v>
      </x:c>
      <x:c r="O643" t="n">
        <x:v>0</x:v>
      </x:c>
      <x:c r="P643" t="str">
        <x:f>IF(L643&gt;=75,"High",IF(L643&gt;=55,"Medium","Low"))</x:f>
        <x:v>Low</x:v>
      </x:c>
    </x:row>
    <x:row r="644">
      <x:c r="A644" t="n">
        <x:v>643</x:v>
      </x:c>
      <x:c r="B644" t="n">
        <x:v>10163</x:v>
      </x:c>
      <x:c r="C644" s="16" t="n">
        <x:v>46191</x:v>
      </x:c>
      <x:c r="D644" t="str">
        <x:v>07:10:00</x:v>
      </x:c>
      <x:c r="E644" t="str">
        <x:v>Card</x:v>
      </x:c>
      <x:c r="F644" t="str">
        <x:v>Utilities</x:v>
      </x:c>
      <x:c r="G644" s="18" t="n">
        <x:v>100.48</x:v>
      </x:c>
      <x:c r="H644" t="n">
        <x:v>1</x:v>
      </x:c>
      <x:c r="I644" t="n">
        <x:v>0</x:v>
      </x:c>
      <x:c r="J644" t="n">
        <x:v>0</x:v>
      </x:c>
      <x:c r="K644" t="n">
        <x:v>0</x:v>
      </x:c>
      <x:c r="L644" t="n">
        <x:v>36</x:v>
      </x:c>
      <x:c r="M644" t="n">
        <x:v>0</x:v>
      </x:c>
      <x:c r="N644" t="str">
        <x:v>Approved</x:v>
      </x:c>
      <x:c r="O644" t="n">
        <x:v>0</x:v>
      </x:c>
      <x:c r="P644" t="str">
        <x:f>IF(L644&gt;=75,"High",IF(L644&gt;=55,"Medium","Low"))</x:f>
        <x:v>Low</x:v>
      </x:c>
    </x:row>
    <x:row r="645">
      <x:c r="A645" t="n">
        <x:v>644</x:v>
      </x:c>
      <x:c r="B645" t="n">
        <x:v>10310</x:v>
      </x:c>
      <x:c r="C645" s="16" t="n">
        <x:v>46140</x:v>
      </x:c>
      <x:c r="D645" t="str">
        <x:v>22:11:00</x:v>
      </x:c>
      <x:c r="E645" t="str">
        <x:v>P2P</x:v>
      </x:c>
      <x:c r="F645" t="str">
        <x:v>Retail</x:v>
      </x:c>
      <x:c r="G645" s="18" t="n">
        <x:v>14.68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10</x:v>
      </x:c>
      <x:c r="M645" t="n">
        <x:v>0</x:v>
      </x:c>
      <x:c r="N645" t="str">
        <x:v>Approved</x:v>
      </x:c>
      <x:c r="O645" t="n">
        <x:v>0</x:v>
      </x:c>
      <x:c r="P645" t="str">
        <x:f>IF(L645&gt;=75,"High",IF(L645&gt;=55,"Medium","Low"))</x:f>
        <x:v>Low</x:v>
      </x:c>
    </x:row>
    <x:row r="646">
      <x:c r="A646" t="n">
        <x:v>645</x:v>
      </x:c>
      <x:c r="B646" t="n">
        <x:v>10005</x:v>
      </x:c>
      <x:c r="C646" s="16" t="n">
        <x:v>46292</x:v>
      </x:c>
      <x:c r="D646" t="str">
        <x:v>01:58:00</x:v>
      </x:c>
      <x:c r="E646" t="str">
        <x:v>Card</x:v>
      </x:c>
      <x:c r="F646" t="str">
        <x:v>Subscriptions</x:v>
      </x:c>
      <x:c r="G646" s="18" t="n">
        <x:v>498.48</x:v>
      </x:c>
      <x:c r="H646" t="n">
        <x:v>0</x:v>
      </x:c>
      <x:c r="I646" t="n">
        <x:v>0</x:v>
      </x:c>
      <x:c r="J646" t="n">
        <x:v>0</x:v>
      </x:c>
      <x:c r="K646" t="n">
        <x:v>1</x:v>
      </x:c>
      <x:c r="L646" t="n">
        <x:v>25</x:v>
      </x:c>
      <x:c r="M646" t="n">
        <x:v>0</x:v>
      </x:c>
      <x:c r="N646" t="str">
        <x:v>Approved</x:v>
      </x:c>
      <x:c r="O646" t="n">
        <x:v>0</x:v>
      </x:c>
      <x:c r="P646" t="str">
        <x:f>IF(L646&gt;=75,"High",IF(L646&gt;=55,"Medium","Low"))</x:f>
        <x:v>Low</x:v>
      </x:c>
    </x:row>
    <x:row r="647">
      <x:c r="A647" t="n">
        <x:v>646</x:v>
      </x:c>
      <x:c r="B647" t="n">
        <x:v>10275</x:v>
      </x:c>
      <x:c r="C647" s="16" t="n">
        <x:v>46155</x:v>
      </x:c>
      <x:c r="D647" t="str">
        <x:v>02:20:00</x:v>
      </x:c>
      <x:c r="E647" t="str">
        <x:v>Card</x:v>
      </x:c>
      <x:c r="F647" t="str">
        <x:v>Retail</x:v>
      </x:c>
      <x:c r="G647" s="18" t="n">
        <x:v>22.92</x:v>
      </x:c>
      <x:c r="H647" t="n">
        <x:v>0</x:v>
      </x:c>
      <x:c r="I647" t="n">
        <x:v>1</x:v>
      </x:c>
      <x:c r="J647" t="n">
        <x:v>0</x:v>
      </x:c>
      <x:c r="K647" t="n">
        <x:v>1</x:v>
      </x:c>
      <x:c r="L647" t="n">
        <x:v>45</x:v>
      </x:c>
      <x:c r="M647" t="n">
        <x:v>0</x:v>
      </x:c>
      <x:c r="N647" t="str">
        <x:v>Approved</x:v>
      </x:c>
      <x:c r="O647" t="n">
        <x:v>0</x:v>
      </x:c>
      <x:c r="P647" t="str">
        <x:f>IF(L647&gt;=75,"High",IF(L647&gt;=55,"Medium","Low"))</x:f>
        <x:v>Low</x:v>
      </x:c>
    </x:row>
    <x:row r="648">
      <x:c r="A648" t="n">
        <x:v>647</x:v>
      </x:c>
      <x:c r="B648" t="n">
        <x:v>10298</x:v>
      </x:c>
      <x:c r="C648" s="16" t="n">
        <x:v>46244</x:v>
      </x:c>
      <x:c r="D648" t="str">
        <x:v>17:33:00</x:v>
      </x:c>
      <x:c r="E648" t="str">
        <x:v>Card</x:v>
      </x:c>
      <x:c r="F648" t="str">
        <x:v>Dining</x:v>
      </x:c>
      <x:c r="G648" s="18" t="n">
        <x:v>99.82</x:v>
      </x:c>
      <x:c r="H648" t="n">
        <x:v>0</x:v>
      </x:c>
      <x:c r="I648" t="n">
        <x:v>0</x:v>
      </x:c>
      <x:c r="J648" t="n">
        <x:v>0</x:v>
      </x:c>
      <x:c r="K648" t="n">
        <x:v>0</x:v>
      </x:c>
      <x:c r="L648" t="n">
        <x:v>10</x:v>
      </x:c>
      <x:c r="M648" t="n">
        <x:v>0</x:v>
      </x:c>
      <x:c r="N648" t="str">
        <x:v>Approved</x:v>
      </x:c>
      <x:c r="O648" t="n">
        <x:v>0</x:v>
      </x:c>
      <x:c r="P648" t="str">
        <x:f>IF(L648&gt;=75,"High",IF(L648&gt;=55,"Medium","Low"))</x:f>
        <x:v>Low</x:v>
      </x:c>
    </x:row>
    <x:row r="649">
      <x:c r="A649" t="n">
        <x:v>648</x:v>
      </x:c>
      <x:c r="B649" t="n">
        <x:v>10089</x:v>
      </x:c>
      <x:c r="C649" s="16" t="n">
        <x:v>46231</x:v>
      </x:c>
      <x:c r="D649" t="str">
        <x:v>16:29:00</x:v>
      </x:c>
      <x:c r="E649" t="str">
        <x:v>Card</x:v>
      </x:c>
      <x:c r="F649" t="str">
        <x:v>Travel</x:v>
      </x:c>
      <x:c r="G649" s="18" t="n">
        <x:v>56.25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10</x:v>
      </x:c>
      <x:c r="M649" t="n">
        <x:v>0</x:v>
      </x:c>
      <x:c r="N649" t="str">
        <x:v>Approved</x:v>
      </x:c>
      <x:c r="O649" t="n">
        <x:v>0</x:v>
      </x:c>
      <x:c r="P649" t="str">
        <x:f>IF(L649&gt;=75,"High",IF(L649&gt;=55,"Medium","Low"))</x:f>
        <x:v>Low</x:v>
      </x:c>
    </x:row>
    <x:row r="650">
      <x:c r="A650" t="n">
        <x:v>649</x:v>
      </x:c>
      <x:c r="B650" t="n">
        <x:v>10283</x:v>
      </x:c>
      <x:c r="C650" s="16" t="n">
        <x:v>46181</x:v>
      </x:c>
      <x:c r="D650" t="str">
        <x:v>06:23:00</x:v>
      </x:c>
      <x:c r="E650" t="str">
        <x:v>Card</x:v>
      </x:c>
      <x:c r="F650" t="str">
        <x:v>Dining</x:v>
      </x:c>
      <x:c r="G650" s="18" t="n">
        <x:v>36.71</x:v>
      </x:c>
      <x:c r="H650" t="n">
        <x:v>0</x:v>
      </x:c>
      <x:c r="I650" t="n">
        <x:v>0</x:v>
      </x:c>
      <x:c r="J650" t="n">
        <x:v>0</x:v>
      </x:c>
      <x:c r="K650" t="n">
        <x:v>0</x:v>
      </x:c>
      <x:c r="L650" t="n">
        <x:v>10</x:v>
      </x:c>
      <x:c r="M650" t="n">
        <x:v>0</x:v>
      </x:c>
      <x:c r="N650" t="str">
        <x:v>Approved</x:v>
      </x:c>
      <x:c r="O650" t="n">
        <x:v>0</x:v>
      </x:c>
      <x:c r="P650" t="str">
        <x:f>IF(L650&gt;=75,"High",IF(L650&gt;=55,"Medium","Low"))</x:f>
        <x:v>Low</x:v>
      </x:c>
    </x:row>
    <x:row r="651">
      <x:c r="A651" t="n">
        <x:v>650</x:v>
      </x:c>
      <x:c r="B651" t="n">
        <x:v>10022</x:v>
      </x:c>
      <x:c r="C651" s="16" t="n">
        <x:v>46196</x:v>
      </x:c>
      <x:c r="D651" t="str">
        <x:v>11:18:00</x:v>
      </x:c>
      <x:c r="E651" t="str">
        <x:v>Bank Transfer</x:v>
      </x:c>
      <x:c r="F651" t="str">
        <x:v>Retail</x:v>
      </x:c>
      <x:c r="G651" s="18" t="n">
        <x:v>185.92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10</x:v>
      </x:c>
      <x:c r="M651" t="n">
        <x:v>0</x:v>
      </x:c>
      <x:c r="N651" t="str">
        <x:v>Approved</x:v>
      </x:c>
      <x:c r="O651" t="n">
        <x:v>0</x:v>
      </x:c>
      <x:c r="P651" t="str">
        <x:f>IF(L651&gt;=75,"High",IF(L651&gt;=55,"Medium","Low"))</x:f>
        <x:v>Low</x:v>
      </x:c>
    </x:row>
    <x:row r="652">
      <x:c r="A652" t="n">
        <x:v>651</x:v>
      </x:c>
      <x:c r="B652" t="n">
        <x:v>10077</x:v>
      </x:c>
      <x:c r="C652" s="16" t="n">
        <x:v>46293</x:v>
      </x:c>
      <x:c r="D652" t="str">
        <x:v>10:07:00</x:v>
      </x:c>
      <x:c r="E652" t="str">
        <x:v>Card</x:v>
      </x:c>
      <x:c r="F652" t="str">
        <x:v>Transfer</x:v>
      </x:c>
      <x:c r="G652" s="18" t="n">
        <x:v>407.5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10</x:v>
      </x:c>
      <x:c r="M652" t="n">
        <x:v>0</x:v>
      </x:c>
      <x:c r="N652" t="str">
        <x:v>Approved</x:v>
      </x:c>
      <x:c r="O652" t="n">
        <x:v>0</x:v>
      </x:c>
      <x:c r="P652" t="str">
        <x:f>IF(L652&gt;=75,"High",IF(L652&gt;=55,"Medium","Low"))</x:f>
        <x:v>Low</x:v>
      </x:c>
    </x:row>
    <x:row r="653">
      <x:c r="A653" t="n">
        <x:v>652</x:v>
      </x:c>
      <x:c r="B653" t="n">
        <x:v>10149</x:v>
      </x:c>
      <x:c r="C653" s="16" t="n">
        <x:v>46260</x:v>
      </x:c>
      <x:c r="D653" t="str">
        <x:v>07:09:00</x:v>
      </x:c>
      <x:c r="E653" t="str">
        <x:v>Bank Transfer</x:v>
      </x:c>
      <x:c r="F653" t="str">
        <x:v>Utilities</x:v>
      </x:c>
      <x:c r="G653" s="18" t="n">
        <x:v>17.34</x:v>
      </x:c>
      <x:c r="H653" t="n">
        <x:v>0</x:v>
      </x:c>
      <x:c r="I653" t="n">
        <x:v>0</x:v>
      </x:c>
      <x:c r="J653" t="n">
        <x:v>0</x:v>
      </x:c>
      <x:c r="K653" t="n">
        <x:v>0</x:v>
      </x:c>
      <x:c r="L653" t="n">
        <x:v>10</x:v>
      </x:c>
      <x:c r="M653" t="n">
        <x:v>0</x:v>
      </x:c>
      <x:c r="N653" t="str">
        <x:v>Approved</x:v>
      </x:c>
      <x:c r="O653" t="n">
        <x:v>0</x:v>
      </x:c>
      <x:c r="P653" t="str">
        <x:f>IF(L653&gt;=75,"High",IF(L653&gt;=55,"Medium","Low"))</x:f>
        <x:v>Low</x:v>
      </x:c>
    </x:row>
    <x:row r="654">
      <x:c r="A654" t="n">
        <x:v>653</x:v>
      </x:c>
      <x:c r="B654" t="n">
        <x:v>10315</x:v>
      </x:c>
      <x:c r="C654" s="16" t="n">
        <x:v>46134</x:v>
      </x:c>
      <x:c r="D654" t="str">
        <x:v>03:22:00</x:v>
      </x:c>
      <x:c r="E654" t="str">
        <x:v>P2P</x:v>
      </x:c>
      <x:c r="F654" t="str">
        <x:v>Utilities</x:v>
      </x:c>
      <x:c r="G654" s="18" t="n">
        <x:v>52.86</x:v>
      </x:c>
      <x:c r="H654" t="n">
        <x:v>0</x:v>
      </x:c>
      <x:c r="I654" t="n">
        <x:v>0</x:v>
      </x:c>
      <x:c r="J654" t="n">
        <x:v>0</x:v>
      </x:c>
      <x:c r="K654" t="n">
        <x:v>1</x:v>
      </x:c>
      <x:c r="L654" t="n">
        <x:v>25</x:v>
      </x:c>
      <x:c r="M654" t="n">
        <x:v>0</x:v>
      </x:c>
      <x:c r="N654" t="str">
        <x:v>Approved</x:v>
      </x:c>
      <x:c r="O654" t="n">
        <x:v>0</x:v>
      </x:c>
      <x:c r="P654" t="str">
        <x:f>IF(L654&gt;=75,"High",IF(L654&gt;=55,"Medium","Low"))</x:f>
        <x:v>Low</x:v>
      </x:c>
    </x:row>
    <x:row r="655">
      <x:c r="A655" t="n">
        <x:v>654</x:v>
      </x:c>
      <x:c r="B655" t="n">
        <x:v>10260</x:v>
      </x:c>
      <x:c r="C655" s="16" t="n">
        <x:v>46294</x:v>
      </x:c>
      <x:c r="D655" t="str">
        <x:v>10:21:00</x:v>
      </x:c>
      <x:c r="E655" t="str">
        <x:v>P2P</x:v>
      </x:c>
      <x:c r="F655" t="str">
        <x:v>Electronics</x:v>
      </x:c>
      <x:c r="G655" s="18" t="n">
        <x:v>66.51</x:v>
      </x:c>
      <x:c r="H655" t="n">
        <x:v>0</x:v>
      </x:c>
      <x:c r="I655" t="n">
        <x:v>1</x:v>
      </x:c>
      <x:c r="J655" t="n">
        <x:v>0</x:v>
      </x:c>
      <x:c r="K655" t="n">
        <x:v>0</x:v>
      </x:c>
      <x:c r="L655" t="n">
        <x:v>30</x:v>
      </x:c>
      <x:c r="M655" t="n">
        <x:v>0</x:v>
      </x:c>
      <x:c r="N655" t="str">
        <x:v>Approved</x:v>
      </x:c>
      <x:c r="O655" t="n">
        <x:v>0</x:v>
      </x:c>
      <x:c r="P655" t="str">
        <x:f>IF(L655&gt;=75,"High",IF(L655&gt;=55,"Medium","Low"))</x:f>
        <x:v>Low</x:v>
      </x:c>
    </x:row>
    <x:row r="656">
      <x:c r="A656" t="n">
        <x:v>655</x:v>
      </x:c>
      <x:c r="B656" t="n">
        <x:v>10264</x:v>
      </x:c>
      <x:c r="C656" s="16" t="n">
        <x:v>46218</x:v>
      </x:c>
      <x:c r="D656" t="str">
        <x:v>14:45:00</x:v>
      </x:c>
      <x:c r="E656" t="str">
        <x:v>Card</x:v>
      </x:c>
      <x:c r="F656" t="str">
        <x:v>Electronics</x:v>
      </x:c>
      <x:c r="G656" s="18" t="n">
        <x:v>90.55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10</x:v>
      </x:c>
      <x:c r="M656" t="n">
        <x:v>0</x:v>
      </x:c>
      <x:c r="N656" t="str">
        <x:v>Approved</x:v>
      </x:c>
      <x:c r="O656" t="n">
        <x:v>0</x:v>
      </x:c>
      <x:c r="P656" t="str">
        <x:f>IF(L656&gt;=75,"High",IF(L656&gt;=55,"Medium","Low"))</x:f>
        <x:v>Low</x:v>
      </x:c>
    </x:row>
    <x:row r="657">
      <x:c r="A657" t="n">
        <x:v>656</x:v>
      </x:c>
      <x:c r="B657" t="n">
        <x:v>10208</x:v>
      </x:c>
      <x:c r="C657" s="16" t="n">
        <x:v>46211</x:v>
      </x:c>
      <x:c r="D657" t="str">
        <x:v>03:11:00</x:v>
      </x:c>
      <x:c r="E657" t="str">
        <x:v>Bank Transfer</x:v>
      </x:c>
      <x:c r="F657" t="str">
        <x:v>Subscriptions</x:v>
      </x:c>
      <x:c r="G657" s="18" t="n">
        <x:v>200.02</x:v>
      </x:c>
      <x:c r="H657" t="n">
        <x:v>0</x:v>
      </x:c>
      <x:c r="I657" t="n">
        <x:v>0</x:v>
      </x:c>
      <x:c r="J657" t="n">
        <x:v>0</x:v>
      </x:c>
      <x:c r="K657" t="n">
        <x:v>1</x:v>
      </x:c>
      <x:c r="L657" t="n">
        <x:v>25</x:v>
      </x:c>
      <x:c r="M657" t="n">
        <x:v>0</x:v>
      </x:c>
      <x:c r="N657" t="str">
        <x:v>Approved</x:v>
      </x:c>
      <x:c r="O657" t="n">
        <x:v>0</x:v>
      </x:c>
      <x:c r="P657" t="str">
        <x:f>IF(L657&gt;=75,"High",IF(L657&gt;=55,"Medium","Low"))</x:f>
        <x:v>Low</x:v>
      </x:c>
    </x:row>
    <x:row r="658">
      <x:c r="A658" t="n">
        <x:v>657</x:v>
      </x:c>
      <x:c r="B658" t="n">
        <x:v>10047</x:v>
      </x:c>
      <x:c r="C658" s="16" t="n">
        <x:v>46269</x:v>
      </x:c>
      <x:c r="D658" t="str">
        <x:v>18:35:00</x:v>
      </x:c>
      <x:c r="E658" t="str">
        <x:v>Card</x:v>
      </x:c>
      <x:c r="F658" t="str">
        <x:v>Transfer</x:v>
      </x:c>
      <x:c r="G658" s="18" t="n">
        <x:v>152.87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10</x:v>
      </x:c>
      <x:c r="M658" t="n">
        <x:v>0</x:v>
      </x:c>
      <x:c r="N658" t="str">
        <x:v>Approved</x:v>
      </x:c>
      <x:c r="O658" t="n">
        <x:v>0</x:v>
      </x:c>
      <x:c r="P658" t="str">
        <x:f>IF(L658&gt;=75,"High",IF(L658&gt;=55,"Medium","Low"))</x:f>
        <x:v>Low</x:v>
      </x:c>
    </x:row>
    <x:row r="659">
      <x:c r="A659" t="n">
        <x:v>658</x:v>
      </x:c>
      <x:c r="B659" t="n">
        <x:v>10291</x:v>
      </x:c>
      <x:c r="C659" s="16" t="n">
        <x:v>46174</x:v>
      </x:c>
      <x:c r="D659" t="str">
        <x:v>01:51:00</x:v>
      </x:c>
      <x:c r="E659" t="str">
        <x:v>Bank Transfer</x:v>
      </x:c>
      <x:c r="F659" t="str">
        <x:v>Retail</x:v>
      </x:c>
      <x:c r="G659" s="18" t="n">
        <x:v>77.93</x:v>
      </x:c>
      <x:c r="H659" t="n">
        <x:v>1</x:v>
      </x:c>
      <x:c r="I659" t="n">
        <x:v>0</x:v>
      </x:c>
      <x:c r="J659" t="n">
        <x:v>0</x:v>
      </x:c>
      <x:c r="K659" t="n">
        <x:v>1</x:v>
      </x:c>
      <x:c r="L659" t="n">
        <x:v>51</x:v>
      </x:c>
      <x:c r="M659" t="n">
        <x:v>0</x:v>
      </x:c>
      <x:c r="N659" t="str">
        <x:v>Approved</x:v>
      </x:c>
      <x:c r="O659" t="n">
        <x:v>0</x:v>
      </x:c>
      <x:c r="P659" t="str">
        <x:f>IF(L659&gt;=75,"High",IF(L659&gt;=55,"Medium","Low"))</x:f>
        <x:v>Low</x:v>
      </x:c>
    </x:row>
    <x:row r="660">
      <x:c r="A660" t="n">
        <x:v>659</x:v>
      </x:c>
      <x:c r="B660" t="n">
        <x:v>10191</x:v>
      </x:c>
      <x:c r="C660" s="16" t="n">
        <x:v>46271</x:v>
      </x:c>
      <x:c r="D660" t="str">
        <x:v>09:38:00</x:v>
      </x:c>
      <x:c r="E660" t="str">
        <x:v>Card</x:v>
      </x:c>
      <x:c r="F660" t="str">
        <x:v>Dining</x:v>
      </x:c>
      <x:c r="G660" s="18" t="n">
        <x:v>63.63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10</x:v>
      </x:c>
      <x:c r="M660" t="n">
        <x:v>0</x:v>
      </x:c>
      <x:c r="N660" t="str">
        <x:v>Approved</x:v>
      </x:c>
      <x:c r="O660" t="n">
        <x:v>0</x:v>
      </x:c>
      <x:c r="P660" t="str">
        <x:f>IF(L660&gt;=75,"High",IF(L660&gt;=55,"Medium","Low"))</x:f>
        <x:v>Low</x:v>
      </x:c>
    </x:row>
    <x:row r="661">
      <x:c r="A661" t="n">
        <x:v>660</x:v>
      </x:c>
      <x:c r="B661" t="n">
        <x:v>10325</x:v>
      </x:c>
      <x:c r="C661" s="16" t="n">
        <x:v>46198</x:v>
      </x:c>
      <x:c r="D661" t="str">
        <x:v>10:14:00</x:v>
      </x:c>
      <x:c r="E661" t="str">
        <x:v>P2P</x:v>
      </x:c>
      <x:c r="F661" t="str">
        <x:v>Subscriptions</x:v>
      </x:c>
      <x:c r="G661" s="18" t="n">
        <x:v>53.76</x:v>
      </x:c>
      <x:c r="H661" t="n">
        <x:v>0</x:v>
      </x:c>
      <x:c r="I661" t="n">
        <x:v>0</x:v>
      </x:c>
      <x:c r="J661" t="n">
        <x:v>0</x:v>
      </x:c>
      <x:c r="K661" t="n">
        <x:v>0</x:v>
      </x:c>
      <x:c r="L661" t="n">
        <x:v>10</x:v>
      </x:c>
      <x:c r="M661" t="n">
        <x:v>0</x:v>
      </x:c>
      <x:c r="N661" t="str">
        <x:v>Approved</x:v>
      </x:c>
      <x:c r="O661" t="n">
        <x:v>0</x:v>
      </x:c>
      <x:c r="P661" t="str">
        <x:f>IF(L661&gt;=75,"High",IF(L661&gt;=55,"Medium","Low"))</x:f>
        <x:v>Low</x:v>
      </x:c>
    </x:row>
    <x:row r="662">
      <x:c r="A662" t="n">
        <x:v>661</x:v>
      </x:c>
      <x:c r="B662" t="n">
        <x:v>10144</x:v>
      </x:c>
      <x:c r="C662" s="16" t="n">
        <x:v>46184</x:v>
      </x:c>
      <x:c r="D662" t="str">
        <x:v>03:25:00</x:v>
      </x:c>
      <x:c r="E662" t="str">
        <x:v>P2P</x:v>
      </x:c>
      <x:c r="F662" t="str">
        <x:v>Dining</x:v>
      </x:c>
      <x:c r="G662" s="18" t="n">
        <x:v>162.98</x:v>
      </x:c>
      <x:c r="H662" t="n">
        <x:v>0</x:v>
      </x:c>
      <x:c r="I662" t="n">
        <x:v>0</x:v>
      </x:c>
      <x:c r="J662" t="n">
        <x:v>0</x:v>
      </x:c>
      <x:c r="K662" t="n">
        <x:v>1</x:v>
      </x:c>
      <x:c r="L662" t="n">
        <x:v>25</x:v>
      </x:c>
      <x:c r="M662" t="n">
        <x:v>0</x:v>
      </x:c>
      <x:c r="N662" t="str">
        <x:v>Approved</x:v>
      </x:c>
      <x:c r="O662" t="n">
        <x:v>0</x:v>
      </x:c>
      <x:c r="P662" t="str">
        <x:f>IF(L662&gt;=75,"High",IF(L662&gt;=55,"Medium","Low"))</x:f>
        <x:v>Low</x:v>
      </x:c>
    </x:row>
    <x:row r="663">
      <x:c r="A663" t="n">
        <x:v>662</x:v>
      </x:c>
      <x:c r="B663" t="n">
        <x:v>10055</x:v>
      </x:c>
      <x:c r="C663" s="16" t="n">
        <x:v>46233</x:v>
      </x:c>
      <x:c r="D663" t="str">
        <x:v>00:35:00</x:v>
      </x:c>
      <x:c r="E663" t="str">
        <x:v>Card</x:v>
      </x:c>
      <x:c r="F663" t="str">
        <x:v>Travel</x:v>
      </x:c>
      <x:c r="G663" s="18" t="n">
        <x:v>87.37</x:v>
      </x:c>
      <x:c r="H663" t="n">
        <x:v>0</x:v>
      </x:c>
      <x:c r="I663" t="n">
        <x:v>0</x:v>
      </x:c>
      <x:c r="J663" t="n">
        <x:v>0</x:v>
      </x:c>
      <x:c r="K663" t="n">
        <x:v>1</x:v>
      </x:c>
      <x:c r="L663" t="n">
        <x:v>25</x:v>
      </x:c>
      <x:c r="M663" t="n">
        <x:v>0</x:v>
      </x:c>
      <x:c r="N663" t="str">
        <x:v>Approved</x:v>
      </x:c>
      <x:c r="O663" t="n">
        <x:v>0</x:v>
      </x:c>
      <x:c r="P663" t="str">
        <x:f>IF(L663&gt;=75,"High",IF(L663&gt;=55,"Medium","Low"))</x:f>
        <x:v>Low</x:v>
      </x:c>
    </x:row>
    <x:row r="664">
      <x:c r="A664" t="n">
        <x:v>663</x:v>
      </x:c>
      <x:c r="B664" t="n">
        <x:v>10143</x:v>
      </x:c>
      <x:c r="C664" s="16" t="n">
        <x:v>46276</x:v>
      </x:c>
      <x:c r="D664" t="str">
        <x:v>00:29:00</x:v>
      </x:c>
      <x:c r="E664" t="str">
        <x:v>Card</x:v>
      </x:c>
      <x:c r="F664" t="str">
        <x:v>Retail</x:v>
      </x:c>
      <x:c r="G664" s="18" t="n">
        <x:v>30.85</x:v>
      </x:c>
      <x:c r="H664" t="n">
        <x:v>0</x:v>
      </x:c>
      <x:c r="I664" t="n">
        <x:v>0</x:v>
      </x:c>
      <x:c r="J664" t="n">
        <x:v>0</x:v>
      </x:c>
      <x:c r="K664" t="n">
        <x:v>1</x:v>
      </x:c>
      <x:c r="L664" t="n">
        <x:v>25</x:v>
      </x:c>
      <x:c r="M664" t="n">
        <x:v>0</x:v>
      </x:c>
      <x:c r="N664" t="str">
        <x:v>Approved</x:v>
      </x:c>
      <x:c r="O664" t="n">
        <x:v>0</x:v>
      </x:c>
      <x:c r="P664" t="str">
        <x:f>IF(L664&gt;=75,"High",IF(L664&gt;=55,"Medium","Low"))</x:f>
        <x:v>Low</x:v>
      </x:c>
    </x:row>
    <x:row r="665">
      <x:c r="A665" t="n">
        <x:v>664</x:v>
      </x:c>
      <x:c r="B665" t="n">
        <x:v>10006</x:v>
      </x:c>
      <x:c r="C665" s="16" t="n">
        <x:v>46231</x:v>
      </x:c>
      <x:c r="D665" t="str">
        <x:v>05:35:00</x:v>
      </x:c>
      <x:c r="E665" t="str">
        <x:v>Bank Transfer</x:v>
      </x:c>
      <x:c r="F665" t="str">
        <x:v>Utilities</x:v>
      </x:c>
      <x:c r="G665" s="18" t="n">
        <x:v>76.8</x:v>
      </x:c>
      <x:c r="H665" t="n">
        <x:v>1</x:v>
      </x:c>
      <x:c r="I665" t="n">
        <x:v>1</x:v>
      </x:c>
      <x:c r="J665" t="n">
        <x:v>0</x:v>
      </x:c>
      <x:c r="K665" t="n">
        <x:v>0</x:v>
      </x:c>
      <x:c r="L665" t="n">
        <x:v>56</x:v>
      </x:c>
      <x:c r="M665" t="n">
        <x:v>1</x:v>
      </x:c>
      <x:c r="N665" t="str">
        <x:v>Declined</x:v>
      </x:c>
      <x:c r="O665" t="n">
        <x:v>0</x:v>
      </x:c>
      <x:c r="P665" t="str">
        <x:f>IF(L665&gt;=75,"High",IF(L665&gt;=55,"Medium","Low"))</x:f>
        <x:v>Medium</x:v>
      </x:c>
    </x:row>
    <x:row r="666">
      <x:c r="A666" t="n">
        <x:v>665</x:v>
      </x:c>
      <x:c r="B666" t="n">
        <x:v>10028</x:v>
      </x:c>
      <x:c r="C666" s="16" t="n">
        <x:v>46212</x:v>
      </x:c>
      <x:c r="D666" t="str">
        <x:v>00:20:00</x:v>
      </x:c>
      <x:c r="E666" t="str">
        <x:v>Card</x:v>
      </x:c>
      <x:c r="F666" t="str">
        <x:v>Utilities</x:v>
      </x:c>
      <x:c r="G666" s="18" t="n">
        <x:v>146.42</x:v>
      </x:c>
      <x:c r="H666" t="n">
        <x:v>0</x:v>
      </x:c>
      <x:c r="I666" t="n">
        <x:v>0</x:v>
      </x:c>
      <x:c r="J666" t="n">
        <x:v>0</x:v>
      </x:c>
      <x:c r="K666" t="n">
        <x:v>1</x:v>
      </x:c>
      <x:c r="L666" t="n">
        <x:v>25</x:v>
      </x:c>
      <x:c r="M666" t="n">
        <x:v>0</x:v>
      </x:c>
      <x:c r="N666" t="str">
        <x:v>Approved</x:v>
      </x:c>
      <x:c r="O666" t="n">
        <x:v>0</x:v>
      </x:c>
      <x:c r="P666" t="str">
        <x:f>IF(L666&gt;=75,"High",IF(L666&gt;=55,"Medium","Low"))</x:f>
        <x:v>Low</x:v>
      </x:c>
    </x:row>
    <x:row r="667">
      <x:c r="A667" t="n">
        <x:v>666</x:v>
      </x:c>
      <x:c r="B667" t="n">
        <x:v>10034</x:v>
      </x:c>
      <x:c r="C667" s="16" t="n">
        <x:v>46257</x:v>
      </x:c>
      <x:c r="D667" t="str">
        <x:v>04:09:00</x:v>
      </x:c>
      <x:c r="E667" t="str">
        <x:v>Bank Transfer</x:v>
      </x:c>
      <x:c r="F667" t="str">
        <x:v>Utilities</x:v>
      </x:c>
      <x:c r="G667" s="18" t="n">
        <x:v>79.63</x:v>
      </x:c>
      <x:c r="H667" t="n">
        <x:v>1</x:v>
      </x:c>
      <x:c r="I667" t="n">
        <x:v>0</x:v>
      </x:c>
      <x:c r="J667" t="n">
        <x:v>0</x:v>
      </x:c>
      <x:c r="K667" t="n">
        <x:v>1</x:v>
      </x:c>
      <x:c r="L667" t="n">
        <x:v>51</x:v>
      </x:c>
      <x:c r="M667" t="n">
        <x:v>0</x:v>
      </x:c>
      <x:c r="N667" t="str">
        <x:v>Approved</x:v>
      </x:c>
      <x:c r="O667" t="n">
        <x:v>0</x:v>
      </x:c>
      <x:c r="P667" t="str">
        <x:f>IF(L667&gt;=75,"High",IF(L667&gt;=55,"Medium","Low"))</x:f>
        <x:v>Low</x:v>
      </x:c>
    </x:row>
    <x:row r="668">
      <x:c r="A668" t="n">
        <x:v>667</x:v>
      </x:c>
      <x:c r="B668" t="n">
        <x:v>10354</x:v>
      </x:c>
      <x:c r="C668" s="16" t="n">
        <x:v>46126</x:v>
      </x:c>
      <x:c r="D668" t="str">
        <x:v>14:30:00</x:v>
      </x:c>
      <x:c r="E668" t="str">
        <x:v>Bank Transfer</x:v>
      </x:c>
      <x:c r="F668" t="str">
        <x:v>Electronics</x:v>
      </x:c>
      <x:c r="G668" s="18" t="n">
        <x:v>22.78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10</x:v>
      </x:c>
      <x:c r="M668" t="n">
        <x:v>0</x:v>
      </x:c>
      <x:c r="N668" t="str">
        <x:v>Approved</x:v>
      </x:c>
      <x:c r="O668" t="n">
        <x:v>0</x:v>
      </x:c>
      <x:c r="P668" t="str">
        <x:f>IF(L668&gt;=75,"High",IF(L668&gt;=55,"Medium","Low"))</x:f>
        <x:v>Low</x:v>
      </x:c>
    </x:row>
    <x:row r="669">
      <x:c r="A669" t="n">
        <x:v>668</x:v>
      </x:c>
      <x:c r="B669" t="n">
        <x:v>10276</x:v>
      </x:c>
      <x:c r="C669" s="16" t="n">
        <x:v>46211</x:v>
      </x:c>
      <x:c r="D669" t="str">
        <x:v>23:06:00</x:v>
      </x:c>
      <x:c r="E669" t="str">
        <x:v>Card</x:v>
      </x:c>
      <x:c r="F669" t="str">
        <x:v>Transfer</x:v>
      </x:c>
      <x:c r="G669" s="18" t="n">
        <x:v>185.17</x:v>
      </x:c>
      <x:c r="H669" t="n">
        <x:v>1</x:v>
      </x:c>
      <x:c r="I669" t="n">
        <x:v>0</x:v>
      </x:c>
      <x:c r="J669" t="n">
        <x:v>0</x:v>
      </x:c>
      <x:c r="K669" t="n">
        <x:v>0</x:v>
      </x:c>
      <x:c r="L669" t="n">
        <x:v>36</x:v>
      </x:c>
      <x:c r="M669" t="n">
        <x:v>0</x:v>
      </x:c>
      <x:c r="N669" t="str">
        <x:v>Approved</x:v>
      </x:c>
      <x:c r="O669" t="n">
        <x:v>0</x:v>
      </x:c>
      <x:c r="P669" t="str">
        <x:f>IF(L669&gt;=75,"High",IF(L669&gt;=55,"Medium","Low"))</x:f>
        <x:v>Low</x:v>
      </x:c>
    </x:row>
    <x:row r="670">
      <x:c r="A670" t="n">
        <x:v>669</x:v>
      </x:c>
      <x:c r="B670" t="n">
        <x:v>10086</x:v>
      </x:c>
      <x:c r="C670" s="16" t="n">
        <x:v>46187</x:v>
      </x:c>
      <x:c r="D670" t="str">
        <x:v>01:52:00</x:v>
      </x:c>
      <x:c r="E670" t="str">
        <x:v>Bank Transfer</x:v>
      </x:c>
      <x:c r="F670" t="str">
        <x:v>Subscriptions</x:v>
      </x:c>
      <x:c r="G670" s="18" t="n">
        <x:v>91.67</x:v>
      </x:c>
      <x:c r="H670" t="n">
        <x:v>1</x:v>
      </x:c>
      <x:c r="I670" t="n">
        <x:v>0</x:v>
      </x:c>
      <x:c r="J670" t="n">
        <x:v>0</x:v>
      </x:c>
      <x:c r="K670" t="n">
        <x:v>1</x:v>
      </x:c>
      <x:c r="L670" t="n">
        <x:v>51</x:v>
      </x:c>
      <x:c r="M670" t="n">
        <x:v>0</x:v>
      </x:c>
      <x:c r="N670" t="str">
        <x:v>Approved</x:v>
      </x:c>
      <x:c r="O670" t="n">
        <x:v>0</x:v>
      </x:c>
      <x:c r="P670" t="str">
        <x:f>IF(L670&gt;=75,"High",IF(L670&gt;=55,"Medium","Low"))</x:f>
        <x:v>Low</x:v>
      </x:c>
    </x:row>
    <x:row r="671">
      <x:c r="A671" t="n">
        <x:v>670</x:v>
      </x:c>
      <x:c r="B671" t="n">
        <x:v>10181</x:v>
      </x:c>
      <x:c r="C671" s="16" t="n">
        <x:v>46205</x:v>
      </x:c>
      <x:c r="D671" t="str">
        <x:v>04:31:00</x:v>
      </x:c>
      <x:c r="E671" t="str">
        <x:v>Card</x:v>
      </x:c>
      <x:c r="F671" t="str">
        <x:v>Travel</x:v>
      </x:c>
      <x:c r="G671" s="18" t="n">
        <x:v>103.55</x:v>
      </x:c>
      <x:c r="H671" t="n">
        <x:v>0</x:v>
      </x:c>
      <x:c r="I671" t="n">
        <x:v>0</x:v>
      </x:c>
      <x:c r="J671" t="n">
        <x:v>0</x:v>
      </x:c>
      <x:c r="K671" t="n">
        <x:v>1</x:v>
      </x:c>
      <x:c r="L671" t="n">
        <x:v>25</x:v>
      </x:c>
      <x:c r="M671" t="n">
        <x:v>0</x:v>
      </x:c>
      <x:c r="N671" t="str">
        <x:v>Approved</x:v>
      </x:c>
      <x:c r="O671" t="n">
        <x:v>0</x:v>
      </x:c>
      <x:c r="P671" t="str">
        <x:f>IF(L671&gt;=75,"High",IF(L671&gt;=55,"Medium","Low"))</x:f>
        <x:v>Low</x:v>
      </x:c>
    </x:row>
    <x:row r="672">
      <x:c r="A672" t="n">
        <x:v>671</x:v>
      </x:c>
      <x:c r="B672" t="n">
        <x:v>10083</x:v>
      </x:c>
      <x:c r="C672" s="16" t="n">
        <x:v>46289</x:v>
      </x:c>
      <x:c r="D672" t="str">
        <x:v>00:08:00</x:v>
      </x:c>
      <x:c r="E672" t="str">
        <x:v>Bank Transfer</x:v>
      </x:c>
      <x:c r="F672" t="str">
        <x:v>Electronics</x:v>
      </x:c>
      <x:c r="G672" s="18" t="n">
        <x:v>90.85</x:v>
      </x:c>
      <x:c r="H672" t="n">
        <x:v>0</x:v>
      </x:c>
      <x:c r="I672" t="n">
        <x:v>0</x:v>
      </x:c>
      <x:c r="J672" t="n">
        <x:v>0</x:v>
      </x:c>
      <x:c r="K672" t="n">
        <x:v>1</x:v>
      </x:c>
      <x:c r="L672" t="n">
        <x:v>25</x:v>
      </x:c>
      <x:c r="M672" t="n">
        <x:v>0</x:v>
      </x:c>
      <x:c r="N672" t="str">
        <x:v>Approved</x:v>
      </x:c>
      <x:c r="O672" t="n">
        <x:v>0</x:v>
      </x:c>
      <x:c r="P672" t="str">
        <x:f>IF(L672&gt;=75,"High",IF(L672&gt;=55,"Medium","Low"))</x:f>
        <x:v>Low</x:v>
      </x:c>
    </x:row>
    <x:row r="673">
      <x:c r="A673" t="n">
        <x:v>672</x:v>
      </x:c>
      <x:c r="B673" t="n">
        <x:v>10212</x:v>
      </x:c>
      <x:c r="C673" s="16" t="n">
        <x:v>46143</x:v>
      </x:c>
      <x:c r="D673" t="str">
        <x:v>08:19:00</x:v>
      </x:c>
      <x:c r="E673" t="str">
        <x:v>Card</x:v>
      </x:c>
      <x:c r="F673" t="str">
        <x:v>Subscriptions</x:v>
      </x:c>
      <x:c r="G673" s="18" t="n">
        <x:v>112.91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10</x:v>
      </x:c>
      <x:c r="M673" t="n">
        <x:v>0</x:v>
      </x:c>
      <x:c r="N673" t="str">
        <x:v>Approved</x:v>
      </x:c>
      <x:c r="O673" t="n">
        <x:v>0</x:v>
      </x:c>
      <x:c r="P673" t="str">
        <x:f>IF(L673&gt;=75,"High",IF(L673&gt;=55,"Medium","Low"))</x:f>
        <x:v>Low</x:v>
      </x:c>
    </x:row>
    <x:row r="674">
      <x:c r="A674" t="n">
        <x:v>673</x:v>
      </x:c>
      <x:c r="B674" t="n">
        <x:v>10120</x:v>
      </x:c>
      <x:c r="C674" s="16" t="n">
        <x:v>46295</x:v>
      </x:c>
      <x:c r="D674" t="str">
        <x:v>00:47:00</x:v>
      </x:c>
      <x:c r="E674" t="str">
        <x:v>Card</x:v>
      </x:c>
      <x:c r="F674" t="str">
        <x:v>Dining</x:v>
      </x:c>
      <x:c r="G674" s="18" t="n">
        <x:v>134.08</x:v>
      </x:c>
      <x:c r="H674" t="n">
        <x:v>0</x:v>
      </x:c>
      <x:c r="I674" t="n">
        <x:v>0</x:v>
      </x:c>
      <x:c r="J674" t="n">
        <x:v>0</x:v>
      </x:c>
      <x:c r="K674" t="n">
        <x:v>1</x:v>
      </x:c>
      <x:c r="L674" t="n">
        <x:v>25</x:v>
      </x:c>
      <x:c r="M674" t="n">
        <x:v>0</x:v>
      </x:c>
      <x:c r="N674" t="str">
        <x:v>Approved</x:v>
      </x:c>
      <x:c r="O674" t="n">
        <x:v>0</x:v>
      </x:c>
      <x:c r="P674" t="str">
        <x:f>IF(L674&gt;=75,"High",IF(L674&gt;=55,"Medium","Low"))</x:f>
        <x:v>Low</x:v>
      </x:c>
    </x:row>
    <x:row r="675">
      <x:c r="A675" t="n">
        <x:v>674</x:v>
      </x:c>
      <x:c r="B675" t="n">
        <x:v>10178</x:v>
      </x:c>
      <x:c r="C675" s="16" t="n">
        <x:v>46214</x:v>
      </x:c>
      <x:c r="D675" t="str">
        <x:v>00:00:00</x:v>
      </x:c>
      <x:c r="E675" t="str">
        <x:v>Card</x:v>
      </x:c>
      <x:c r="F675" t="str">
        <x:v>Retail</x:v>
      </x:c>
      <x:c r="G675" s="18" t="n">
        <x:v>139.34</x:v>
      </x:c>
      <x:c r="H675" t="n">
        <x:v>0</x:v>
      </x:c>
      <x:c r="I675" t="n">
        <x:v>0</x:v>
      </x:c>
      <x:c r="J675" t="n">
        <x:v>0</x:v>
      </x:c>
      <x:c r="K675" t="n">
        <x:v>1</x:v>
      </x:c>
      <x:c r="L675" t="n">
        <x:v>25</x:v>
      </x:c>
      <x:c r="M675" t="n">
        <x:v>0</x:v>
      </x:c>
      <x:c r="N675" t="str">
        <x:v>Declined</x:v>
      </x:c>
      <x:c r="O675" t="n">
        <x:v>0</x:v>
      </x:c>
      <x:c r="P675" t="str">
        <x:f>IF(L675&gt;=75,"High",IF(L675&gt;=55,"Medium","Low"))</x:f>
        <x:v>Low</x:v>
      </x:c>
    </x:row>
    <x:row r="676">
      <x:c r="A676" t="n">
        <x:v>675</x:v>
      </x:c>
      <x:c r="B676" t="n">
        <x:v>10139</x:v>
      </x:c>
      <x:c r="C676" s="16" t="n">
        <x:v>46145</x:v>
      </x:c>
      <x:c r="D676" t="str">
        <x:v>13:48:00</x:v>
      </x:c>
      <x:c r="E676" t="str">
        <x:v>P2P</x:v>
      </x:c>
      <x:c r="F676" t="str">
        <x:v>Retail</x:v>
      </x:c>
      <x:c r="G676" s="18" t="n">
        <x:v>673.05</x:v>
      </x:c>
      <x:c r="H676" t="n">
        <x:v>0</x:v>
      </x:c>
      <x:c r="I676" t="n">
        <x:v>0</x:v>
      </x:c>
      <x:c r="J676" t="n">
        <x:v>1</x:v>
      </x:c>
      <x:c r="K676" t="n">
        <x:v>0</x:v>
      </x:c>
      <x:c r="L676" t="n">
        <x:v>44</x:v>
      </x:c>
      <x:c r="M676" t="n">
        <x:v>0</x:v>
      </x:c>
      <x:c r="N676" t="str">
        <x:v>Approved</x:v>
      </x:c>
      <x:c r="O676" t="n">
        <x:v>0</x:v>
      </x:c>
      <x:c r="P676" t="str">
        <x:f>IF(L676&gt;=75,"High",IF(L676&gt;=55,"Medium","Low"))</x:f>
        <x:v>Low</x:v>
      </x:c>
    </x:row>
    <x:row r="677">
      <x:c r="A677" t="n">
        <x:v>676</x:v>
      </x:c>
      <x:c r="B677" t="n">
        <x:v>10343</x:v>
      </x:c>
      <x:c r="C677" s="16" t="n">
        <x:v>46249</x:v>
      </x:c>
      <x:c r="D677" t="str">
        <x:v>00:04:00</x:v>
      </x:c>
      <x:c r="E677" t="str">
        <x:v>Bank Transfer</x:v>
      </x:c>
      <x:c r="F677" t="str">
        <x:v>Travel</x:v>
      </x:c>
      <x:c r="G677" s="18" t="n">
        <x:v>725.52</x:v>
      </x:c>
      <x:c r="H677" t="n">
        <x:v>0</x:v>
      </x:c>
      <x:c r="I677" t="n">
        <x:v>0</x:v>
      </x:c>
      <x:c r="J677" t="n">
        <x:v>1</x:v>
      </x:c>
      <x:c r="K677" t="n">
        <x:v>1</x:v>
      </x:c>
      <x:c r="L677" t="n">
        <x:v>59</x:v>
      </x:c>
      <x:c r="M677" t="n">
        <x:v>1</x:v>
      </x:c>
      <x:c r="N677" t="str">
        <x:v>Approved</x:v>
      </x:c>
      <x:c r="O677" t="n">
        <x:v>0</x:v>
      </x:c>
      <x:c r="P677" t="str">
        <x:f>IF(L677&gt;=75,"High",IF(L677&gt;=55,"Medium","Low"))</x:f>
        <x:v>Medium</x:v>
      </x:c>
    </x:row>
    <x:row r="678">
      <x:c r="A678" t="n">
        <x:v>677</x:v>
      </x:c>
      <x:c r="B678" t="n">
        <x:v>10094</x:v>
      </x:c>
      <x:c r="C678" s="16" t="n">
        <x:v>46181</x:v>
      </x:c>
      <x:c r="D678" t="str">
        <x:v>21:59:00</x:v>
      </x:c>
      <x:c r="E678" t="str">
        <x:v>P2P</x:v>
      </x:c>
      <x:c r="F678" t="str">
        <x:v>Utilities</x:v>
      </x:c>
      <x:c r="G678" s="18" t="n">
        <x:v>29.03</x:v>
      </x:c>
      <x:c r="H678" t="n">
        <x:v>0</x:v>
      </x:c>
      <x:c r="I678" t="n">
        <x:v>0</x:v>
      </x:c>
      <x:c r="J678" t="n">
        <x:v>0</x:v>
      </x:c>
      <x:c r="K678" t="n">
        <x:v>0</x:v>
      </x:c>
      <x:c r="L678" t="n">
        <x:v>10</x:v>
      </x:c>
      <x:c r="M678" t="n">
        <x:v>0</x:v>
      </x:c>
      <x:c r="N678" t="str">
        <x:v>Approved</x:v>
      </x:c>
      <x:c r="O678" t="n">
        <x:v>0</x:v>
      </x:c>
      <x:c r="P678" t="str">
        <x:f>IF(L678&gt;=75,"High",IF(L678&gt;=55,"Medium","Low"))</x:f>
        <x:v>Low</x:v>
      </x:c>
    </x:row>
    <x:row r="679">
      <x:c r="A679" t="n">
        <x:v>678</x:v>
      </x:c>
      <x:c r="B679" t="n">
        <x:v>10317</x:v>
      </x:c>
      <x:c r="C679" s="16" t="n">
        <x:v>46144</x:v>
      </x:c>
      <x:c r="D679" t="str">
        <x:v>12:27:00</x:v>
      </x:c>
      <x:c r="E679" t="str">
        <x:v>Card</x:v>
      </x:c>
      <x:c r="F679" t="str">
        <x:v>Electronics</x:v>
      </x:c>
      <x:c r="G679" s="18" t="n">
        <x:v>50.9</x:v>
      </x:c>
      <x:c r="H679" t="n">
        <x:v>0</x:v>
      </x:c>
      <x:c r="I679" t="n">
        <x:v>1</x:v>
      </x:c>
      <x:c r="J679" t="n">
        <x:v>0</x:v>
      </x:c>
      <x:c r="K679" t="n">
        <x:v>0</x:v>
      </x:c>
      <x:c r="L679" t="n">
        <x:v>30</x:v>
      </x:c>
      <x:c r="M679" t="n">
        <x:v>0</x:v>
      </x:c>
      <x:c r="N679" t="str">
        <x:v>Approved</x:v>
      </x:c>
      <x:c r="O679" t="n">
        <x:v>0</x:v>
      </x:c>
      <x:c r="P679" t="str">
        <x:f>IF(L679&gt;=75,"High",IF(L679&gt;=55,"Medium","Low"))</x:f>
        <x:v>Low</x:v>
      </x:c>
    </x:row>
    <x:row r="680">
      <x:c r="A680" t="n">
        <x:v>679</x:v>
      </x:c>
      <x:c r="B680" t="n">
        <x:v>10252</x:v>
      </x:c>
      <x:c r="C680" s="16" t="n">
        <x:v>46119</x:v>
      </x:c>
      <x:c r="D680" t="str">
        <x:v>13:24:00</x:v>
      </x:c>
      <x:c r="E680" t="str">
        <x:v>P2P</x:v>
      </x:c>
      <x:c r="F680" t="str">
        <x:v>Electronics</x:v>
      </x:c>
      <x:c r="G680" s="18" t="n">
        <x:v>87.42</x:v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n">
        <x:v>10</x:v>
      </x:c>
      <x:c r="M680" t="n">
        <x:v>0</x:v>
      </x:c>
      <x:c r="N680" t="str">
        <x:v>Approved</x:v>
      </x:c>
      <x:c r="O680" t="n">
        <x:v>0</x:v>
      </x:c>
      <x:c r="P680" t="str">
        <x:f>IF(L680&gt;=75,"High",IF(L680&gt;=55,"Medium","Low"))</x:f>
        <x:v>Low</x:v>
      </x:c>
    </x:row>
    <x:row r="681">
      <x:c r="A681" t="n">
        <x:v>680</x:v>
      </x:c>
      <x:c r="B681" t="n">
        <x:v>10307</x:v>
      </x:c>
      <x:c r="C681" s="16" t="n">
        <x:v>46129</x:v>
      </x:c>
      <x:c r="D681" t="str">
        <x:v>04:18:00</x:v>
      </x:c>
      <x:c r="E681" t="str">
        <x:v>Card</x:v>
      </x:c>
      <x:c r="F681" t="str">
        <x:v>Electronics</x:v>
      </x:c>
      <x:c r="G681" s="18" t="n">
        <x:v>244.41</x:v>
      </x:c>
      <x:c r="H681" t="n">
        <x:v>0</x:v>
      </x:c>
      <x:c r="I681" t="n">
        <x:v>0</x:v>
      </x:c>
      <x:c r="J681" t="n">
        <x:v>0</x:v>
      </x:c>
      <x:c r="K681" t="n">
        <x:v>1</x:v>
      </x:c>
      <x:c r="L681" t="n">
        <x:v>25</x:v>
      </x:c>
      <x:c r="M681" t="n">
        <x:v>0</x:v>
      </x:c>
      <x:c r="N681" t="str">
        <x:v>Approved</x:v>
      </x:c>
      <x:c r="O681" t="n">
        <x:v>0</x:v>
      </x:c>
      <x:c r="P681" t="str">
        <x:f>IF(L681&gt;=75,"High",IF(L681&gt;=55,"Medium","Low"))</x:f>
        <x:v>Low</x:v>
      </x:c>
    </x:row>
    <x:row r="682">
      <x:c r="A682" t="n">
        <x:v>681</x:v>
      </x:c>
      <x:c r="B682" t="n">
        <x:v>10033</x:v>
      </x:c>
      <x:c r="C682" s="16" t="n">
        <x:v>46126</x:v>
      </x:c>
      <x:c r="D682" t="str">
        <x:v>12:03:00</x:v>
      </x:c>
      <x:c r="E682" t="str">
        <x:v>Card</x:v>
      </x:c>
      <x:c r="F682" t="str">
        <x:v>Electronics</x:v>
      </x:c>
      <x:c r="G682" s="18" t="n">
        <x:v>210.81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10</x:v>
      </x:c>
      <x:c r="M682" t="n">
        <x:v>0</x:v>
      </x:c>
      <x:c r="N682" t="str">
        <x:v>Approved</x:v>
      </x:c>
      <x:c r="O682" t="n">
        <x:v>0</x:v>
      </x:c>
      <x:c r="P682" t="str">
        <x:f>IF(L682&gt;=75,"High",IF(L682&gt;=55,"Medium","Low"))</x:f>
        <x:v>Low</x:v>
      </x:c>
    </x:row>
    <x:row r="683">
      <x:c r="A683" t="n">
        <x:v>682</x:v>
      </x:c>
      <x:c r="B683" t="n">
        <x:v>10284</x:v>
      </x:c>
      <x:c r="C683" s="16" t="n">
        <x:v>46210</x:v>
      </x:c>
      <x:c r="D683" t="str">
        <x:v>00:53:00</x:v>
      </x:c>
      <x:c r="E683" t="str">
        <x:v>P2P</x:v>
      </x:c>
      <x:c r="F683" t="str">
        <x:v>Utilities</x:v>
      </x:c>
      <x:c r="G683" s="18" t="n">
        <x:v>136.41</x:v>
      </x:c>
      <x:c r="H683" t="n">
        <x:v>0</x:v>
      </x:c>
      <x:c r="I683" t="n">
        <x:v>0</x:v>
      </x:c>
      <x:c r="J683" t="n">
        <x:v>0</x:v>
      </x:c>
      <x:c r="K683" t="n">
        <x:v>1</x:v>
      </x:c>
      <x:c r="L683" t="n">
        <x:v>25</x:v>
      </x:c>
      <x:c r="M683" t="n">
        <x:v>0</x:v>
      </x:c>
      <x:c r="N683" t="str">
        <x:v>Approved</x:v>
      </x:c>
      <x:c r="O683" t="n">
        <x:v>0</x:v>
      </x:c>
      <x:c r="P683" t="str">
        <x:f>IF(L683&gt;=75,"High",IF(L683&gt;=55,"Medium","Low"))</x:f>
        <x:v>Low</x:v>
      </x:c>
    </x:row>
    <x:row r="684">
      <x:c r="A684" t="n">
        <x:v>683</x:v>
      </x:c>
      <x:c r="B684" t="n">
        <x:v>10344</x:v>
      </x:c>
      <x:c r="C684" s="16" t="n">
        <x:v>46184</x:v>
      </x:c>
      <x:c r="D684" t="str">
        <x:v>01:32:00</x:v>
      </x:c>
      <x:c r="E684" t="str">
        <x:v>P2P</x:v>
      </x:c>
      <x:c r="F684" t="str">
        <x:v>Transfer</x:v>
      </x:c>
      <x:c r="G684" s="18" t="n">
        <x:v>70.84</x:v>
      </x:c>
      <x:c r="H684" t="n">
        <x:v>0</x:v>
      </x:c>
      <x:c r="I684" t="n">
        <x:v>0</x:v>
      </x:c>
      <x:c r="J684" t="n">
        <x:v>0</x:v>
      </x:c>
      <x:c r="K684" t="n">
        <x:v>1</x:v>
      </x:c>
      <x:c r="L684" t="n">
        <x:v>25</x:v>
      </x:c>
      <x:c r="M684" t="n">
        <x:v>0</x:v>
      </x:c>
      <x:c r="N684" t="str">
        <x:v>Approved</x:v>
      </x:c>
      <x:c r="O684" t="n">
        <x:v>0</x:v>
      </x:c>
      <x:c r="P684" t="str">
        <x:f>IF(L684&gt;=75,"High",IF(L684&gt;=55,"Medium","Low"))</x:f>
        <x:v>Low</x:v>
      </x:c>
    </x:row>
    <x:row r="685">
      <x:c r="A685" t="n">
        <x:v>684</x:v>
      </x:c>
      <x:c r="B685" t="n">
        <x:v>10163</x:v>
      </x:c>
      <x:c r="C685" s="16" t="n">
        <x:v>46129</x:v>
      </x:c>
      <x:c r="D685" t="str">
        <x:v>21:22:00</x:v>
      </x:c>
      <x:c r="E685" t="str">
        <x:v>Bank Transfer</x:v>
      </x:c>
      <x:c r="F685" t="str">
        <x:v>Dining</x:v>
      </x:c>
      <x:c r="G685" s="18" t="n">
        <x:v>1008.66</x:v>
      </x:c>
      <x:c r="H685" t="n">
        <x:v>1</x:v>
      </x:c>
      <x:c r="I685" t="n">
        <x:v>1</x:v>
      </x:c>
      <x:c r="J685" t="n">
        <x:v>1</x:v>
      </x:c>
      <x:c r="K685" t="n">
        <x:v>0</x:v>
      </x:c>
      <x:c r="L685" t="n">
        <x:v>90</x:v>
      </x:c>
      <x:c r="M685" t="n">
        <x:v>1</x:v>
      </x:c>
      <x:c r="N685" t="str">
        <x:v>Declined</x:v>
      </x:c>
      <x:c r="O685" t="n">
        <x:v>0</x:v>
      </x:c>
      <x:c r="P685" t="str">
        <x:f>IF(L685&gt;=75,"High",IF(L685&gt;=55,"Medium","Low"))</x:f>
        <x:v>High</x:v>
      </x:c>
    </x:row>
    <x:row r="686">
      <x:c r="A686" t="n">
        <x:v>685</x:v>
      </x:c>
      <x:c r="B686" t="n">
        <x:v>10119</x:v>
      </x:c>
      <x:c r="C686" s="16" t="n">
        <x:v>46164</x:v>
      </x:c>
      <x:c r="D686" t="str">
        <x:v>16:12:00</x:v>
      </x:c>
      <x:c r="E686" t="str">
        <x:v>Card</x:v>
      </x:c>
      <x:c r="F686" t="str">
        <x:v>Utilities</x:v>
      </x:c>
      <x:c r="G686" s="18" t="n">
        <x:v>1120.27</x:v>
      </x:c>
      <x:c r="H686" t="n">
        <x:v>0</x:v>
      </x:c>
      <x:c r="I686" t="n">
        <x:v>1</x:v>
      </x:c>
      <x:c r="J686" t="n">
        <x:v>1</x:v>
      </x:c>
      <x:c r="K686" t="n">
        <x:v>0</x:v>
      </x:c>
      <x:c r="L686" t="n">
        <x:v>64</x:v>
      </x:c>
      <x:c r="M686" t="n">
        <x:v>1</x:v>
      </x:c>
      <x:c r="N686" t="str">
        <x:v>Declined</x:v>
      </x:c>
      <x:c r="O686" t="n">
        <x:v>0</x:v>
      </x:c>
      <x:c r="P686" t="str">
        <x:f>IF(L686&gt;=75,"High",IF(L686&gt;=55,"Medium","Low"))</x:f>
        <x:v>Medium</x:v>
      </x:c>
    </x:row>
    <x:row r="687">
      <x:c r="A687" t="n">
        <x:v>686</x:v>
      </x:c>
      <x:c r="B687" t="n">
        <x:v>10233</x:v>
      </x:c>
      <x:c r="C687" s="16" t="n">
        <x:v>46243</x:v>
      </x:c>
      <x:c r="D687" t="str">
        <x:v>06:22:00</x:v>
      </x:c>
      <x:c r="E687" t="str">
        <x:v>Bank Transfer</x:v>
      </x:c>
      <x:c r="F687" t="str">
        <x:v>Subscriptions</x:v>
      </x:c>
      <x:c r="G687" s="18" t="n">
        <x:v>27.7</x:v>
      </x:c>
      <x:c r="H687" t="n">
        <x:v>1</x:v>
      </x:c>
      <x:c r="I687" t="n">
        <x:v>1</x:v>
      </x:c>
      <x:c r="J687" t="n">
        <x:v>0</x:v>
      </x:c>
      <x:c r="K687" t="n">
        <x:v>0</x:v>
      </x:c>
      <x:c r="L687" t="n">
        <x:v>56</x:v>
      </x:c>
      <x:c r="M687" t="n">
        <x:v>1</x:v>
      </x:c>
      <x:c r="N687" t="str">
        <x:v>Declined</x:v>
      </x:c>
      <x:c r="O687" t="n">
        <x:v>0</x:v>
      </x:c>
      <x:c r="P687" t="str">
        <x:f>IF(L687&gt;=75,"High",IF(L687&gt;=55,"Medium","Low"))</x:f>
        <x:v>Medium</x:v>
      </x:c>
    </x:row>
    <x:row r="688">
      <x:c r="A688" t="n">
        <x:v>687</x:v>
      </x:c>
      <x:c r="B688" t="n">
        <x:v>10099</x:v>
      </x:c>
      <x:c r="C688" s="16" t="n">
        <x:v>46206</x:v>
      </x:c>
      <x:c r="D688" t="str">
        <x:v>10:08:00</x:v>
      </x:c>
      <x:c r="E688" t="str">
        <x:v>Bank Transfer</x:v>
      </x:c>
      <x:c r="F688" t="str">
        <x:v>Utilities</x:v>
      </x:c>
      <x:c r="G688" s="18" t="n">
        <x:v>19.95</x:v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n">
        <x:v>10</x:v>
      </x:c>
      <x:c r="M688" t="n">
        <x:v>0</x:v>
      </x:c>
      <x:c r="N688" t="str">
        <x:v>Approved</x:v>
      </x:c>
      <x:c r="O688" t="n">
        <x:v>0</x:v>
      </x:c>
      <x:c r="P688" t="str">
        <x:f>IF(L688&gt;=75,"High",IF(L688&gt;=55,"Medium","Low"))</x:f>
        <x:v>Low</x:v>
      </x:c>
    </x:row>
    <x:row r="689">
      <x:c r="A689" t="n">
        <x:v>688</x:v>
      </x:c>
      <x:c r="B689" t="n">
        <x:v>10031</x:v>
      </x:c>
      <x:c r="C689" s="16" t="n">
        <x:v>46159</x:v>
      </x:c>
      <x:c r="D689" t="str">
        <x:v>13:00:00</x:v>
      </x:c>
      <x:c r="E689" t="str">
        <x:v>Card</x:v>
      </x:c>
      <x:c r="F689" t="str">
        <x:v>Dining</x:v>
      </x:c>
      <x:c r="G689" s="18" t="n">
        <x:v>172.12</x:v>
      </x:c>
      <x:c r="H689" t="n">
        <x:v>0</x:v>
      </x:c>
      <x:c r="I689" t="n">
        <x:v>1</x:v>
      </x:c>
      <x:c r="J689" t="n">
        <x:v>0</x:v>
      </x:c>
      <x:c r="K689" t="n">
        <x:v>0</x:v>
      </x:c>
      <x:c r="L689" t="n">
        <x:v>30</x:v>
      </x:c>
      <x:c r="M689" t="n">
        <x:v>0</x:v>
      </x:c>
      <x:c r="N689" t="str">
        <x:v>Approved</x:v>
      </x:c>
      <x:c r="O689" t="n">
        <x:v>0</x:v>
      </x:c>
      <x:c r="P689" t="str">
        <x:f>IF(L689&gt;=75,"High",IF(L689&gt;=55,"Medium","Low"))</x:f>
        <x:v>Low</x:v>
      </x:c>
    </x:row>
    <x:row r="690">
      <x:c r="A690" t="n">
        <x:v>689</x:v>
      </x:c>
      <x:c r="B690" t="n">
        <x:v>10041</x:v>
      </x:c>
      <x:c r="C690" s="16" t="n">
        <x:v>46144</x:v>
      </x:c>
      <x:c r="D690" t="str">
        <x:v>01:55:00</x:v>
      </x:c>
      <x:c r="E690" t="str">
        <x:v>Card</x:v>
      </x:c>
      <x:c r="F690" t="str">
        <x:v>Electronics</x:v>
      </x:c>
      <x:c r="G690" s="18" t="n">
        <x:v>136.49</x:v>
      </x:c>
      <x:c r="H690" t="n">
        <x:v>0</x:v>
      </x:c>
      <x:c r="I690" t="n">
        <x:v>0</x:v>
      </x:c>
      <x:c r="J690" t="n">
        <x:v>0</x:v>
      </x:c>
      <x:c r="K690" t="n">
        <x:v>1</x:v>
      </x:c>
      <x:c r="L690" t="n">
        <x:v>25</x:v>
      </x:c>
      <x:c r="M690" t="n">
        <x:v>0</x:v>
      </x:c>
      <x:c r="N690" t="str">
        <x:v>Approved</x:v>
      </x:c>
      <x:c r="O690" t="n">
        <x:v>0</x:v>
      </x:c>
      <x:c r="P690" t="str">
        <x:f>IF(L690&gt;=75,"High",IF(L690&gt;=55,"Medium","Low"))</x:f>
        <x:v>Low</x:v>
      </x:c>
    </x:row>
    <x:row r="691">
      <x:c r="A691" t="n">
        <x:v>690</x:v>
      </x:c>
      <x:c r="B691" t="n">
        <x:v>10101</x:v>
      </x:c>
      <x:c r="C691" s="16" t="n">
        <x:v>46247</x:v>
      </x:c>
      <x:c r="D691" t="str">
        <x:v>04:06:00</x:v>
      </x:c>
      <x:c r="E691" t="str">
        <x:v>Card</x:v>
      </x:c>
      <x:c r="F691" t="str">
        <x:v>Retail</x:v>
      </x:c>
      <x:c r="G691" s="18" t="n">
        <x:v>523.23</x:v>
      </x:c>
      <x:c r="H691" t="n">
        <x:v>1</x:v>
      </x:c>
      <x:c r="I691" t="n">
        <x:v>0</x:v>
      </x:c>
      <x:c r="J691" t="n">
        <x:v>0</x:v>
      </x:c>
      <x:c r="K691" t="n">
        <x:v>1</x:v>
      </x:c>
      <x:c r="L691" t="n">
        <x:v>51</x:v>
      </x:c>
      <x:c r="M691" t="n">
        <x:v>0</x:v>
      </x:c>
      <x:c r="N691" t="str">
        <x:v>Approved</x:v>
      </x:c>
      <x:c r="O691" t="n">
        <x:v>0</x:v>
      </x:c>
      <x:c r="P691" t="str">
        <x:f>IF(L691&gt;=75,"High",IF(L691&gt;=55,"Medium","Low"))</x:f>
        <x:v>Low</x:v>
      </x:c>
    </x:row>
    <x:row r="692">
      <x:c r="A692" t="n">
        <x:v>691</x:v>
      </x:c>
      <x:c r="B692" t="n">
        <x:v>10136</x:v>
      </x:c>
      <x:c r="C692" s="16" t="n">
        <x:v>46242</x:v>
      </x:c>
      <x:c r="D692" t="str">
        <x:v>08:01:00</x:v>
      </x:c>
      <x:c r="E692" t="str">
        <x:v>Bank Transfer</x:v>
      </x:c>
      <x:c r="F692" t="str">
        <x:v>Travel</x:v>
      </x:c>
      <x:c r="G692" s="18" t="n">
        <x:v>471.89</x:v>
      </x:c>
      <x:c r="H692" t="n">
        <x:v>1</x:v>
      </x:c>
      <x:c r="I692" t="n">
        <x:v>0</x:v>
      </x:c>
      <x:c r="J692" t="n">
        <x:v>0</x:v>
      </x:c>
      <x:c r="K692" t="n">
        <x:v>0</x:v>
      </x:c>
      <x:c r="L692" t="n">
        <x:v>36</x:v>
      </x:c>
      <x:c r="M692" t="n">
        <x:v>0</x:v>
      </x:c>
      <x:c r="N692" t="str">
        <x:v>Approved</x:v>
      </x:c>
      <x:c r="O692" t="n">
        <x:v>0</x:v>
      </x:c>
      <x:c r="P692" t="str">
        <x:f>IF(L692&gt;=75,"High",IF(L692&gt;=55,"Medium","Low"))</x:f>
        <x:v>Low</x:v>
      </x:c>
    </x:row>
    <x:row r="693">
      <x:c r="A693" t="n">
        <x:v>692</x:v>
      </x:c>
      <x:c r="B693" t="n">
        <x:v>10160</x:v>
      </x:c>
      <x:c r="C693" s="16" t="n">
        <x:v>46259</x:v>
      </x:c>
      <x:c r="D693" t="str">
        <x:v>16:00:00</x:v>
      </x:c>
      <x:c r="E693" t="str">
        <x:v>Card</x:v>
      </x:c>
      <x:c r="F693" t="str">
        <x:v>Electronics</x:v>
      </x:c>
      <x:c r="G693" s="18" t="n">
        <x:v>13.72</x:v>
      </x:c>
      <x:c r="H693" t="n">
        <x:v>0</x:v>
      </x:c>
      <x:c r="I693" t="n">
        <x:v>1</x:v>
      </x:c>
      <x:c r="J693" t="n">
        <x:v>0</x:v>
      </x:c>
      <x:c r="K693" t="n">
        <x:v>0</x:v>
      </x:c>
      <x:c r="L693" t="n">
        <x:v>30</x:v>
      </x:c>
      <x:c r="M693" t="n">
        <x:v>0</x:v>
      </x:c>
      <x:c r="N693" t="str">
        <x:v>Declined</x:v>
      </x:c>
      <x:c r="O693" t="n">
        <x:v>0</x:v>
      </x:c>
      <x:c r="P693" t="str">
        <x:f>IF(L693&gt;=75,"High",IF(L693&gt;=55,"Medium","Low"))</x:f>
        <x:v>Low</x:v>
      </x:c>
    </x:row>
    <x:row r="694">
      <x:c r="A694" t="n">
        <x:v>693</x:v>
      </x:c>
      <x:c r="B694" t="n">
        <x:v>10006</x:v>
      </x:c>
      <x:c r="C694" s="16" t="n">
        <x:v>46125</x:v>
      </x:c>
      <x:c r="D694" t="str">
        <x:v>10:17:00</x:v>
      </x:c>
      <x:c r="E694" t="str">
        <x:v>Bank Transfer</x:v>
      </x:c>
      <x:c r="F694" t="str">
        <x:v>Retail</x:v>
      </x:c>
      <x:c r="G694" s="18" t="n">
        <x:v>23.82</x:v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n">
        <x:v>10</x:v>
      </x:c>
      <x:c r="M694" t="n">
        <x:v>0</x:v>
      </x:c>
      <x:c r="N694" t="str">
        <x:v>Approved</x:v>
      </x:c>
      <x:c r="O694" t="n">
        <x:v>0</x:v>
      </x:c>
      <x:c r="P694" t="str">
        <x:f>IF(L694&gt;=75,"High",IF(L694&gt;=55,"Medium","Low"))</x:f>
        <x:v>Low</x:v>
      </x:c>
    </x:row>
    <x:row r="695">
      <x:c r="A695" t="n">
        <x:v>694</x:v>
      </x:c>
      <x:c r="B695" t="n">
        <x:v>10218</x:v>
      </x:c>
      <x:c r="C695" s="16" t="n">
        <x:v>46230</x:v>
      </x:c>
      <x:c r="D695" t="str">
        <x:v>05:18:00</x:v>
      </x:c>
      <x:c r="E695" t="str">
        <x:v>Card</x:v>
      </x:c>
      <x:c r="F695" t="str">
        <x:v>Dining</x:v>
      </x:c>
      <x:c r="G695" s="18" t="n">
        <x:v>40.2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10</x:v>
      </x:c>
      <x:c r="M695" t="n">
        <x:v>0</x:v>
      </x:c>
      <x:c r="N695" t="str">
        <x:v>Approved</x:v>
      </x:c>
      <x:c r="O695" t="n">
        <x:v>0</x:v>
      </x:c>
      <x:c r="P695" t="str">
        <x:f>IF(L695&gt;=75,"High",IF(L695&gt;=55,"Medium","Low"))</x:f>
        <x:v>Low</x:v>
      </x:c>
    </x:row>
    <x:row r="696">
      <x:c r="A696" t="n">
        <x:v>695</x:v>
      </x:c>
      <x:c r="B696" t="n">
        <x:v>10281</x:v>
      </x:c>
      <x:c r="C696" s="16" t="n">
        <x:v>46248</x:v>
      </x:c>
      <x:c r="D696" t="str">
        <x:v>02:49:00</x:v>
      </x:c>
      <x:c r="E696" t="str">
        <x:v>Card</x:v>
      </x:c>
      <x:c r="F696" t="str">
        <x:v>Subscriptions</x:v>
      </x:c>
      <x:c r="G696" s="18" t="n">
        <x:v>321.96</x:v>
      </x:c>
      <x:c r="H696" t="n">
        <x:v>0</x:v>
      </x:c>
      <x:c r="I696" t="n">
        <x:v>0</x:v>
      </x:c>
      <x:c r="J696" t="n">
        <x:v>0</x:v>
      </x:c>
      <x:c r="K696" t="n">
        <x:v>1</x:v>
      </x:c>
      <x:c r="L696" t="n">
        <x:v>25</x:v>
      </x:c>
      <x:c r="M696" t="n">
        <x:v>0</x:v>
      </x:c>
      <x:c r="N696" t="str">
        <x:v>Approved</x:v>
      </x:c>
      <x:c r="O696" t="n">
        <x:v>0</x:v>
      </x:c>
      <x:c r="P696" t="str">
        <x:f>IF(L696&gt;=75,"High",IF(L696&gt;=55,"Medium","Low"))</x:f>
        <x:v>Low</x:v>
      </x:c>
    </x:row>
    <x:row r="697">
      <x:c r="A697" t="n">
        <x:v>696</x:v>
      </x:c>
      <x:c r="B697" t="n">
        <x:v>10100</x:v>
      </x:c>
      <x:c r="C697" s="16" t="n">
        <x:v>46283</x:v>
      </x:c>
      <x:c r="D697" t="str">
        <x:v>04:21:00</x:v>
      </x:c>
      <x:c r="E697" t="str">
        <x:v>P2P</x:v>
      </x:c>
      <x:c r="F697" t="str">
        <x:v>Subscriptions</x:v>
      </x:c>
      <x:c r="G697" s="18" t="n">
        <x:v>49.89</x:v>
      </x:c>
      <x:c r="H697" t="n">
        <x:v>0</x:v>
      </x:c>
      <x:c r="I697" t="n">
        <x:v>0</x:v>
      </x:c>
      <x:c r="J697" t="n">
        <x:v>0</x:v>
      </x:c>
      <x:c r="K697" t="n">
        <x:v>1</x:v>
      </x:c>
      <x:c r="L697" t="n">
        <x:v>25</x:v>
      </x:c>
      <x:c r="M697" t="n">
        <x:v>0</x:v>
      </x:c>
      <x:c r="N697" t="str">
        <x:v>Declined</x:v>
      </x:c>
      <x:c r="O697" t="n">
        <x:v>0</x:v>
      </x:c>
      <x:c r="P697" t="str">
        <x:f>IF(L697&gt;=75,"High",IF(L697&gt;=55,"Medium","Low"))</x:f>
        <x:v>Low</x:v>
      </x:c>
    </x:row>
    <x:row r="698">
      <x:c r="A698" t="n">
        <x:v>697</x:v>
      </x:c>
      <x:c r="B698" t="n">
        <x:v>10296</x:v>
      </x:c>
      <x:c r="C698" s="16" t="n">
        <x:v>46148</x:v>
      </x:c>
      <x:c r="D698" t="str">
        <x:v>06:43:00</x:v>
      </x:c>
      <x:c r="E698" t="str">
        <x:v>P2P</x:v>
      </x:c>
      <x:c r="F698" t="str">
        <x:v>Utilities</x:v>
      </x:c>
      <x:c r="G698" s="18" t="n">
        <x:v>215.38</x:v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n">
        <x:v>10</x:v>
      </x:c>
      <x:c r="M698" t="n">
        <x:v>0</x:v>
      </x:c>
      <x:c r="N698" t="str">
        <x:v>Approved</x:v>
      </x:c>
      <x:c r="O698" t="n">
        <x:v>0</x:v>
      </x:c>
      <x:c r="P698" t="str">
        <x:f>IF(L698&gt;=75,"High",IF(L698&gt;=55,"Medium","Low"))</x:f>
        <x:v>Low</x:v>
      </x:c>
    </x:row>
    <x:row r="699">
      <x:c r="A699" t="n">
        <x:v>698</x:v>
      </x:c>
      <x:c r="B699" t="n">
        <x:v>10231</x:v>
      </x:c>
      <x:c r="C699" s="16" t="n">
        <x:v>46235</x:v>
      </x:c>
      <x:c r="D699" t="str">
        <x:v>06:23:00</x:v>
      </x:c>
      <x:c r="E699" t="str">
        <x:v>Card</x:v>
      </x:c>
      <x:c r="F699" t="str">
        <x:v>Dining</x:v>
      </x:c>
      <x:c r="G699" s="18" t="n">
        <x:v>94.42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10</x:v>
      </x:c>
      <x:c r="M699" t="n">
        <x:v>0</x:v>
      </x:c>
      <x:c r="N699" t="str">
        <x:v>Approved</x:v>
      </x:c>
      <x:c r="O699" t="n">
        <x:v>0</x:v>
      </x:c>
      <x:c r="P699" t="str">
        <x:f>IF(L699&gt;=75,"High",IF(L699&gt;=55,"Medium","Low"))</x:f>
        <x:v>Low</x:v>
      </x:c>
    </x:row>
    <x:row r="700">
      <x:c r="A700" t="n">
        <x:v>699</x:v>
      </x:c>
      <x:c r="B700" t="n">
        <x:v>10279</x:v>
      </x:c>
      <x:c r="C700" s="16" t="n">
        <x:v>46294</x:v>
      </x:c>
      <x:c r="D700" t="str">
        <x:v>04:10:00</x:v>
      </x:c>
      <x:c r="E700" t="str">
        <x:v>Card</x:v>
      </x:c>
      <x:c r="F700" t="str">
        <x:v>Dining</x:v>
      </x:c>
      <x:c r="G700" s="18" t="n">
        <x:v>181.2</x:v>
      </x:c>
      <x:c r="H700" t="n">
        <x:v>0</x:v>
      </x:c>
      <x:c r="I700" t="n">
        <x:v>0</x:v>
      </x:c>
      <x:c r="J700" t="n">
        <x:v>0</x:v>
      </x:c>
      <x:c r="K700" t="n">
        <x:v>1</x:v>
      </x:c>
      <x:c r="L700" t="n">
        <x:v>25</x:v>
      </x:c>
      <x:c r="M700" t="n">
        <x:v>0</x:v>
      </x:c>
      <x:c r="N700" t="str">
        <x:v>Approved</x:v>
      </x:c>
      <x:c r="O700" t="n">
        <x:v>0</x:v>
      </x:c>
      <x:c r="P700" t="str">
        <x:f>IF(L700&gt;=75,"High",IF(L700&gt;=55,"Medium","Low"))</x:f>
        <x:v>Low</x:v>
      </x:c>
    </x:row>
    <x:row r="701">
      <x:c r="A701" t="n">
        <x:v>700</x:v>
      </x:c>
      <x:c r="B701" t="n">
        <x:v>10051</x:v>
      </x:c>
      <x:c r="C701" s="16" t="n">
        <x:v>46180</x:v>
      </x:c>
      <x:c r="D701" t="str">
        <x:v>12:57:00</x:v>
      </x:c>
      <x:c r="E701" t="str">
        <x:v>Card</x:v>
      </x:c>
      <x:c r="F701" t="str">
        <x:v>Electronics</x:v>
      </x:c>
      <x:c r="G701" s="18" t="n">
        <x:v>248.38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10</x:v>
      </x:c>
      <x:c r="M701" t="n">
        <x:v>0</x:v>
      </x:c>
      <x:c r="N701" t="str">
        <x:v>Approved</x:v>
      </x:c>
      <x:c r="O701" t="n">
        <x:v>0</x:v>
      </x:c>
      <x:c r="P701" t="str">
        <x:f>IF(L701&gt;=75,"High",IF(L701&gt;=55,"Medium","Low"))</x:f>
        <x:v>Low</x:v>
      </x:c>
    </x:row>
    <x:row r="702">
      <x:c r="A702" t="n">
        <x:v>701</x:v>
      </x:c>
      <x:c r="B702" t="n">
        <x:v>10037</x:v>
      </x:c>
      <x:c r="C702" s="16" t="n">
        <x:v>46158</x:v>
      </x:c>
      <x:c r="D702" t="str">
        <x:v>17:42:00</x:v>
      </x:c>
      <x:c r="E702" t="str">
        <x:v>Card</x:v>
      </x:c>
      <x:c r="F702" t="str">
        <x:v>Utilities</x:v>
      </x:c>
      <x:c r="G702" s="18" t="n">
        <x:v>33.53</x:v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n">
        <x:v>10</x:v>
      </x:c>
      <x:c r="M702" t="n">
        <x:v>0</x:v>
      </x:c>
      <x:c r="N702" t="str">
        <x:v>Approved</x:v>
      </x:c>
      <x:c r="O702" t="n">
        <x:v>0</x:v>
      </x:c>
      <x:c r="P702" t="str">
        <x:f>IF(L702&gt;=75,"High",IF(L702&gt;=55,"Medium","Low"))</x:f>
        <x:v>Low</x:v>
      </x:c>
    </x:row>
    <x:row r="703">
      <x:c r="A703" t="n">
        <x:v>702</x:v>
      </x:c>
      <x:c r="B703" t="n">
        <x:v>10157</x:v>
      </x:c>
      <x:c r="C703" s="16" t="n">
        <x:v>46243</x:v>
      </x:c>
      <x:c r="D703" t="str">
        <x:v>00:41:00</x:v>
      </x:c>
      <x:c r="E703" t="str">
        <x:v>P2P</x:v>
      </x:c>
      <x:c r="F703" t="str">
        <x:v>Transfer</x:v>
      </x:c>
      <x:c r="G703" s="18" t="n">
        <x:v>51.12</x:v>
      </x:c>
      <x:c r="H703" t="n">
        <x:v>0</x:v>
      </x:c>
      <x:c r="I703" t="n">
        <x:v>0</x:v>
      </x:c>
      <x:c r="J703" t="n">
        <x:v>0</x:v>
      </x:c>
      <x:c r="K703" t="n">
        <x:v>1</x:v>
      </x:c>
      <x:c r="L703" t="n">
        <x:v>25</x:v>
      </x:c>
      <x:c r="M703" t="n">
        <x:v>0</x:v>
      </x:c>
      <x:c r="N703" t="str">
        <x:v>Approved</x:v>
      </x:c>
      <x:c r="O703" t="n">
        <x:v>0</x:v>
      </x:c>
      <x:c r="P703" t="str">
        <x:f>IF(L703&gt;=75,"High",IF(L703&gt;=55,"Medium","Low"))</x:f>
        <x:v>Low</x:v>
      </x:c>
    </x:row>
    <x:row r="704">
      <x:c r="A704" t="n">
        <x:v>703</x:v>
      </x:c>
      <x:c r="B704" t="n">
        <x:v>10230</x:v>
      </x:c>
      <x:c r="C704" s="16" t="n">
        <x:v>46131</x:v>
      </x:c>
      <x:c r="D704" t="str">
        <x:v>04:46:00</x:v>
      </x:c>
      <x:c r="E704" t="str">
        <x:v>Card</x:v>
      </x:c>
      <x:c r="F704" t="str">
        <x:v>Subscriptions</x:v>
      </x:c>
      <x:c r="G704" s="18" t="n">
        <x:v>12.97</x:v>
      </x:c>
      <x:c r="H704" t="n">
        <x:v>0</x:v>
      </x:c>
      <x:c r="I704" t="n">
        <x:v>0</x:v>
      </x:c>
      <x:c r="J704" t="n">
        <x:v>0</x:v>
      </x:c>
      <x:c r="K704" t="n">
        <x:v>1</x:v>
      </x:c>
      <x:c r="L704" t="n">
        <x:v>25</x:v>
      </x:c>
      <x:c r="M704" t="n">
        <x:v>0</x:v>
      </x:c>
      <x:c r="N704" t="str">
        <x:v>Approved</x:v>
      </x:c>
      <x:c r="O704" t="n">
        <x:v>0</x:v>
      </x:c>
      <x:c r="P704" t="str">
        <x:f>IF(L704&gt;=75,"High",IF(L704&gt;=55,"Medium","Low"))</x:f>
        <x:v>Low</x:v>
      </x:c>
    </x:row>
    <x:row r="705">
      <x:c r="A705" t="n">
        <x:v>704</x:v>
      </x:c>
      <x:c r="B705" t="n">
        <x:v>10140</x:v>
      </x:c>
      <x:c r="C705" s="16" t="n">
        <x:v>46213</x:v>
      </x:c>
      <x:c r="D705" t="str">
        <x:v>10:47:00</x:v>
      </x:c>
      <x:c r="E705" t="str">
        <x:v>Bank Transfer</x:v>
      </x:c>
      <x:c r="F705" t="str">
        <x:v>Transfer</x:v>
      </x:c>
      <x:c r="G705" s="18" t="n">
        <x:v>287.46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10</x:v>
      </x:c>
      <x:c r="M705" t="n">
        <x:v>0</x:v>
      </x:c>
      <x:c r="N705" t="str">
        <x:v>Approved</x:v>
      </x:c>
      <x:c r="O705" t="n">
        <x:v>0</x:v>
      </x:c>
      <x:c r="P705" t="str">
        <x:f>IF(L705&gt;=75,"High",IF(L705&gt;=55,"Medium","Low"))</x:f>
        <x:v>Low</x:v>
      </x:c>
    </x:row>
    <x:row r="706">
      <x:c r="A706" t="n">
        <x:v>705</x:v>
      </x:c>
      <x:c r="B706" t="n">
        <x:v>10010</x:v>
      </x:c>
      <x:c r="C706" s="16" t="n">
        <x:v>46212</x:v>
      </x:c>
      <x:c r="D706" t="str">
        <x:v>16:14:00</x:v>
      </x:c>
      <x:c r="E706" t="str">
        <x:v>Card</x:v>
      </x:c>
      <x:c r="F706" t="str">
        <x:v>Subscriptions</x:v>
      </x:c>
      <x:c r="G706" s="18" t="n">
        <x:v>182.25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10</x:v>
      </x:c>
      <x:c r="M706" t="n">
        <x:v>0</x:v>
      </x:c>
      <x:c r="N706" t="str">
        <x:v>Approved</x:v>
      </x:c>
      <x:c r="O706" t="n">
        <x:v>0</x:v>
      </x:c>
      <x:c r="P706" t="str">
        <x:f>IF(L706&gt;=75,"High",IF(L706&gt;=55,"Medium","Low"))</x:f>
        <x:v>Low</x:v>
      </x:c>
    </x:row>
    <x:row r="707">
      <x:c r="A707" t="n">
        <x:v>706</x:v>
      </x:c>
      <x:c r="B707" t="n">
        <x:v>10210</x:v>
      </x:c>
      <x:c r="C707" s="16" t="n">
        <x:v>46160</x:v>
      </x:c>
      <x:c r="D707" t="str">
        <x:v>02:18:00</x:v>
      </x:c>
      <x:c r="E707" t="str">
        <x:v>P2P</x:v>
      </x:c>
      <x:c r="F707" t="str">
        <x:v>Retail</x:v>
      </x:c>
      <x:c r="G707" s="18" t="n">
        <x:v>87.59</x:v>
      </x:c>
      <x:c r="H707" t="n">
        <x:v>0</x:v>
      </x:c>
      <x:c r="I707" t="n">
        <x:v>0</x:v>
      </x:c>
      <x:c r="J707" t="n">
        <x:v>0</x:v>
      </x:c>
      <x:c r="K707" t="n">
        <x:v>1</x:v>
      </x:c>
      <x:c r="L707" t="n">
        <x:v>25</x:v>
      </x:c>
      <x:c r="M707" t="n">
        <x:v>0</x:v>
      </x:c>
      <x:c r="N707" t="str">
        <x:v>Approved</x:v>
      </x:c>
      <x:c r="O707" t="n">
        <x:v>0</x:v>
      </x:c>
      <x:c r="P707" t="str">
        <x:f>IF(L707&gt;=75,"High",IF(L707&gt;=55,"Medium","Low"))</x:f>
        <x:v>Low</x:v>
      </x:c>
    </x:row>
    <x:row r="708">
      <x:c r="A708" t="n">
        <x:v>707</x:v>
      </x:c>
      <x:c r="B708" t="n">
        <x:v>10070</x:v>
      </x:c>
      <x:c r="C708" s="16" t="n">
        <x:v>46179</x:v>
      </x:c>
      <x:c r="D708" t="str">
        <x:v>22:16:00</x:v>
      </x:c>
      <x:c r="E708" t="str">
        <x:v>Card</x:v>
      </x:c>
      <x:c r="F708" t="str">
        <x:v>Electronics</x:v>
      </x:c>
      <x:c r="G708" s="18" t="n">
        <x:v>57.8</x:v>
      </x:c>
      <x:c r="H708" t="n">
        <x:v>0</x:v>
      </x:c>
      <x:c r="I708" t="n">
        <x:v>0</x:v>
      </x:c>
      <x:c r="J708" t="n">
        <x:v>0</x:v>
      </x:c>
      <x:c r="K708" t="n">
        <x:v>0</x:v>
      </x:c>
      <x:c r="L708" t="n">
        <x:v>10</x:v>
      </x:c>
      <x:c r="M708" t="n">
        <x:v>0</x:v>
      </x:c>
      <x:c r="N708" t="str">
        <x:v>Declined</x:v>
      </x:c>
      <x:c r="O708" t="n">
        <x:v>0</x:v>
      </x:c>
      <x:c r="P708" t="str">
        <x:f>IF(L708&gt;=75,"High",IF(L708&gt;=55,"Medium","Low"))</x:f>
        <x:v>Low</x:v>
      </x:c>
    </x:row>
    <x:row r="709">
      <x:c r="A709" t="n">
        <x:v>708</x:v>
      </x:c>
      <x:c r="B709" t="n">
        <x:v>10185</x:v>
      </x:c>
      <x:c r="C709" s="16" t="n">
        <x:v>46165</x:v>
      </x:c>
      <x:c r="D709" t="str">
        <x:v>03:11:00</x:v>
      </x:c>
      <x:c r="E709" t="str">
        <x:v>Card</x:v>
      </x:c>
      <x:c r="F709" t="str">
        <x:v>Dining</x:v>
      </x:c>
      <x:c r="G709" s="18" t="n">
        <x:v>204.98</x:v>
      </x:c>
      <x:c r="H709" t="n">
        <x:v>0</x:v>
      </x:c>
      <x:c r="I709" t="n">
        <x:v>0</x:v>
      </x:c>
      <x:c r="J709" t="n">
        <x:v>0</x:v>
      </x:c>
      <x:c r="K709" t="n">
        <x:v>1</x:v>
      </x:c>
      <x:c r="L709" t="n">
        <x:v>25</x:v>
      </x:c>
      <x:c r="M709" t="n">
        <x:v>0</x:v>
      </x:c>
      <x:c r="N709" t="str">
        <x:v>Approved</x:v>
      </x:c>
      <x:c r="O709" t="n">
        <x:v>0</x:v>
      </x:c>
      <x:c r="P709" t="str">
        <x:f>IF(L709&gt;=75,"High",IF(L709&gt;=55,"Medium","Low"))</x:f>
        <x:v>Low</x:v>
      </x:c>
    </x:row>
    <x:row r="710">
      <x:c r="A710" t="n">
        <x:v>709</x:v>
      </x:c>
      <x:c r="B710" t="n">
        <x:v>10320</x:v>
      </x:c>
      <x:c r="C710" s="16" t="n">
        <x:v>46224</x:v>
      </x:c>
      <x:c r="D710" t="str">
        <x:v>20:03:00</x:v>
      </x:c>
      <x:c r="E710" t="str">
        <x:v>Card</x:v>
      </x:c>
      <x:c r="F710" t="str">
        <x:v>Transfer</x:v>
      </x:c>
      <x:c r="G710" s="18" t="n">
        <x:v>121.49</x:v>
      </x:c>
      <x:c r="H710" t="n">
        <x:v>0</x:v>
      </x:c>
      <x:c r="I710" t="n">
        <x:v>1</x:v>
      </x:c>
      <x:c r="J710" t="n">
        <x:v>0</x:v>
      </x:c>
      <x:c r="K710" t="n">
        <x:v>0</x:v>
      </x:c>
      <x:c r="L710" t="n">
        <x:v>30</x:v>
      </x:c>
      <x:c r="M710" t="n">
        <x:v>0</x:v>
      </x:c>
      <x:c r="N710" t="str">
        <x:v>Approved</x:v>
      </x:c>
      <x:c r="O710" t="n">
        <x:v>0</x:v>
      </x:c>
      <x:c r="P710" t="str">
        <x:f>IF(L710&gt;=75,"High",IF(L710&gt;=55,"Medium","Low"))</x:f>
        <x:v>Low</x:v>
      </x:c>
    </x:row>
    <x:row r="711">
      <x:c r="A711" t="n">
        <x:v>710</x:v>
      </x:c>
      <x:c r="B711" t="n">
        <x:v>10003</x:v>
      </x:c>
      <x:c r="C711" s="16" t="n">
        <x:v>46219</x:v>
      </x:c>
      <x:c r="D711" t="str">
        <x:v>09:37:00</x:v>
      </x:c>
      <x:c r="E711" t="str">
        <x:v>Bank Transfer</x:v>
      </x:c>
      <x:c r="F711" t="str">
        <x:v>Transfer</x:v>
      </x:c>
      <x:c r="G711" s="18" t="n">
        <x:v>376.53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10</x:v>
      </x:c>
      <x:c r="M711" t="n">
        <x:v>0</x:v>
      </x:c>
      <x:c r="N711" t="str">
        <x:v>Approved</x:v>
      </x:c>
      <x:c r="O711" t="n">
        <x:v>0</x:v>
      </x:c>
      <x:c r="P711" t="str">
        <x:f>IF(L711&gt;=75,"High",IF(L711&gt;=55,"Medium","Low"))</x:f>
        <x:v>Low</x:v>
      </x:c>
    </x:row>
    <x:row r="712">
      <x:c r="A712" t="n">
        <x:v>711</x:v>
      </x:c>
      <x:c r="B712" t="n">
        <x:v>10215</x:v>
      </x:c>
      <x:c r="C712" s="16" t="n">
        <x:v>46225</x:v>
      </x:c>
      <x:c r="D712" t="str">
        <x:v>22:03:00</x:v>
      </x:c>
      <x:c r="E712" t="str">
        <x:v>Card</x:v>
      </x:c>
      <x:c r="F712" t="str">
        <x:v>Electronics</x:v>
      </x:c>
      <x:c r="G712" s="18" t="n">
        <x:v>119.59</x:v>
      </x:c>
      <x:c r="H712" t="n">
        <x:v>1</x:v>
      </x:c>
      <x:c r="I712" t="n">
        <x:v>0</x:v>
      </x:c>
      <x:c r="J712" t="n">
        <x:v>0</x:v>
      </x:c>
      <x:c r="K712" t="n">
        <x:v>0</x:v>
      </x:c>
      <x:c r="L712" t="n">
        <x:v>36</x:v>
      </x:c>
      <x:c r="M712" t="n">
        <x:v>0</x:v>
      </x:c>
      <x:c r="N712" t="str">
        <x:v>Approved</x:v>
      </x:c>
      <x:c r="O712" t="n">
        <x:v>0</x:v>
      </x:c>
      <x:c r="P712" t="str">
        <x:f>IF(L712&gt;=75,"High",IF(L712&gt;=55,"Medium","Low"))</x:f>
        <x:v>Low</x:v>
      </x:c>
    </x:row>
    <x:row r="713">
      <x:c r="A713" t="n">
        <x:v>712</x:v>
      </x:c>
      <x:c r="B713" t="n">
        <x:v>10235</x:v>
      </x:c>
      <x:c r="C713" s="16" t="n">
        <x:v>46222</x:v>
      </x:c>
      <x:c r="D713" t="str">
        <x:v>22:19:00</x:v>
      </x:c>
      <x:c r="E713" t="str">
        <x:v>Card</x:v>
      </x:c>
      <x:c r="F713" t="str">
        <x:v>Travel</x:v>
      </x:c>
      <x:c r="G713" s="18" t="n">
        <x:v>48.63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10</x:v>
      </x:c>
      <x:c r="M713" t="n">
        <x:v>0</x:v>
      </x:c>
      <x:c r="N713" t="str">
        <x:v>Declined</x:v>
      </x:c>
      <x:c r="O713" t="n">
        <x:v>0</x:v>
      </x:c>
      <x:c r="P713" t="str">
        <x:f>IF(L713&gt;=75,"High",IF(L713&gt;=55,"Medium","Low"))</x:f>
        <x:v>Low</x:v>
      </x:c>
    </x:row>
    <x:row r="714">
      <x:c r="A714" t="n">
        <x:v>713</x:v>
      </x:c>
      <x:c r="B714" t="n">
        <x:v>10085</x:v>
      </x:c>
      <x:c r="C714" s="16" t="n">
        <x:v>46178</x:v>
      </x:c>
      <x:c r="D714" t="str">
        <x:v>21:34:00</x:v>
      </x:c>
      <x:c r="E714" t="str">
        <x:v>Bank Transfer</x:v>
      </x:c>
      <x:c r="F714" t="str">
        <x:v>Subscriptions</x:v>
      </x:c>
      <x:c r="G714" s="18" t="n">
        <x:v>133.48</x:v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n">
        <x:v>10</x:v>
      </x:c>
      <x:c r="M714" t="n">
        <x:v>0</x:v>
      </x:c>
      <x:c r="N714" t="str">
        <x:v>Declined</x:v>
      </x:c>
      <x:c r="O714" t="n">
        <x:v>0</x:v>
      </x:c>
      <x:c r="P714" t="str">
        <x:f>IF(L714&gt;=75,"High",IF(L714&gt;=55,"Medium","Low"))</x:f>
        <x:v>Low</x:v>
      </x:c>
    </x:row>
    <x:row r="715">
      <x:c r="A715" t="n">
        <x:v>714</x:v>
      </x:c>
      <x:c r="B715" t="n">
        <x:v>10202</x:v>
      </x:c>
      <x:c r="C715" s="16" t="n">
        <x:v>46240</x:v>
      </x:c>
      <x:c r="D715" t="str">
        <x:v>06:35:00</x:v>
      </x:c>
      <x:c r="E715" t="str">
        <x:v>Bank Transfer</x:v>
      </x:c>
      <x:c r="F715" t="str">
        <x:v>Subscriptions</x:v>
      </x:c>
      <x:c r="G715" s="18" t="n">
        <x:v>21.91</x:v>
      </x:c>
      <x:c r="H715" t="n">
        <x:v>1</x:v>
      </x:c>
      <x:c r="I715" t="n">
        <x:v>0</x:v>
      </x:c>
      <x:c r="J715" t="n">
        <x:v>0</x:v>
      </x:c>
      <x:c r="K715" t="n">
        <x:v>0</x:v>
      </x:c>
      <x:c r="L715" t="n">
        <x:v>36</x:v>
      </x:c>
      <x:c r="M715" t="n">
        <x:v>0</x:v>
      </x:c>
      <x:c r="N715" t="str">
        <x:v>Declined</x:v>
      </x:c>
      <x:c r="O715" t="n">
        <x:v>0</x:v>
      </x:c>
      <x:c r="P715" t="str">
        <x:f>IF(L715&gt;=75,"High",IF(L715&gt;=55,"Medium","Low"))</x:f>
        <x:v>Low</x:v>
      </x:c>
    </x:row>
    <x:row r="716">
      <x:c r="A716" t="n">
        <x:v>715</x:v>
      </x:c>
      <x:c r="B716" t="n">
        <x:v>10016</x:v>
      </x:c>
      <x:c r="C716" s="16" t="n">
        <x:v>46240</x:v>
      </x:c>
      <x:c r="D716" t="str">
        <x:v>19:33:00</x:v>
      </x:c>
      <x:c r="E716" t="str">
        <x:v>Bank Transfer</x:v>
      </x:c>
      <x:c r="F716" t="str">
        <x:v>Subscriptions</x:v>
      </x:c>
      <x:c r="G716" s="18" t="n">
        <x:v>254.64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10</x:v>
      </x:c>
      <x:c r="M716" t="n">
        <x:v>0</x:v>
      </x:c>
      <x:c r="N716" t="str">
        <x:v>Approved</x:v>
      </x:c>
      <x:c r="O716" t="n">
        <x:v>0</x:v>
      </x:c>
      <x:c r="P716" t="str">
        <x:f>IF(L716&gt;=75,"High",IF(L716&gt;=55,"Medium","Low"))</x:f>
        <x:v>Low</x:v>
      </x:c>
    </x:row>
    <x:row r="717">
      <x:c r="A717" t="n">
        <x:v>716</x:v>
      </x:c>
      <x:c r="B717" t="n">
        <x:v>10174</x:v>
      </x:c>
      <x:c r="C717" s="16" t="n">
        <x:v>46187</x:v>
      </x:c>
      <x:c r="D717" t="str">
        <x:v>20:13:00</x:v>
      </x:c>
      <x:c r="E717" t="str">
        <x:v>Card</x:v>
      </x:c>
      <x:c r="F717" t="str">
        <x:v>Travel</x:v>
      </x:c>
      <x:c r="G717" s="18" t="n">
        <x:v>44.24</x:v>
      </x:c>
      <x:c r="H717" t="n">
        <x:v>1</x:v>
      </x:c>
      <x:c r="I717" t="n">
        <x:v>0</x:v>
      </x:c>
      <x:c r="J717" t="n">
        <x:v>0</x:v>
      </x:c>
      <x:c r="K717" t="n">
        <x:v>0</x:v>
      </x:c>
      <x:c r="L717" t="n">
        <x:v>36</x:v>
      </x:c>
      <x:c r="M717" t="n">
        <x:v>0</x:v>
      </x:c>
      <x:c r="N717" t="str">
        <x:v>Approved</x:v>
      </x:c>
      <x:c r="O717" t="n">
        <x:v>0</x:v>
      </x:c>
      <x:c r="P717" t="str">
        <x:f>IF(L717&gt;=75,"High",IF(L717&gt;=55,"Medium","Low"))</x:f>
        <x:v>Low</x:v>
      </x:c>
    </x:row>
    <x:row r="718">
      <x:c r="A718" t="n">
        <x:v>717</x:v>
      </x:c>
      <x:c r="B718" t="n">
        <x:v>10152</x:v>
      </x:c>
      <x:c r="C718" s="16" t="n">
        <x:v>46148</x:v>
      </x:c>
      <x:c r="D718" t="str">
        <x:v>07:12:00</x:v>
      </x:c>
      <x:c r="E718" t="str">
        <x:v>Bank Transfer</x:v>
      </x:c>
      <x:c r="F718" t="str">
        <x:v>Transfer</x:v>
      </x:c>
      <x:c r="G718" s="18" t="n">
        <x:v>33.48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10</x:v>
      </x:c>
      <x:c r="M718" t="n">
        <x:v>0</x:v>
      </x:c>
      <x:c r="N718" t="str">
        <x:v>Approved</x:v>
      </x:c>
      <x:c r="O718" t="n">
        <x:v>0</x:v>
      </x:c>
      <x:c r="P718" t="str">
        <x:f>IF(L718&gt;=75,"High",IF(L718&gt;=55,"Medium","Low"))</x:f>
        <x:v>Low</x:v>
      </x:c>
    </x:row>
    <x:row r="719">
      <x:c r="A719" t="n">
        <x:v>718</x:v>
      </x:c>
      <x:c r="B719" t="n">
        <x:v>10209</x:v>
      </x:c>
      <x:c r="C719" s="16" t="n">
        <x:v>46200</x:v>
      </x:c>
      <x:c r="D719" t="str">
        <x:v>12:33:00</x:v>
      </x:c>
      <x:c r="E719" t="str">
        <x:v>Bank Transfer</x:v>
      </x:c>
      <x:c r="F719" t="str">
        <x:v>Transfer</x:v>
      </x:c>
      <x:c r="G719" s="18" t="n">
        <x:v>167.02</x:v>
      </x:c>
      <x:c r="H719" t="n">
        <x:v>1</x:v>
      </x:c>
      <x:c r="I719" t="n">
        <x:v>0</x:v>
      </x:c>
      <x:c r="J719" t="n">
        <x:v>0</x:v>
      </x:c>
      <x:c r="K719" t="n">
        <x:v>0</x:v>
      </x:c>
      <x:c r="L719" t="n">
        <x:v>36</x:v>
      </x:c>
      <x:c r="M719" t="n">
        <x:v>0</x:v>
      </x:c>
      <x:c r="N719" t="str">
        <x:v>Approved</x:v>
      </x:c>
      <x:c r="O719" t="n">
        <x:v>0</x:v>
      </x:c>
      <x:c r="P719" t="str">
        <x:f>IF(L719&gt;=75,"High",IF(L719&gt;=55,"Medium","Low"))</x:f>
        <x:v>Low</x:v>
      </x:c>
    </x:row>
    <x:row r="720">
      <x:c r="A720" t="n">
        <x:v>719</x:v>
      </x:c>
      <x:c r="B720" t="n">
        <x:v>10316</x:v>
      </x:c>
      <x:c r="C720" s="16" t="n">
        <x:v>46135</x:v>
      </x:c>
      <x:c r="D720" t="str">
        <x:v>12:35:00</x:v>
      </x:c>
      <x:c r="E720" t="str">
        <x:v>Card</x:v>
      </x:c>
      <x:c r="F720" t="str">
        <x:v>Transfer</x:v>
      </x:c>
      <x:c r="G720" s="18" t="n">
        <x:v>76.45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10</x:v>
      </x:c>
      <x:c r="M720" t="n">
        <x:v>0</x:v>
      </x:c>
      <x:c r="N720" t="str">
        <x:v>Approved</x:v>
      </x:c>
      <x:c r="O720" t="n">
        <x:v>0</x:v>
      </x:c>
      <x:c r="P720" t="str">
        <x:f>IF(L720&gt;=75,"High",IF(L720&gt;=55,"Medium","Low"))</x:f>
        <x:v>Low</x:v>
      </x:c>
    </x:row>
    <x:row r="721">
      <x:c r="A721" t="n">
        <x:v>720</x:v>
      </x:c>
      <x:c r="B721" t="n">
        <x:v>10134</x:v>
      </x:c>
      <x:c r="C721" s="16" t="n">
        <x:v>46257</x:v>
      </x:c>
      <x:c r="D721" t="str">
        <x:v>03:31:00</x:v>
      </x:c>
      <x:c r="E721" t="str">
        <x:v>P2P</x:v>
      </x:c>
      <x:c r="F721" t="str">
        <x:v>Transfer</x:v>
      </x:c>
      <x:c r="G721" s="18" t="n">
        <x:v>55.85</x:v>
      </x:c>
      <x:c r="H721" t="n">
        <x:v>0</x:v>
      </x:c>
      <x:c r="I721" t="n">
        <x:v>0</x:v>
      </x:c>
      <x:c r="J721" t="n">
        <x:v>0</x:v>
      </x:c>
      <x:c r="K721" t="n">
        <x:v>1</x:v>
      </x:c>
      <x:c r="L721" t="n">
        <x:v>25</x:v>
      </x:c>
      <x:c r="M721" t="n">
        <x:v>0</x:v>
      </x:c>
      <x:c r="N721" t="str">
        <x:v>Approved</x:v>
      </x:c>
      <x:c r="O721" t="n">
        <x:v>0</x:v>
      </x:c>
      <x:c r="P721" t="str">
        <x:f>IF(L721&gt;=75,"High",IF(L721&gt;=55,"Medium","Low"))</x:f>
        <x:v>Low</x:v>
      </x:c>
    </x:row>
    <x:row r="722">
      <x:c r="A722" t="n">
        <x:v>721</x:v>
      </x:c>
      <x:c r="B722" t="n">
        <x:v>10165</x:v>
      </x:c>
      <x:c r="C722" s="16" t="n">
        <x:v>46278</x:v>
      </x:c>
      <x:c r="D722" t="str">
        <x:v>19:34:00</x:v>
      </x:c>
      <x:c r="E722" t="str">
        <x:v>Card</x:v>
      </x:c>
      <x:c r="F722" t="str">
        <x:v>Retail</x:v>
      </x:c>
      <x:c r="G722" s="18" t="n">
        <x:v>36.84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10</x:v>
      </x:c>
      <x:c r="M722" t="n">
        <x:v>0</x:v>
      </x:c>
      <x:c r="N722" t="str">
        <x:v>Declined</x:v>
      </x:c>
      <x:c r="O722" t="n">
        <x:v>0</x:v>
      </x:c>
      <x:c r="P722" t="str">
        <x:f>IF(L722&gt;=75,"High",IF(L722&gt;=55,"Medium","Low"))</x:f>
        <x:v>Low</x:v>
      </x:c>
    </x:row>
    <x:row r="723">
      <x:c r="A723" t="n">
        <x:v>722</x:v>
      </x:c>
      <x:c r="B723" t="n">
        <x:v>10271</x:v>
      </x:c>
      <x:c r="C723" s="16" t="n">
        <x:v>46155</x:v>
      </x:c>
      <x:c r="D723" t="str">
        <x:v>06:54:00</x:v>
      </x:c>
      <x:c r="E723" t="str">
        <x:v>Card</x:v>
      </x:c>
      <x:c r="F723" t="str">
        <x:v>Retail</x:v>
      </x:c>
      <x:c r="G723" s="18" t="n">
        <x:v>45.82</x:v>
      </x:c>
      <x:c r="H723" t="n">
        <x:v>0</x:v>
      </x:c>
      <x:c r="I723" t="n">
        <x:v>1</x:v>
      </x:c>
      <x:c r="J723" t="n">
        <x:v>0</x:v>
      </x:c>
      <x:c r="K723" t="n">
        <x:v>0</x:v>
      </x:c>
      <x:c r="L723" t="n">
        <x:v>30</x:v>
      </x:c>
      <x:c r="M723" t="n">
        <x:v>0</x:v>
      </x:c>
      <x:c r="N723" t="str">
        <x:v>Declined</x:v>
      </x:c>
      <x:c r="O723" t="n">
        <x:v>0</x:v>
      </x:c>
      <x:c r="P723" t="str">
        <x:f>IF(L723&gt;=75,"High",IF(L723&gt;=55,"Medium","Low"))</x:f>
        <x:v>Low</x:v>
      </x:c>
    </x:row>
    <x:row r="724">
      <x:c r="A724" t="n">
        <x:v>723</x:v>
      </x:c>
      <x:c r="B724" t="n">
        <x:v>10320</x:v>
      </x:c>
      <x:c r="C724" s="16" t="n">
        <x:v>46197</x:v>
      </x:c>
      <x:c r="D724" t="str">
        <x:v>15:03:00</x:v>
      </x:c>
      <x:c r="E724" t="str">
        <x:v>Card</x:v>
      </x:c>
      <x:c r="F724" t="str">
        <x:v>Dining</x:v>
      </x:c>
      <x:c r="G724" s="18" t="n">
        <x:v>1769.8</x:v>
      </x:c>
      <x:c r="H724" t="n">
        <x:v>0</x:v>
      </x:c>
      <x:c r="I724" t="n">
        <x:v>0</x:v>
      </x:c>
      <x:c r="J724" t="n">
        <x:v>1</x:v>
      </x:c>
      <x:c r="K724" t="n">
        <x:v>0</x:v>
      </x:c>
      <x:c r="L724" t="n">
        <x:v>56</x:v>
      </x:c>
      <x:c r="M724" t="n">
        <x:v>1</x:v>
      </x:c>
      <x:c r="N724" t="str">
        <x:v>Approved</x:v>
      </x:c>
      <x:c r="O724" t="n">
        <x:v>0</x:v>
      </x:c>
      <x:c r="P724" t="str">
        <x:f>IF(L724&gt;=75,"High",IF(L724&gt;=55,"Medium","Low"))</x:f>
        <x:v>Medium</x:v>
      </x:c>
    </x:row>
    <x:row r="725">
      <x:c r="A725" t="n">
        <x:v>724</x:v>
      </x:c>
      <x:c r="B725" t="n">
        <x:v>10216</x:v>
      </x:c>
      <x:c r="C725" s="16" t="n">
        <x:v>46192</x:v>
      </x:c>
      <x:c r="D725" t="str">
        <x:v>07:40:00</x:v>
      </x:c>
      <x:c r="E725" t="str">
        <x:v>Bank Transfer</x:v>
      </x:c>
      <x:c r="F725" t="str">
        <x:v>Utilities</x:v>
      </x:c>
      <x:c r="G725" s="18" t="n">
        <x:v>8.44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10</x:v>
      </x:c>
      <x:c r="M725" t="n">
        <x:v>0</x:v>
      </x:c>
      <x:c r="N725" t="str">
        <x:v>Approved</x:v>
      </x:c>
      <x:c r="O725" t="n">
        <x:v>0</x:v>
      </x:c>
      <x:c r="P725" t="str">
        <x:f>IF(L725&gt;=75,"High",IF(L725&gt;=55,"Medium","Low"))</x:f>
        <x:v>Low</x:v>
      </x:c>
    </x:row>
    <x:row r="726">
      <x:c r="A726" t="n">
        <x:v>725</x:v>
      </x:c>
      <x:c r="B726" t="n">
        <x:v>10276</x:v>
      </x:c>
      <x:c r="C726" s="16" t="n">
        <x:v>46172</x:v>
      </x:c>
      <x:c r="D726" t="str">
        <x:v>09:58:00</x:v>
      </x:c>
      <x:c r="E726" t="str">
        <x:v>Card</x:v>
      </x:c>
      <x:c r="F726" t="str">
        <x:v>Subscriptions</x:v>
      </x:c>
      <x:c r="G726" s="18" t="n">
        <x:v>26.88</x:v>
      </x:c>
      <x:c r="H726" t="n">
        <x:v>0</x:v>
      </x:c>
      <x:c r="I726" t="n">
        <x:v>1</x:v>
      </x:c>
      <x:c r="J726" t="n">
        <x:v>0</x:v>
      </x:c>
      <x:c r="K726" t="n">
        <x:v>0</x:v>
      </x:c>
      <x:c r="L726" t="n">
        <x:v>30</x:v>
      </x:c>
      <x:c r="M726" t="n">
        <x:v>0</x:v>
      </x:c>
      <x:c r="N726" t="str">
        <x:v>Approved</x:v>
      </x:c>
      <x:c r="O726" t="n">
        <x:v>0</x:v>
      </x:c>
      <x:c r="P726" t="str">
        <x:f>IF(L726&gt;=75,"High",IF(L726&gt;=55,"Medium","Low"))</x:f>
        <x:v>Low</x:v>
      </x:c>
    </x:row>
    <x:row r="727">
      <x:c r="A727" t="n">
        <x:v>726</x:v>
      </x:c>
      <x:c r="B727" t="n">
        <x:v>10259</x:v>
      </x:c>
      <x:c r="C727" s="16" t="n">
        <x:v>46211</x:v>
      </x:c>
      <x:c r="D727" t="str">
        <x:v>09:48:00</x:v>
      </x:c>
      <x:c r="E727" t="str">
        <x:v>P2P</x:v>
      </x:c>
      <x:c r="F727" t="str">
        <x:v>Transfer</x:v>
      </x:c>
      <x:c r="G727" s="18" t="n">
        <x:v>50.28</x:v>
      </x:c>
      <x:c r="H727" t="n">
        <x:v>0</x:v>
      </x:c>
      <x:c r="I727" t="n">
        <x:v>0</x:v>
      </x:c>
      <x:c r="J727" t="n">
        <x:v>0</x:v>
      </x:c>
      <x:c r="K727" t="n">
        <x:v>0</x:v>
      </x:c>
      <x:c r="L727" t="n">
        <x:v>10</x:v>
      </x:c>
      <x:c r="M727" t="n">
        <x:v>0</x:v>
      </x:c>
      <x:c r="N727" t="str">
        <x:v>Approved</x:v>
      </x:c>
      <x:c r="O727" t="n">
        <x:v>0</x:v>
      </x:c>
      <x:c r="P727" t="str">
        <x:f>IF(L727&gt;=75,"High",IF(L727&gt;=55,"Medium","Low"))</x:f>
        <x:v>Low</x:v>
      </x:c>
    </x:row>
    <x:row r="728">
      <x:c r="A728" t="n">
        <x:v>727</x:v>
      </x:c>
      <x:c r="B728" t="n">
        <x:v>10311</x:v>
      </x:c>
      <x:c r="C728" s="16" t="n">
        <x:v>46115</x:v>
      </x:c>
      <x:c r="D728" t="str">
        <x:v>11:59:00</x:v>
      </x:c>
      <x:c r="E728" t="str">
        <x:v>Bank Transfer</x:v>
      </x:c>
      <x:c r="F728" t="str">
        <x:v>Subscriptions</x:v>
      </x:c>
      <x:c r="G728" s="18" t="n">
        <x:v>358.57</x:v>
      </x:c>
      <x:c r="H728" t="n">
        <x:v>0</x:v>
      </x:c>
      <x:c r="I728" t="n">
        <x:v>0</x:v>
      </x:c>
      <x:c r="J728" t="n">
        <x:v>0</x:v>
      </x:c>
      <x:c r="K728" t="n">
        <x:v>0</x:v>
      </x:c>
      <x:c r="L728" t="n">
        <x:v>10</x:v>
      </x:c>
      <x:c r="M728" t="n">
        <x:v>0</x:v>
      </x:c>
      <x:c r="N728" t="str">
        <x:v>Approved</x:v>
      </x:c>
      <x:c r="O728" t="n">
        <x:v>0</x:v>
      </x:c>
      <x:c r="P728" t="str">
        <x:f>IF(L728&gt;=75,"High",IF(L728&gt;=55,"Medium","Low"))</x:f>
        <x:v>Low</x:v>
      </x:c>
    </x:row>
    <x:row r="729">
      <x:c r="A729" t="n">
        <x:v>728</x:v>
      </x:c>
      <x:c r="B729" t="n">
        <x:v>10144</x:v>
      </x:c>
      <x:c r="C729" s="16" t="n">
        <x:v>46145</x:v>
      </x:c>
      <x:c r="D729" t="str">
        <x:v>08:27:00</x:v>
      </x:c>
      <x:c r="E729" t="str">
        <x:v>Bank Transfer</x:v>
      </x:c>
      <x:c r="F729" t="str">
        <x:v>Dining</x:v>
      </x:c>
      <x:c r="G729" s="18" t="n">
        <x:v>106.3</x:v>
      </x:c>
      <x:c r="H729" t="n">
        <x:v>1</x:v>
      </x:c>
      <x:c r="I729" t="n">
        <x:v>0</x:v>
      </x:c>
      <x:c r="J729" t="n">
        <x:v>0</x:v>
      </x:c>
      <x:c r="K729" t="n">
        <x:v>0</x:v>
      </x:c>
      <x:c r="L729" t="n">
        <x:v>36</x:v>
      </x:c>
      <x:c r="M729" t="n">
        <x:v>0</x:v>
      </x:c>
      <x:c r="N729" t="str">
        <x:v>Approved</x:v>
      </x:c>
      <x:c r="O729" t="n">
        <x:v>0</x:v>
      </x:c>
      <x:c r="P729" t="str">
        <x:f>IF(L729&gt;=75,"High",IF(L729&gt;=55,"Medium","Low"))</x:f>
        <x:v>Low</x:v>
      </x:c>
    </x:row>
    <x:row r="730">
      <x:c r="A730" t="n">
        <x:v>729</x:v>
      </x:c>
      <x:c r="B730" t="n">
        <x:v>10158</x:v>
      </x:c>
      <x:c r="C730" s="16" t="n">
        <x:v>46290</x:v>
      </x:c>
      <x:c r="D730" t="str">
        <x:v>16:37:00</x:v>
      </x:c>
      <x:c r="E730" t="str">
        <x:v>Bank Transfer</x:v>
      </x:c>
      <x:c r="F730" t="str">
        <x:v>Retail</x:v>
      </x:c>
      <x:c r="G730" s="18" t="n">
        <x:v>115.39</x:v>
      </x:c>
      <x:c r="H730" t="n">
        <x:v>0</x:v>
      </x:c>
      <x:c r="I730" t="n">
        <x:v>1</x:v>
      </x:c>
      <x:c r="J730" t="n">
        <x:v>0</x:v>
      </x:c>
      <x:c r="K730" t="n">
        <x:v>0</x:v>
      </x:c>
      <x:c r="L730" t="n">
        <x:v>30</x:v>
      </x:c>
      <x:c r="M730" t="n">
        <x:v>0</x:v>
      </x:c>
      <x:c r="N730" t="str">
        <x:v>Approved</x:v>
      </x:c>
      <x:c r="O730" t="n">
        <x:v>0</x:v>
      </x:c>
      <x:c r="P730" t="str">
        <x:f>IF(L730&gt;=75,"High",IF(L730&gt;=55,"Medium","Low"))</x:f>
        <x:v>Low</x:v>
      </x:c>
    </x:row>
    <x:row r="731">
      <x:c r="A731" t="n">
        <x:v>730</x:v>
      </x:c>
      <x:c r="B731" t="n">
        <x:v>10025</x:v>
      </x:c>
      <x:c r="C731" s="16" t="n">
        <x:v>46229</x:v>
      </x:c>
      <x:c r="D731" t="str">
        <x:v>20:27:00</x:v>
      </x:c>
      <x:c r="E731" t="str">
        <x:v>Card</x:v>
      </x:c>
      <x:c r="F731" t="str">
        <x:v>Retail</x:v>
      </x:c>
      <x:c r="G731" s="18" t="n">
        <x:v>60.07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10</x:v>
      </x:c>
      <x:c r="M731" t="n">
        <x:v>0</x:v>
      </x:c>
      <x:c r="N731" t="str">
        <x:v>Approved</x:v>
      </x:c>
      <x:c r="O731" t="n">
        <x:v>0</x:v>
      </x:c>
      <x:c r="P731" t="str">
        <x:f>IF(L731&gt;=75,"High",IF(L731&gt;=55,"Medium","Low"))</x:f>
        <x:v>Low</x:v>
      </x:c>
    </x:row>
    <x:row r="732">
      <x:c r="A732" t="n">
        <x:v>731</x:v>
      </x:c>
      <x:c r="B732" t="n">
        <x:v>10142</x:v>
      </x:c>
      <x:c r="C732" s="16" t="n">
        <x:v>46238</x:v>
      </x:c>
      <x:c r="D732" t="str">
        <x:v>07:14:00</x:v>
      </x:c>
      <x:c r="E732" t="str">
        <x:v>Card</x:v>
      </x:c>
      <x:c r="F732" t="str">
        <x:v>Retail</x:v>
      </x:c>
      <x:c r="G732" s="18" t="n">
        <x:v>119.76</x:v>
      </x:c>
      <x:c r="H732" t="n">
        <x:v>1</x:v>
      </x:c>
      <x:c r="I732" t="n">
        <x:v>0</x:v>
      </x:c>
      <x:c r="J732" t="n">
        <x:v>0</x:v>
      </x:c>
      <x:c r="K732" t="n">
        <x:v>0</x:v>
      </x:c>
      <x:c r="L732" t="n">
        <x:v>36</x:v>
      </x:c>
      <x:c r="M732" t="n">
        <x:v>0</x:v>
      </x:c>
      <x:c r="N732" t="str">
        <x:v>Approved</x:v>
      </x:c>
      <x:c r="O732" t="n">
        <x:v>0</x:v>
      </x:c>
      <x:c r="P732" t="str">
        <x:f>IF(L732&gt;=75,"High",IF(L732&gt;=55,"Medium","Low"))</x:f>
        <x:v>Low</x:v>
      </x:c>
    </x:row>
    <x:row r="733">
      <x:c r="A733" t="n">
        <x:v>732</x:v>
      </x:c>
      <x:c r="B733" t="n">
        <x:v>10156</x:v>
      </x:c>
      <x:c r="C733" s="16" t="n">
        <x:v>46175</x:v>
      </x:c>
      <x:c r="D733" t="str">
        <x:v>02:01:00</x:v>
      </x:c>
      <x:c r="E733" t="str">
        <x:v>P2P</x:v>
      </x:c>
      <x:c r="F733" t="str">
        <x:v>Subscriptions</x:v>
      </x:c>
      <x:c r="G733" s="18" t="n">
        <x:v>89.98</x:v>
      </x:c>
      <x:c r="H733" t="n">
        <x:v>1</x:v>
      </x:c>
      <x:c r="I733" t="n">
        <x:v>1</x:v>
      </x:c>
      <x:c r="J733" t="n">
        <x:v>0</x:v>
      </x:c>
      <x:c r="K733" t="n">
        <x:v>1</x:v>
      </x:c>
      <x:c r="L733" t="n">
        <x:v>71</x:v>
      </x:c>
      <x:c r="M733" t="n">
        <x:v>1</x:v>
      </x:c>
      <x:c r="N733" t="str">
        <x:v>Declined</x:v>
      </x:c>
      <x:c r="O733" t="n">
        <x:v>0</x:v>
      </x:c>
      <x:c r="P733" t="str">
        <x:f>IF(L733&gt;=75,"High",IF(L733&gt;=55,"Medium","Low"))</x:f>
        <x:v>Medium</x:v>
      </x:c>
    </x:row>
    <x:row r="734">
      <x:c r="A734" t="n">
        <x:v>733</x:v>
      </x:c>
      <x:c r="B734" t="n">
        <x:v>10215</x:v>
      </x:c>
      <x:c r="C734" s="16" t="n">
        <x:v>46181</x:v>
      </x:c>
      <x:c r="D734" t="str">
        <x:v>08:56:00</x:v>
      </x:c>
      <x:c r="E734" t="str">
        <x:v>Card</x:v>
      </x:c>
      <x:c r="F734" t="str">
        <x:v>Utilities</x:v>
      </x:c>
      <x:c r="G734" s="18" t="n">
        <x:v>70.32</x:v>
      </x:c>
      <x:c r="H734" t="n">
        <x:v>1</x:v>
      </x:c>
      <x:c r="I734" t="n">
        <x:v>0</x:v>
      </x:c>
      <x:c r="J734" t="n">
        <x:v>0</x:v>
      </x:c>
      <x:c r="K734" t="n">
        <x:v>0</x:v>
      </x:c>
      <x:c r="L734" t="n">
        <x:v>36</x:v>
      </x:c>
      <x:c r="M734" t="n">
        <x:v>0</x:v>
      </x:c>
      <x:c r="N734" t="str">
        <x:v>Approved</x:v>
      </x:c>
      <x:c r="O734" t="n">
        <x:v>0</x:v>
      </x:c>
      <x:c r="P734" t="str">
        <x:f>IF(L734&gt;=75,"High",IF(L734&gt;=55,"Medium","Low"))</x:f>
        <x:v>Low</x:v>
      </x:c>
    </x:row>
    <x:row r="735">
      <x:c r="A735" t="n">
        <x:v>734</x:v>
      </x:c>
      <x:c r="B735" t="n">
        <x:v>10068</x:v>
      </x:c>
      <x:c r="C735" s="16" t="n">
        <x:v>46125</x:v>
      </x:c>
      <x:c r="D735" t="str">
        <x:v>19:22:00</x:v>
      </x:c>
      <x:c r="E735" t="str">
        <x:v>P2P</x:v>
      </x:c>
      <x:c r="F735" t="str">
        <x:v>Subscriptions</x:v>
      </x:c>
      <x:c r="G735" s="18" t="n">
        <x:v>52.74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10</x:v>
      </x:c>
      <x:c r="M735" t="n">
        <x:v>0</x:v>
      </x:c>
      <x:c r="N735" t="str">
        <x:v>Approved</x:v>
      </x:c>
      <x:c r="O735" t="n">
        <x:v>0</x:v>
      </x:c>
      <x:c r="P735" t="str">
        <x:f>IF(L735&gt;=75,"High",IF(L735&gt;=55,"Medium","Low"))</x:f>
        <x:v>Low</x:v>
      </x:c>
    </x:row>
    <x:row r="736">
      <x:c r="A736" t="n">
        <x:v>735</x:v>
      </x:c>
      <x:c r="B736" t="n">
        <x:v>10340</x:v>
      </x:c>
      <x:c r="C736" s="16" t="n">
        <x:v>46254</x:v>
      </x:c>
      <x:c r="D736" t="str">
        <x:v>20:52:00</x:v>
      </x:c>
      <x:c r="E736" t="str">
        <x:v>Bank Transfer</x:v>
      </x:c>
      <x:c r="F736" t="str">
        <x:v>Transfer</x:v>
      </x:c>
      <x:c r="G736" s="18" t="n">
        <x:v>22.57</x:v>
      </x:c>
      <x:c r="H736" t="n">
        <x:v>0</x:v>
      </x:c>
      <x:c r="I736" t="n">
        <x:v>1</x:v>
      </x:c>
      <x:c r="J736" t="n">
        <x:v>0</x:v>
      </x:c>
      <x:c r="K736" t="n">
        <x:v>0</x:v>
      </x:c>
      <x:c r="L736" t="n">
        <x:v>30</x:v>
      </x:c>
      <x:c r="M736" t="n">
        <x:v>0</x:v>
      </x:c>
      <x:c r="N736" t="str">
        <x:v>Approved</x:v>
      </x:c>
      <x:c r="O736" t="n">
        <x:v>0</x:v>
      </x:c>
      <x:c r="P736" t="str">
        <x:f>IF(L736&gt;=75,"High",IF(L736&gt;=55,"Medium","Low"))</x:f>
        <x:v>Low</x:v>
      </x:c>
    </x:row>
    <x:row r="737">
      <x:c r="A737" t="n">
        <x:v>736</x:v>
      </x:c>
      <x:c r="B737" t="n">
        <x:v>10024</x:v>
      </x:c>
      <x:c r="C737" s="16" t="n">
        <x:v>46293</x:v>
      </x:c>
      <x:c r="D737" t="str">
        <x:v>15:54:00</x:v>
      </x:c>
      <x:c r="E737" t="str">
        <x:v>Card</x:v>
      </x:c>
      <x:c r="F737" t="str">
        <x:v>Dining</x:v>
      </x:c>
      <x:c r="G737" s="18" t="n">
        <x:v>184.58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10</x:v>
      </x:c>
      <x:c r="M737" t="n">
        <x:v>0</x:v>
      </x:c>
      <x:c r="N737" t="str">
        <x:v>Approved</x:v>
      </x:c>
      <x:c r="O737" t="n">
        <x:v>0</x:v>
      </x:c>
      <x:c r="P737" t="str">
        <x:f>IF(L737&gt;=75,"High",IF(L737&gt;=55,"Medium","Low"))</x:f>
        <x:v>Low</x:v>
      </x:c>
    </x:row>
    <x:row r="738">
      <x:c r="A738" t="n">
        <x:v>737</x:v>
      </x:c>
      <x:c r="B738" t="n">
        <x:v>10008</x:v>
      </x:c>
      <x:c r="C738" s="16" t="n">
        <x:v>46125</x:v>
      </x:c>
      <x:c r="D738" t="str">
        <x:v>06:23:00</x:v>
      </x:c>
      <x:c r="E738" t="str">
        <x:v>Bank Transfer</x:v>
      </x:c>
      <x:c r="F738" t="str">
        <x:v>Subscriptions</x:v>
      </x:c>
      <x:c r="G738" s="18" t="n">
        <x:v>46.32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10</x:v>
      </x:c>
      <x:c r="M738" t="n">
        <x:v>0</x:v>
      </x:c>
      <x:c r="N738" t="str">
        <x:v>Approved</x:v>
      </x:c>
      <x:c r="O738" t="n">
        <x:v>0</x:v>
      </x:c>
      <x:c r="P738" t="str">
        <x:f>IF(L738&gt;=75,"High",IF(L738&gt;=55,"Medium","Low"))</x:f>
        <x:v>Low</x:v>
      </x:c>
    </x:row>
    <x:row r="739">
      <x:c r="A739" t="n">
        <x:v>738</x:v>
      </x:c>
      <x:c r="B739" t="n">
        <x:v>10221</x:v>
      </x:c>
      <x:c r="C739" s="16" t="n">
        <x:v>46249</x:v>
      </x:c>
      <x:c r="D739" t="str">
        <x:v>01:12:00</x:v>
      </x:c>
      <x:c r="E739" t="str">
        <x:v>P2P</x:v>
      </x:c>
      <x:c r="F739" t="str">
        <x:v>Electronics</x:v>
      </x:c>
      <x:c r="G739" s="18" t="n">
        <x:v>213.68</x:v>
      </x:c>
      <x:c r="H739" t="n">
        <x:v>0</x:v>
      </x:c>
      <x:c r="I739" t="n">
        <x:v>0</x:v>
      </x:c>
      <x:c r="J739" t="n">
        <x:v>0</x:v>
      </x:c>
      <x:c r="K739" t="n">
        <x:v>1</x:v>
      </x:c>
      <x:c r="L739" t="n">
        <x:v>25</x:v>
      </x:c>
      <x:c r="M739" t="n">
        <x:v>0</x:v>
      </x:c>
      <x:c r="N739" t="str">
        <x:v>Declined</x:v>
      </x:c>
      <x:c r="O739" t="n">
        <x:v>0</x:v>
      </x:c>
      <x:c r="P739" t="str">
        <x:f>IF(L739&gt;=75,"High",IF(L739&gt;=55,"Medium","Low"))</x:f>
        <x:v>Low</x:v>
      </x:c>
    </x:row>
    <x:row r="740">
      <x:c r="A740" t="n">
        <x:v>739</x:v>
      </x:c>
      <x:c r="B740" t="n">
        <x:v>10192</x:v>
      </x:c>
      <x:c r="C740" s="16" t="n">
        <x:v>46157</x:v>
      </x:c>
      <x:c r="D740" t="str">
        <x:v>01:13:00</x:v>
      </x:c>
      <x:c r="E740" t="str">
        <x:v>Bank Transfer</x:v>
      </x:c>
      <x:c r="F740" t="str">
        <x:v>Retail</x:v>
      </x:c>
      <x:c r="G740" s="18" t="n">
        <x:v>382.43</x:v>
      </x:c>
      <x:c r="H740" t="n">
        <x:v>0</x:v>
      </x:c>
      <x:c r="I740" t="n">
        <x:v>0</x:v>
      </x:c>
      <x:c r="J740" t="n">
        <x:v>0</x:v>
      </x:c>
      <x:c r="K740" t="n">
        <x:v>1</x:v>
      </x:c>
      <x:c r="L740" t="n">
        <x:v>25</x:v>
      </x:c>
      <x:c r="M740" t="n">
        <x:v>0</x:v>
      </x:c>
      <x:c r="N740" t="str">
        <x:v>Declined</x:v>
      </x:c>
      <x:c r="O740" t="n">
        <x:v>0</x:v>
      </x:c>
      <x:c r="P740" t="str">
        <x:f>IF(L740&gt;=75,"High",IF(L740&gt;=55,"Medium","Low"))</x:f>
        <x:v>Low</x:v>
      </x:c>
    </x:row>
    <x:row r="741">
      <x:c r="A741" t="n">
        <x:v>740</x:v>
      </x:c>
      <x:c r="B741" t="n">
        <x:v>10103</x:v>
      </x:c>
      <x:c r="C741" s="16" t="n">
        <x:v>46237</x:v>
      </x:c>
      <x:c r="D741" t="str">
        <x:v>16:38:00</x:v>
      </x:c>
      <x:c r="E741" t="str">
        <x:v>Bank Transfer</x:v>
      </x:c>
      <x:c r="F741" t="str">
        <x:v>Transfer</x:v>
      </x:c>
      <x:c r="G741" s="18" t="n">
        <x:v>142.91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10</x:v>
      </x:c>
      <x:c r="M741" t="n">
        <x:v>0</x:v>
      </x:c>
      <x:c r="N741" t="str">
        <x:v>Approved</x:v>
      </x:c>
      <x:c r="O741" t="n">
        <x:v>0</x:v>
      </x:c>
      <x:c r="P741" t="str">
        <x:f>IF(L741&gt;=75,"High",IF(L741&gt;=55,"Medium","Low"))</x:f>
        <x:v>Low</x:v>
      </x:c>
    </x:row>
    <x:row r="742">
      <x:c r="A742" t="n">
        <x:v>741</x:v>
      </x:c>
      <x:c r="B742" t="n">
        <x:v>10141</x:v>
      </x:c>
      <x:c r="C742" s="16" t="n">
        <x:v>46242</x:v>
      </x:c>
      <x:c r="D742" t="str">
        <x:v>22:38:00</x:v>
      </x:c>
      <x:c r="E742" t="str">
        <x:v>Card</x:v>
      </x:c>
      <x:c r="F742" t="str">
        <x:v>Dining</x:v>
      </x:c>
      <x:c r="G742" s="18" t="n">
        <x:v>181.5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10</x:v>
      </x:c>
      <x:c r="M742" t="n">
        <x:v>0</x:v>
      </x:c>
      <x:c r="N742" t="str">
        <x:v>Approved</x:v>
      </x:c>
      <x:c r="O742" t="n">
        <x:v>0</x:v>
      </x:c>
      <x:c r="P742" t="str">
        <x:f>IF(L742&gt;=75,"High",IF(L742&gt;=55,"Medium","Low"))</x:f>
        <x:v>Low</x:v>
      </x:c>
    </x:row>
    <x:row r="743">
      <x:c r="A743" t="n">
        <x:v>742</x:v>
      </x:c>
      <x:c r="B743" t="n">
        <x:v>10124</x:v>
      </x:c>
      <x:c r="C743" s="16" t="n">
        <x:v>46233</x:v>
      </x:c>
      <x:c r="D743" t="str">
        <x:v>05:51:00</x:v>
      </x:c>
      <x:c r="E743" t="str">
        <x:v>Card</x:v>
      </x:c>
      <x:c r="F743" t="str">
        <x:v>Dining</x:v>
      </x:c>
      <x:c r="G743" s="18" t="n">
        <x:v>97.32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10</x:v>
      </x:c>
      <x:c r="M743" t="n">
        <x:v>0</x:v>
      </x:c>
      <x:c r="N743" t="str">
        <x:v>Approved</x:v>
      </x:c>
      <x:c r="O743" t="n">
        <x:v>0</x:v>
      </x:c>
      <x:c r="P743" t="str">
        <x:f>IF(L743&gt;=75,"High",IF(L743&gt;=55,"Medium","Low"))</x:f>
        <x:v>Low</x:v>
      </x:c>
    </x:row>
    <x:row r="744">
      <x:c r="A744" t="n">
        <x:v>743</x:v>
      </x:c>
      <x:c r="B744" t="n">
        <x:v>10298</x:v>
      </x:c>
      <x:c r="C744" s="16" t="n">
        <x:v>46121</x:v>
      </x:c>
      <x:c r="D744" t="str">
        <x:v>04:37:00</x:v>
      </x:c>
      <x:c r="E744" t="str">
        <x:v>Bank Transfer</x:v>
      </x:c>
      <x:c r="F744" t="str">
        <x:v>Electronics</x:v>
      </x:c>
      <x:c r="G744" s="18" t="n">
        <x:v>90.75</x:v>
      </x:c>
      <x:c r="H744" t="n">
        <x:v>0</x:v>
      </x:c>
      <x:c r="I744" t="n">
        <x:v>0</x:v>
      </x:c>
      <x:c r="J744" t="n">
        <x:v>0</x:v>
      </x:c>
      <x:c r="K744" t="n">
        <x:v>1</x:v>
      </x:c>
      <x:c r="L744" t="n">
        <x:v>25</x:v>
      </x:c>
      <x:c r="M744" t="n">
        <x:v>0</x:v>
      </x:c>
      <x:c r="N744" t="str">
        <x:v>Approved</x:v>
      </x:c>
      <x:c r="O744" t="n">
        <x:v>0</x:v>
      </x:c>
      <x:c r="P744" t="str">
        <x:f>IF(L744&gt;=75,"High",IF(L744&gt;=55,"Medium","Low"))</x:f>
        <x:v>Low</x:v>
      </x:c>
    </x:row>
    <x:row r="745">
      <x:c r="A745" t="n">
        <x:v>744</x:v>
      </x:c>
      <x:c r="B745" t="n">
        <x:v>10108</x:v>
      </x:c>
      <x:c r="C745" s="16" t="n">
        <x:v>46163</x:v>
      </x:c>
      <x:c r="D745" t="str">
        <x:v>17:06:00</x:v>
      </x:c>
      <x:c r="E745" t="str">
        <x:v>Card</x:v>
      </x:c>
      <x:c r="F745" t="str">
        <x:v>Transfer</x:v>
      </x:c>
      <x:c r="G745" s="18" t="n">
        <x:v>341.36</x:v>
      </x:c>
      <x:c r="H745" t="n">
        <x:v>1</x:v>
      </x:c>
      <x:c r="I745" t="n">
        <x:v>0</x:v>
      </x:c>
      <x:c r="J745" t="n">
        <x:v>0</x:v>
      </x:c>
      <x:c r="K745" t="n">
        <x:v>0</x:v>
      </x:c>
      <x:c r="L745" t="n">
        <x:v>36</x:v>
      </x:c>
      <x:c r="M745" t="n">
        <x:v>0</x:v>
      </x:c>
      <x:c r="N745" t="str">
        <x:v>Approved</x:v>
      </x:c>
      <x:c r="O745" t="n">
        <x:v>0</x:v>
      </x:c>
      <x:c r="P745" t="str">
        <x:f>IF(L745&gt;=75,"High",IF(L745&gt;=55,"Medium","Low"))</x:f>
        <x:v>Low</x:v>
      </x:c>
    </x:row>
    <x:row r="746">
      <x:c r="A746" t="n">
        <x:v>745</x:v>
      </x:c>
      <x:c r="B746" t="n">
        <x:v>10079</x:v>
      </x:c>
      <x:c r="C746" s="16" t="n">
        <x:v>46246</x:v>
      </x:c>
      <x:c r="D746" t="str">
        <x:v>20:51:00</x:v>
      </x:c>
      <x:c r="E746" t="str">
        <x:v>Card</x:v>
      </x:c>
      <x:c r="F746" t="str">
        <x:v>Utilities</x:v>
      </x:c>
      <x:c r="G746" s="18" t="n">
        <x:v>32.55</x:v>
      </x:c>
      <x:c r="H746" t="n">
        <x:v>1</x:v>
      </x:c>
      <x:c r="I746" t="n">
        <x:v>0</x:v>
      </x:c>
      <x:c r="J746" t="n">
        <x:v>0</x:v>
      </x:c>
      <x:c r="K746" t="n">
        <x:v>0</x:v>
      </x:c>
      <x:c r="L746" t="n">
        <x:v>36</x:v>
      </x:c>
      <x:c r="M746" t="n">
        <x:v>0</x:v>
      </x:c>
      <x:c r="N746" t="str">
        <x:v>Approved</x:v>
      </x:c>
      <x:c r="O746" t="n">
        <x:v>0</x:v>
      </x:c>
      <x:c r="P746" t="str">
        <x:f>IF(L746&gt;=75,"High",IF(L746&gt;=55,"Medium","Low"))</x:f>
        <x:v>Low</x:v>
      </x:c>
    </x:row>
    <x:row r="747">
      <x:c r="A747" t="n">
        <x:v>746</x:v>
      </x:c>
      <x:c r="B747" t="n">
        <x:v>10171</x:v>
      </x:c>
      <x:c r="C747" s="16" t="n">
        <x:v>46185</x:v>
      </x:c>
      <x:c r="D747" t="str">
        <x:v>09:00:00</x:v>
      </x:c>
      <x:c r="E747" t="str">
        <x:v>Card</x:v>
      </x:c>
      <x:c r="F747" t="str">
        <x:v>Dining</x:v>
      </x:c>
      <x:c r="G747" s="18" t="n">
        <x:v>104.63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10</x:v>
      </x:c>
      <x:c r="M747" t="n">
        <x:v>0</x:v>
      </x:c>
      <x:c r="N747" t="str">
        <x:v>Approved</x:v>
      </x:c>
      <x:c r="O747" t="n">
        <x:v>0</x:v>
      </x:c>
      <x:c r="P747" t="str">
        <x:f>IF(L747&gt;=75,"High",IF(L747&gt;=55,"Medium","Low"))</x:f>
        <x:v>Low</x:v>
      </x:c>
    </x:row>
    <x:row r="748">
      <x:c r="A748" t="n">
        <x:v>747</x:v>
      </x:c>
      <x:c r="B748" t="n">
        <x:v>10125</x:v>
      </x:c>
      <x:c r="C748" s="16" t="n">
        <x:v>46201</x:v>
      </x:c>
      <x:c r="D748" t="str">
        <x:v>19:32:00</x:v>
      </x:c>
      <x:c r="E748" t="str">
        <x:v>P2P</x:v>
      </x:c>
      <x:c r="F748" t="str">
        <x:v>Utilities</x:v>
      </x:c>
      <x:c r="G748" s="18" t="n">
        <x:v>13.4</x:v>
      </x:c>
      <x:c r="H748" t="n">
        <x:v>1</x:v>
      </x:c>
      <x:c r="I748" t="n">
        <x:v>0</x:v>
      </x:c>
      <x:c r="J748" t="n">
        <x:v>0</x:v>
      </x:c>
      <x:c r="K748" t="n">
        <x:v>0</x:v>
      </x:c>
      <x:c r="L748" t="n">
        <x:v>36</x:v>
      </x:c>
      <x:c r="M748" t="n">
        <x:v>0</x:v>
      </x:c>
      <x:c r="N748" t="str">
        <x:v>Approved</x:v>
      </x:c>
      <x:c r="O748" t="n">
        <x:v>0</x:v>
      </x:c>
      <x:c r="P748" t="str">
        <x:f>IF(L748&gt;=75,"High",IF(L748&gt;=55,"Medium","Low"))</x:f>
        <x:v>Low</x:v>
      </x:c>
    </x:row>
    <x:row r="749">
      <x:c r="A749" t="n">
        <x:v>748</x:v>
      </x:c>
      <x:c r="B749" t="n">
        <x:v>10212</x:v>
      </x:c>
      <x:c r="C749" s="16" t="n">
        <x:v>46203</x:v>
      </x:c>
      <x:c r="D749" t="str">
        <x:v>10:18:00</x:v>
      </x:c>
      <x:c r="E749" t="str">
        <x:v>Card</x:v>
      </x:c>
      <x:c r="F749" t="str">
        <x:v>Electronics</x:v>
      </x:c>
      <x:c r="G749" s="18" t="n">
        <x:v>408.12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10</x:v>
      </x:c>
      <x:c r="M749" t="n">
        <x:v>0</x:v>
      </x:c>
      <x:c r="N749" t="str">
        <x:v>Approved</x:v>
      </x:c>
      <x:c r="O749" t="n">
        <x:v>0</x:v>
      </x:c>
      <x:c r="P749" t="str">
        <x:f>IF(L749&gt;=75,"High",IF(L749&gt;=55,"Medium","Low"))</x:f>
        <x:v>Low</x:v>
      </x:c>
    </x:row>
    <x:row r="750">
      <x:c r="A750" t="n">
        <x:v>749</x:v>
      </x:c>
      <x:c r="B750" t="n">
        <x:v>10294</x:v>
      </x:c>
      <x:c r="C750" s="16" t="n">
        <x:v>46190</x:v>
      </x:c>
      <x:c r="D750" t="str">
        <x:v>01:46:00</x:v>
      </x:c>
      <x:c r="E750" t="str">
        <x:v>Bank Transfer</x:v>
      </x:c>
      <x:c r="F750" t="str">
        <x:v>Subscriptions</x:v>
      </x:c>
      <x:c r="G750" s="18" t="n">
        <x:v>29.41</x:v>
      </x:c>
      <x:c r="H750" t="n">
        <x:v>0</x:v>
      </x:c>
      <x:c r="I750" t="n">
        <x:v>0</x:v>
      </x:c>
      <x:c r="J750" t="n">
        <x:v>0</x:v>
      </x:c>
      <x:c r="K750" t="n">
        <x:v>1</x:v>
      </x:c>
      <x:c r="L750" t="n">
        <x:v>25</x:v>
      </x:c>
      <x:c r="M750" t="n">
        <x:v>0</x:v>
      </x:c>
      <x:c r="N750" t="str">
        <x:v>Approved</x:v>
      </x:c>
      <x:c r="O750" t="n">
        <x:v>0</x:v>
      </x:c>
      <x:c r="P750" t="str">
        <x:f>IF(L750&gt;=75,"High",IF(L750&gt;=55,"Medium","Low"))</x:f>
        <x:v>Low</x:v>
      </x:c>
    </x:row>
    <x:row r="751">
      <x:c r="A751" t="n">
        <x:v>750</x:v>
      </x:c>
      <x:c r="B751" t="n">
        <x:v>10123</x:v>
      </x:c>
      <x:c r="C751" s="16" t="n">
        <x:v>46118</x:v>
      </x:c>
      <x:c r="D751" t="str">
        <x:v>02:05:00</x:v>
      </x:c>
      <x:c r="E751" t="str">
        <x:v>Card</x:v>
      </x:c>
      <x:c r="F751" t="str">
        <x:v>Transfer</x:v>
      </x:c>
      <x:c r="G751" s="18" t="n">
        <x:v>121.38</x:v>
      </x:c>
      <x:c r="H751" t="n">
        <x:v>0</x:v>
      </x:c>
      <x:c r="I751" t="n">
        <x:v>0</x:v>
      </x:c>
      <x:c r="J751" t="n">
        <x:v>0</x:v>
      </x:c>
      <x:c r="K751" t="n">
        <x:v>1</x:v>
      </x:c>
      <x:c r="L751" t="n">
        <x:v>25</x:v>
      </x:c>
      <x:c r="M751" t="n">
        <x:v>0</x:v>
      </x:c>
      <x:c r="N751" t="str">
        <x:v>Approved</x:v>
      </x:c>
      <x:c r="O751" t="n">
        <x:v>1</x:v>
      </x:c>
      <x:c r="P751" t="str">
        <x:f>IF(L751&gt;=75,"High",IF(L751&gt;=55,"Medium","Low"))</x:f>
        <x:v>Low</x:v>
      </x:c>
    </x:row>
    <x:row r="752">
      <x:c r="A752" t="n">
        <x:v>751</x:v>
      </x:c>
      <x:c r="B752" t="n">
        <x:v>10310</x:v>
      </x:c>
      <x:c r="C752" s="16" t="n">
        <x:v>46189</x:v>
      </x:c>
      <x:c r="D752" t="str">
        <x:v>06:56:00</x:v>
      </x:c>
      <x:c r="E752" t="str">
        <x:v>Bank Transfer</x:v>
      </x:c>
      <x:c r="F752" t="str">
        <x:v>Utilities</x:v>
      </x:c>
      <x:c r="G752" s="18" t="n">
        <x:v>68.32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10</x:v>
      </x:c>
      <x:c r="M752" t="n">
        <x:v>0</x:v>
      </x:c>
      <x:c r="N752" t="str">
        <x:v>Approved</x:v>
      </x:c>
      <x:c r="O752" t="n">
        <x:v>0</x:v>
      </x:c>
      <x:c r="P752" t="str">
        <x:f>IF(L752&gt;=75,"High",IF(L752&gt;=55,"Medium","Low"))</x:f>
        <x:v>Low</x:v>
      </x:c>
    </x:row>
    <x:row r="753">
      <x:c r="A753" t="n">
        <x:v>752</x:v>
      </x:c>
      <x:c r="B753" t="n">
        <x:v>10035</x:v>
      </x:c>
      <x:c r="C753" s="16" t="n">
        <x:v>46276</x:v>
      </x:c>
      <x:c r="D753" t="str">
        <x:v>18:33:00</x:v>
      </x:c>
      <x:c r="E753" t="str">
        <x:v>Card</x:v>
      </x:c>
      <x:c r="F753" t="str">
        <x:v>Utilities</x:v>
      </x:c>
      <x:c r="G753" s="18" t="n">
        <x:v>157.92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10</x:v>
      </x:c>
      <x:c r="M753" t="n">
        <x:v>0</x:v>
      </x:c>
      <x:c r="N753" t="str">
        <x:v>Approved</x:v>
      </x:c>
      <x:c r="O753" t="n">
        <x:v>0</x:v>
      </x:c>
      <x:c r="P753" t="str">
        <x:f>IF(L753&gt;=75,"High",IF(L753&gt;=55,"Medium","Low"))</x:f>
        <x:v>Low</x:v>
      </x:c>
    </x:row>
    <x:row r="754">
      <x:c r="A754" t="n">
        <x:v>753</x:v>
      </x:c>
      <x:c r="B754" t="n">
        <x:v>10065</x:v>
      </x:c>
      <x:c r="C754" s="16" t="n">
        <x:v>46192</x:v>
      </x:c>
      <x:c r="D754" t="str">
        <x:v>04:32:00</x:v>
      </x:c>
      <x:c r="E754" t="str">
        <x:v>Card</x:v>
      </x:c>
      <x:c r="F754" t="str">
        <x:v>Retail</x:v>
      </x:c>
      <x:c r="G754" s="18" t="n">
        <x:v>206.73</x:v>
      </x:c>
      <x:c r="H754" t="n">
        <x:v>0</x:v>
      </x:c>
      <x:c r="I754" t="n">
        <x:v>0</x:v>
      </x:c>
      <x:c r="J754" t="n">
        <x:v>0</x:v>
      </x:c>
      <x:c r="K754" t="n">
        <x:v>1</x:v>
      </x:c>
      <x:c r="L754" t="n">
        <x:v>25</x:v>
      </x:c>
      <x:c r="M754" t="n">
        <x:v>0</x:v>
      </x:c>
      <x:c r="N754" t="str">
        <x:v>Declined</x:v>
      </x:c>
      <x:c r="O754" t="n">
        <x:v>0</x:v>
      </x:c>
      <x:c r="P754" t="str">
        <x:f>IF(L754&gt;=75,"High",IF(L754&gt;=55,"Medium","Low"))</x:f>
        <x:v>Low</x:v>
      </x:c>
    </x:row>
    <x:row r="755">
      <x:c r="A755" t="n">
        <x:v>754</x:v>
      </x:c>
      <x:c r="B755" t="n">
        <x:v>10322</x:v>
      </x:c>
      <x:c r="C755" s="16" t="n">
        <x:v>46123</x:v>
      </x:c>
      <x:c r="D755" t="str">
        <x:v>00:13:00</x:v>
      </x:c>
      <x:c r="E755" t="str">
        <x:v>P2P</x:v>
      </x:c>
      <x:c r="F755" t="str">
        <x:v>Transfer</x:v>
      </x:c>
      <x:c r="G755" s="18" t="n">
        <x:v>70.23</x:v>
      </x:c>
      <x:c r="H755" t="n">
        <x:v>1</x:v>
      </x:c>
      <x:c r="I755" t="n">
        <x:v>0</x:v>
      </x:c>
      <x:c r="J755" t="n">
        <x:v>0</x:v>
      </x:c>
      <x:c r="K755" t="n">
        <x:v>1</x:v>
      </x:c>
      <x:c r="L755" t="n">
        <x:v>51</x:v>
      </x:c>
      <x:c r="M755" t="n">
        <x:v>0</x:v>
      </x:c>
      <x:c r="N755" t="str">
        <x:v>Approved</x:v>
      </x:c>
      <x:c r="O755" t="n">
        <x:v>0</x:v>
      </x:c>
      <x:c r="P755" t="str">
        <x:f>IF(L755&gt;=75,"High",IF(L755&gt;=55,"Medium","Low"))</x:f>
        <x:v>Low</x:v>
      </x:c>
    </x:row>
    <x:row r="756">
      <x:c r="A756" t="n">
        <x:v>755</x:v>
      </x:c>
      <x:c r="B756" t="n">
        <x:v>10227</x:v>
      </x:c>
      <x:c r="C756" s="16" t="n">
        <x:v>46121</x:v>
      </x:c>
      <x:c r="D756" t="str">
        <x:v>03:59:00</x:v>
      </x:c>
      <x:c r="E756" t="str">
        <x:v>Card</x:v>
      </x:c>
      <x:c r="F756" t="str">
        <x:v>Subscriptions</x:v>
      </x:c>
      <x:c r="G756" s="18" t="n">
        <x:v>89.52</x:v>
      </x:c>
      <x:c r="H756" t="n">
        <x:v>0</x:v>
      </x:c>
      <x:c r="I756" t="n">
        <x:v>0</x:v>
      </x:c>
      <x:c r="J756" t="n">
        <x:v>0</x:v>
      </x:c>
      <x:c r="K756" t="n">
        <x:v>1</x:v>
      </x:c>
      <x:c r="L756" t="n">
        <x:v>25</x:v>
      </x:c>
      <x:c r="M756" t="n">
        <x:v>0</x:v>
      </x:c>
      <x:c r="N756" t="str">
        <x:v>Approved</x:v>
      </x:c>
      <x:c r="O756" t="n">
        <x:v>0</x:v>
      </x:c>
      <x:c r="P756" t="str">
        <x:f>IF(L756&gt;=75,"High",IF(L756&gt;=55,"Medium","Low"))</x:f>
        <x:v>Low</x:v>
      </x:c>
    </x:row>
    <x:row r="757">
      <x:c r="A757" t="n">
        <x:v>756</x:v>
      </x:c>
      <x:c r="B757" t="n">
        <x:v>10110</x:v>
      </x:c>
      <x:c r="C757" s="16" t="n">
        <x:v>46244</x:v>
      </x:c>
      <x:c r="D757" t="str">
        <x:v>11:04:00</x:v>
      </x:c>
      <x:c r="E757" t="str">
        <x:v>Card</x:v>
      </x:c>
      <x:c r="F757" t="str">
        <x:v>Subscriptions</x:v>
      </x:c>
      <x:c r="G757" s="18" t="n">
        <x:v>16.24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10</x:v>
      </x:c>
      <x:c r="M757" t="n">
        <x:v>0</x:v>
      </x:c>
      <x:c r="N757" t="str">
        <x:v>Approved</x:v>
      </x:c>
      <x:c r="O757" t="n">
        <x:v>0</x:v>
      </x:c>
      <x:c r="P757" t="str">
        <x:f>IF(L757&gt;=75,"High",IF(L757&gt;=55,"Medium","Low"))</x:f>
        <x:v>Low</x:v>
      </x:c>
    </x:row>
    <x:row r="758">
      <x:c r="A758" t="n">
        <x:v>757</x:v>
      </x:c>
      <x:c r="B758" t="n">
        <x:v>10199</x:v>
      </x:c>
      <x:c r="C758" s="16" t="n">
        <x:v>46292</x:v>
      </x:c>
      <x:c r="D758" t="str">
        <x:v>02:55:00</x:v>
      </x:c>
      <x:c r="E758" t="str">
        <x:v>Card</x:v>
      </x:c>
      <x:c r="F758" t="str">
        <x:v>Dining</x:v>
      </x:c>
      <x:c r="G758" s="18" t="n">
        <x:v>22.9</x:v>
      </x:c>
      <x:c r="H758" t="n">
        <x:v>0</x:v>
      </x:c>
      <x:c r="I758" t="n">
        <x:v>0</x:v>
      </x:c>
      <x:c r="J758" t="n">
        <x:v>0</x:v>
      </x:c>
      <x:c r="K758" t="n">
        <x:v>1</x:v>
      </x:c>
      <x:c r="L758" t="n">
        <x:v>25</x:v>
      </x:c>
      <x:c r="M758" t="n">
        <x:v>0</x:v>
      </x:c>
      <x:c r="N758" t="str">
        <x:v>Approved</x:v>
      </x:c>
      <x:c r="O758" t="n">
        <x:v>0</x:v>
      </x:c>
      <x:c r="P758" t="str">
        <x:f>IF(L758&gt;=75,"High",IF(L758&gt;=55,"Medium","Low"))</x:f>
        <x:v>Low</x:v>
      </x:c>
    </x:row>
    <x:row r="759">
      <x:c r="A759" t="n">
        <x:v>758</x:v>
      </x:c>
      <x:c r="B759" t="n">
        <x:v>10196</x:v>
      </x:c>
      <x:c r="C759" s="16" t="n">
        <x:v>46140</x:v>
      </x:c>
      <x:c r="D759" t="str">
        <x:v>09:58:00</x:v>
      </x:c>
      <x:c r="E759" t="str">
        <x:v>Bank Transfer</x:v>
      </x:c>
      <x:c r="F759" t="str">
        <x:v>Dining</x:v>
      </x:c>
      <x:c r="G759" s="18" t="n">
        <x:v>71.43</x:v>
      </x:c>
      <x:c r="H759" t="n">
        <x:v>1</x:v>
      </x:c>
      <x:c r="I759" t="n">
        <x:v>0</x:v>
      </x:c>
      <x:c r="J759" t="n">
        <x:v>0</x:v>
      </x:c>
      <x:c r="K759" t="n">
        <x:v>0</x:v>
      </x:c>
      <x:c r="L759" t="n">
        <x:v>36</x:v>
      </x:c>
      <x:c r="M759" t="n">
        <x:v>0</x:v>
      </x:c>
      <x:c r="N759" t="str">
        <x:v>Approved</x:v>
      </x:c>
      <x:c r="O759" t="n">
        <x:v>0</x:v>
      </x:c>
      <x:c r="P759" t="str">
        <x:f>IF(L759&gt;=75,"High",IF(L759&gt;=55,"Medium","Low"))</x:f>
        <x:v>Low</x:v>
      </x:c>
    </x:row>
    <x:row r="760">
      <x:c r="A760" t="n">
        <x:v>759</x:v>
      </x:c>
      <x:c r="B760" t="n">
        <x:v>10015</x:v>
      </x:c>
      <x:c r="C760" s="16" t="n">
        <x:v>46225</x:v>
      </x:c>
      <x:c r="D760" t="str">
        <x:v>02:33:00</x:v>
      </x:c>
      <x:c r="E760" t="str">
        <x:v>P2P</x:v>
      </x:c>
      <x:c r="F760" t="str">
        <x:v>Utilities</x:v>
      </x:c>
      <x:c r="G760" s="18" t="n">
        <x:v>21</x:v>
      </x:c>
      <x:c r="H760" t="n">
        <x:v>1</x:v>
      </x:c>
      <x:c r="I760" t="n">
        <x:v>0</x:v>
      </x:c>
      <x:c r="J760" t="n">
        <x:v>0</x:v>
      </x:c>
      <x:c r="K760" t="n">
        <x:v>1</x:v>
      </x:c>
      <x:c r="L760" t="n">
        <x:v>51</x:v>
      </x:c>
      <x:c r="M760" t="n">
        <x:v>0</x:v>
      </x:c>
      <x:c r="N760" t="str">
        <x:v>Approved</x:v>
      </x:c>
      <x:c r="O760" t="n">
        <x:v>0</x:v>
      </x:c>
      <x:c r="P760" t="str">
        <x:f>IF(L760&gt;=75,"High",IF(L760&gt;=55,"Medium","Low"))</x:f>
        <x:v>Low</x:v>
      </x:c>
    </x:row>
    <x:row r="761">
      <x:c r="A761" t="n">
        <x:v>760</x:v>
      </x:c>
      <x:c r="B761" t="n">
        <x:v>10180</x:v>
      </x:c>
      <x:c r="C761" s="16" t="n">
        <x:v>46170</x:v>
      </x:c>
      <x:c r="D761" t="str">
        <x:v>22:07:00</x:v>
      </x:c>
      <x:c r="E761" t="str">
        <x:v>P2P</x:v>
      </x:c>
      <x:c r="F761" t="str">
        <x:v>Dining</x:v>
      </x:c>
      <x:c r="G761" s="18" t="n">
        <x:v>75.01</x:v>
      </x:c>
      <x:c r="H761" t="n">
        <x:v>1</x:v>
      </x:c>
      <x:c r="I761" t="n">
        <x:v>1</x:v>
      </x:c>
      <x:c r="J761" t="n">
        <x:v>0</x:v>
      </x:c>
      <x:c r="K761" t="n">
        <x:v>0</x:v>
      </x:c>
      <x:c r="L761" t="n">
        <x:v>56</x:v>
      </x:c>
      <x:c r="M761" t="n">
        <x:v>1</x:v>
      </x:c>
      <x:c r="N761" t="str">
        <x:v>Approved</x:v>
      </x:c>
      <x:c r="O761" t="n">
        <x:v>0</x:v>
      </x:c>
      <x:c r="P761" t="str">
        <x:f>IF(L761&gt;=75,"High",IF(L761&gt;=55,"Medium","Low"))</x:f>
        <x:v>Medium</x:v>
      </x:c>
    </x:row>
    <x:row r="762">
      <x:c r="A762" t="n">
        <x:v>761</x:v>
      </x:c>
      <x:c r="B762" t="n">
        <x:v>10044</x:v>
      </x:c>
      <x:c r="C762" s="16" t="n">
        <x:v>46212</x:v>
      </x:c>
      <x:c r="D762" t="str">
        <x:v>19:03:00</x:v>
      </x:c>
      <x:c r="E762" t="str">
        <x:v>Bank Transfer</x:v>
      </x:c>
      <x:c r="F762" t="str">
        <x:v>Subscriptions</x:v>
      </x:c>
      <x:c r="G762" s="18" t="n">
        <x:v>80.91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10</x:v>
      </x:c>
      <x:c r="M762" t="n">
        <x:v>0</x:v>
      </x:c>
      <x:c r="N762" t="str">
        <x:v>Approved</x:v>
      </x:c>
      <x:c r="O762" t="n">
        <x:v>0</x:v>
      </x:c>
      <x:c r="P762" t="str">
        <x:f>IF(L762&gt;=75,"High",IF(L762&gt;=55,"Medium","Low"))</x:f>
        <x:v>Low</x:v>
      </x:c>
    </x:row>
    <x:row r="763">
      <x:c r="A763" t="n">
        <x:v>762</x:v>
      </x:c>
      <x:c r="B763" t="n">
        <x:v>10072</x:v>
      </x:c>
      <x:c r="C763" s="16" t="n">
        <x:v>46239</x:v>
      </x:c>
      <x:c r="D763" t="str">
        <x:v>19:04:00</x:v>
      </x:c>
      <x:c r="E763" t="str">
        <x:v>Card</x:v>
      </x:c>
      <x:c r="F763" t="str">
        <x:v>Electronics</x:v>
      </x:c>
      <x:c r="G763" s="18" t="n">
        <x:v>18.02</x:v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n">
        <x:v>10</x:v>
      </x:c>
      <x:c r="M763" t="n">
        <x:v>0</x:v>
      </x:c>
      <x:c r="N763" t="str">
        <x:v>Approved</x:v>
      </x:c>
      <x:c r="O763" t="n">
        <x:v>0</x:v>
      </x:c>
      <x:c r="P763" t="str">
        <x:f>IF(L763&gt;=75,"High",IF(L763&gt;=55,"Medium","Low"))</x:f>
        <x:v>Low</x:v>
      </x:c>
    </x:row>
    <x:row r="764">
      <x:c r="A764" t="n">
        <x:v>763</x:v>
      </x:c>
      <x:c r="B764" t="n">
        <x:v>10108</x:v>
      </x:c>
      <x:c r="C764" s="16" t="n">
        <x:v>46162</x:v>
      </x:c>
      <x:c r="D764" t="str">
        <x:v>00:47:00</x:v>
      </x:c>
      <x:c r="E764" t="str">
        <x:v>Bank Transfer</x:v>
      </x:c>
      <x:c r="F764" t="str">
        <x:v>Transfer</x:v>
      </x:c>
      <x:c r="G764" s="18" t="n">
        <x:v>27.02</x:v>
      </x:c>
      <x:c r="H764" t="n">
        <x:v>1</x:v>
      </x:c>
      <x:c r="I764" t="n">
        <x:v>0</x:v>
      </x:c>
      <x:c r="J764" t="n">
        <x:v>0</x:v>
      </x:c>
      <x:c r="K764" t="n">
        <x:v>1</x:v>
      </x:c>
      <x:c r="L764" t="n">
        <x:v>51</x:v>
      </x:c>
      <x:c r="M764" t="n">
        <x:v>0</x:v>
      </x:c>
      <x:c r="N764" t="str">
        <x:v>Declined</x:v>
      </x:c>
      <x:c r="O764" t="n">
        <x:v>0</x:v>
      </x:c>
      <x:c r="P764" t="str">
        <x:f>IF(L764&gt;=75,"High",IF(L764&gt;=55,"Medium","Low"))</x:f>
        <x:v>Low</x:v>
      </x:c>
    </x:row>
    <x:row r="765">
      <x:c r="A765" t="n">
        <x:v>764</x:v>
      </x:c>
      <x:c r="B765" t="n">
        <x:v>10290</x:v>
      </x:c>
      <x:c r="C765" s="16" t="n">
        <x:v>46130</x:v>
      </x:c>
      <x:c r="D765" t="str">
        <x:v>23:11:00</x:v>
      </x:c>
      <x:c r="E765" t="str">
        <x:v>Card</x:v>
      </x:c>
      <x:c r="F765" t="str">
        <x:v>Electronics</x:v>
      </x:c>
      <x:c r="G765" s="18" t="n">
        <x:v>663.75</x:v>
      </x:c>
      <x:c r="H765" t="n">
        <x:v>0</x:v>
      </x:c>
      <x:c r="I765" t="n">
        <x:v>0</x:v>
      </x:c>
      <x:c r="J765" t="n">
        <x:v>1</x:v>
      </x:c>
      <x:c r="K765" t="n">
        <x:v>0</x:v>
      </x:c>
      <x:c r="L765" t="n">
        <x:v>44</x:v>
      </x:c>
      <x:c r="M765" t="n">
        <x:v>0</x:v>
      </x:c>
      <x:c r="N765" t="str">
        <x:v>Approved</x:v>
      </x:c>
      <x:c r="O765" t="n">
        <x:v>0</x:v>
      </x:c>
      <x:c r="P765" t="str">
        <x:f>IF(L765&gt;=75,"High",IF(L765&gt;=55,"Medium","Low"))</x:f>
        <x:v>Low</x:v>
      </x:c>
    </x:row>
    <x:row r="766">
      <x:c r="A766" t="n">
        <x:v>765</x:v>
      </x:c>
      <x:c r="B766" t="n">
        <x:v>10197</x:v>
      </x:c>
      <x:c r="C766" s="16" t="n">
        <x:v>46180</x:v>
      </x:c>
      <x:c r="D766" t="str">
        <x:v>22:26:00</x:v>
      </x:c>
      <x:c r="E766" t="str">
        <x:v>Card</x:v>
      </x:c>
      <x:c r="F766" t="str">
        <x:v>Retail</x:v>
      </x:c>
      <x:c r="G766" s="18" t="n">
        <x:v>164.87</x:v>
      </x:c>
      <x:c r="H766" t="n">
        <x:v>0</x:v>
      </x:c>
      <x:c r="I766" t="n">
        <x:v>1</x:v>
      </x:c>
      <x:c r="J766" t="n">
        <x:v>0</x:v>
      </x:c>
      <x:c r="K766" t="n">
        <x:v>0</x:v>
      </x:c>
      <x:c r="L766" t="n">
        <x:v>30</x:v>
      </x:c>
      <x:c r="M766" t="n">
        <x:v>0</x:v>
      </x:c>
      <x:c r="N766" t="str">
        <x:v>Approved</x:v>
      </x:c>
      <x:c r="O766" t="n">
        <x:v>0</x:v>
      </x:c>
      <x:c r="P766" t="str">
        <x:f>IF(L766&gt;=75,"High",IF(L766&gt;=55,"Medium","Low"))</x:f>
        <x:v>Low</x:v>
      </x:c>
    </x:row>
    <x:row r="767">
      <x:c r="A767" t="n">
        <x:v>766</x:v>
      </x:c>
      <x:c r="B767" t="n">
        <x:v>10129</x:v>
      </x:c>
      <x:c r="C767" s="16" t="n">
        <x:v>46214</x:v>
      </x:c>
      <x:c r="D767" t="str">
        <x:v>14:56:00</x:v>
      </x:c>
      <x:c r="E767" t="str">
        <x:v>Card</x:v>
      </x:c>
      <x:c r="F767" t="str">
        <x:v>Retail</x:v>
      </x:c>
      <x:c r="G767" s="18" t="n">
        <x:v>208.58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10</x:v>
      </x:c>
      <x:c r="M767" t="n">
        <x:v>0</x:v>
      </x:c>
      <x:c r="N767" t="str">
        <x:v>Approved</x:v>
      </x:c>
      <x:c r="O767" t="n">
        <x:v>0</x:v>
      </x:c>
      <x:c r="P767" t="str">
        <x:f>IF(L767&gt;=75,"High",IF(L767&gt;=55,"Medium","Low"))</x:f>
        <x:v>Low</x:v>
      </x:c>
    </x:row>
    <x:row r="768">
      <x:c r="A768" t="n">
        <x:v>767</x:v>
      </x:c>
      <x:c r="B768" t="n">
        <x:v>10022</x:v>
      </x:c>
      <x:c r="C768" s="16" t="n">
        <x:v>46194</x:v>
      </x:c>
      <x:c r="D768" t="str">
        <x:v>09:58:00</x:v>
      </x:c>
      <x:c r="E768" t="str">
        <x:v>Bank Transfer</x:v>
      </x:c>
      <x:c r="F768" t="str">
        <x:v>Subscriptions</x:v>
      </x:c>
      <x:c r="G768" s="18" t="n">
        <x:v>196.1</x:v>
      </x:c>
      <x:c r="H768" t="n">
        <x:v>1</x:v>
      </x:c>
      <x:c r="I768" t="n">
        <x:v>0</x:v>
      </x:c>
      <x:c r="J768" t="n">
        <x:v>0</x:v>
      </x:c>
      <x:c r="K768" t="n">
        <x:v>0</x:v>
      </x:c>
      <x:c r="L768" t="n">
        <x:v>36</x:v>
      </x:c>
      <x:c r="M768" t="n">
        <x:v>0</x:v>
      </x:c>
      <x:c r="N768" t="str">
        <x:v>Approved</x:v>
      </x:c>
      <x:c r="O768" t="n">
        <x:v>0</x:v>
      </x:c>
      <x:c r="P768" t="str">
        <x:f>IF(L768&gt;=75,"High",IF(L768&gt;=55,"Medium","Low"))</x:f>
        <x:v>Low</x:v>
      </x:c>
    </x:row>
    <x:row r="769">
      <x:c r="A769" t="n">
        <x:v>768</x:v>
      </x:c>
      <x:c r="B769" t="n">
        <x:v>10310</x:v>
      </x:c>
      <x:c r="C769" s="16" t="n">
        <x:v>46244</x:v>
      </x:c>
      <x:c r="D769" t="str">
        <x:v>03:31:00</x:v>
      </x:c>
      <x:c r="E769" t="str">
        <x:v>Card</x:v>
      </x:c>
      <x:c r="F769" t="str">
        <x:v>Travel</x:v>
      </x:c>
      <x:c r="G769" s="18" t="n">
        <x:v>119.85</x:v>
      </x:c>
      <x:c r="H769" t="n">
        <x:v>0</x:v>
      </x:c>
      <x:c r="I769" t="n">
        <x:v>0</x:v>
      </x:c>
      <x:c r="J769" t="n">
        <x:v>0</x:v>
      </x:c>
      <x:c r="K769" t="n">
        <x:v>1</x:v>
      </x:c>
      <x:c r="L769" t="n">
        <x:v>25</x:v>
      </x:c>
      <x:c r="M769" t="n">
        <x:v>0</x:v>
      </x:c>
      <x:c r="N769" t="str">
        <x:v>Declined</x:v>
      </x:c>
      <x:c r="O769" t="n">
        <x:v>0</x:v>
      </x:c>
      <x:c r="P769" t="str">
        <x:f>IF(L769&gt;=75,"High",IF(L769&gt;=55,"Medium","Low"))</x:f>
        <x:v>Low</x:v>
      </x:c>
    </x:row>
    <x:row r="770">
      <x:c r="A770" t="n">
        <x:v>769</x:v>
      </x:c>
      <x:c r="B770" t="n">
        <x:v>10015</x:v>
      </x:c>
      <x:c r="C770" s="16" t="n">
        <x:v>46204</x:v>
      </x:c>
      <x:c r="D770" t="str">
        <x:v>05:11:00</x:v>
      </x:c>
      <x:c r="E770" t="str">
        <x:v>Bank Transfer</x:v>
      </x:c>
      <x:c r="F770" t="str">
        <x:v>Subscriptions</x:v>
      </x:c>
      <x:c r="G770" s="18" t="n">
        <x:v>86.05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10</x:v>
      </x:c>
      <x:c r="M770" t="n">
        <x:v>0</x:v>
      </x:c>
      <x:c r="N770" t="str">
        <x:v>Approved</x:v>
      </x:c>
      <x:c r="O770" t="n">
        <x:v>0</x:v>
      </x:c>
      <x:c r="P770" t="str">
        <x:f>IF(L770&gt;=75,"High",IF(L770&gt;=55,"Medium","Low"))</x:f>
        <x:v>Low</x:v>
      </x:c>
    </x:row>
    <x:row r="771">
      <x:c r="A771" t="n">
        <x:v>770</x:v>
      </x:c>
      <x:c r="B771" t="n">
        <x:v>10113</x:v>
      </x:c>
      <x:c r="C771" s="16" t="n">
        <x:v>46251</x:v>
      </x:c>
      <x:c r="D771" t="str">
        <x:v>10:34:00</x:v>
      </x:c>
      <x:c r="E771" t="str">
        <x:v>Bank Transfer</x:v>
      </x:c>
      <x:c r="F771" t="str">
        <x:v>Dining</x:v>
      </x:c>
      <x:c r="G771" s="18" t="n">
        <x:v>48.02</x:v>
      </x:c>
      <x:c r="H771" t="n">
        <x:v>0</x:v>
      </x:c>
      <x:c r="I771" t="n">
        <x:v>1</x:v>
      </x:c>
      <x:c r="J771" t="n">
        <x:v>0</x:v>
      </x:c>
      <x:c r="K771" t="n">
        <x:v>0</x:v>
      </x:c>
      <x:c r="L771" t="n">
        <x:v>30</x:v>
      </x:c>
      <x:c r="M771" t="n">
        <x:v>0</x:v>
      </x:c>
      <x:c r="N771" t="str">
        <x:v>Approved</x:v>
      </x:c>
      <x:c r="O771" t="n">
        <x:v>0</x:v>
      </x:c>
      <x:c r="P771" t="str">
        <x:f>IF(L771&gt;=75,"High",IF(L771&gt;=55,"Medium","Low"))</x:f>
        <x:v>Low</x:v>
      </x:c>
    </x:row>
    <x:row r="772">
      <x:c r="A772" t="n">
        <x:v>771</x:v>
      </x:c>
      <x:c r="B772" t="n">
        <x:v>10033</x:v>
      </x:c>
      <x:c r="C772" s="16" t="n">
        <x:v>46237</x:v>
      </x:c>
      <x:c r="D772" t="str">
        <x:v>22:38:00</x:v>
      </x:c>
      <x:c r="E772" t="str">
        <x:v>Card</x:v>
      </x:c>
      <x:c r="F772" t="str">
        <x:v>Retail</x:v>
      </x:c>
      <x:c r="G772" s="18" t="n">
        <x:v>9.43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10</x:v>
      </x:c>
      <x:c r="M772" t="n">
        <x:v>0</x:v>
      </x:c>
      <x:c r="N772" t="str">
        <x:v>Approved</x:v>
      </x:c>
      <x:c r="O772" t="n">
        <x:v>0</x:v>
      </x:c>
      <x:c r="P772" t="str">
        <x:f>IF(L772&gt;=75,"High",IF(L772&gt;=55,"Medium","Low"))</x:f>
        <x:v>Low</x:v>
      </x:c>
    </x:row>
    <x:row r="773">
      <x:c r="A773" t="n">
        <x:v>772</x:v>
      </x:c>
      <x:c r="B773" t="n">
        <x:v>10349</x:v>
      </x:c>
      <x:c r="C773" s="16" t="n">
        <x:v>46289</x:v>
      </x:c>
      <x:c r="D773" t="str">
        <x:v>18:09:00</x:v>
      </x:c>
      <x:c r="E773" t="str">
        <x:v>P2P</x:v>
      </x:c>
      <x:c r="F773" t="str">
        <x:v>Dining</x:v>
      </x:c>
      <x:c r="G773" s="18" t="n">
        <x:v>55.64</x:v>
      </x:c>
      <x:c r="H773" t="n">
        <x:v>1</x:v>
      </x:c>
      <x:c r="I773" t="n">
        <x:v>0</x:v>
      </x:c>
      <x:c r="J773" t="n">
        <x:v>0</x:v>
      </x:c>
      <x:c r="K773" t="n">
        <x:v>0</x:v>
      </x:c>
      <x:c r="L773" t="n">
        <x:v>36</x:v>
      </x:c>
      <x:c r="M773" t="n">
        <x:v>0</x:v>
      </x:c>
      <x:c r="N773" t="str">
        <x:v>Approved</x:v>
      </x:c>
      <x:c r="O773" t="n">
        <x:v>0</x:v>
      </x:c>
      <x:c r="P773" t="str">
        <x:f>IF(L773&gt;=75,"High",IF(L773&gt;=55,"Medium","Low"))</x:f>
        <x:v>Low</x:v>
      </x:c>
    </x:row>
    <x:row r="774">
      <x:c r="A774" t="n">
        <x:v>773</x:v>
      </x:c>
      <x:c r="B774" t="n">
        <x:v>10330</x:v>
      </x:c>
      <x:c r="C774" s="16" t="n">
        <x:v>46248</x:v>
      </x:c>
      <x:c r="D774" t="str">
        <x:v>20:49:00</x:v>
      </x:c>
      <x:c r="E774" t="str">
        <x:v>Card</x:v>
      </x:c>
      <x:c r="F774" t="str">
        <x:v>Travel</x:v>
      </x:c>
      <x:c r="G774" s="18" t="n">
        <x:v>105.85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10</x:v>
      </x:c>
      <x:c r="M774" t="n">
        <x:v>0</x:v>
      </x:c>
      <x:c r="N774" t="str">
        <x:v>Approved</x:v>
      </x:c>
      <x:c r="O774" t="n">
        <x:v>0</x:v>
      </x:c>
      <x:c r="P774" t="str">
        <x:f>IF(L774&gt;=75,"High",IF(L774&gt;=55,"Medium","Low"))</x:f>
        <x:v>Low</x:v>
      </x:c>
    </x:row>
    <x:row r="775">
      <x:c r="A775" t="n">
        <x:v>774</x:v>
      </x:c>
      <x:c r="B775" t="n">
        <x:v>10336</x:v>
      </x:c>
      <x:c r="C775" s="16" t="n">
        <x:v>46155</x:v>
      </x:c>
      <x:c r="D775" t="str">
        <x:v>08:47:00</x:v>
      </x:c>
      <x:c r="E775" t="str">
        <x:v>Card</x:v>
      </x:c>
      <x:c r="F775" t="str">
        <x:v>Dining</x:v>
      </x:c>
      <x:c r="G775" s="18" t="n">
        <x:v>59.12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10</x:v>
      </x:c>
      <x:c r="M775" t="n">
        <x:v>0</x:v>
      </x:c>
      <x:c r="N775" t="str">
        <x:v>Approved</x:v>
      </x:c>
      <x:c r="O775" t="n">
        <x:v>0</x:v>
      </x:c>
      <x:c r="P775" t="str">
        <x:f>IF(L775&gt;=75,"High",IF(L775&gt;=55,"Medium","Low"))</x:f>
        <x:v>Low</x:v>
      </x:c>
    </x:row>
    <x:row r="776">
      <x:c r="A776" t="n">
        <x:v>775</x:v>
      </x:c>
      <x:c r="B776" t="n">
        <x:v>10105</x:v>
      </x:c>
      <x:c r="C776" s="16" t="n">
        <x:v>46266</x:v>
      </x:c>
      <x:c r="D776" t="str">
        <x:v>07:01:00</x:v>
      </x:c>
      <x:c r="E776" t="str">
        <x:v>P2P</x:v>
      </x:c>
      <x:c r="F776" t="str">
        <x:v>Dining</x:v>
      </x:c>
      <x:c r="G776" s="18" t="n">
        <x:v>60.26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10</x:v>
      </x:c>
      <x:c r="M776" t="n">
        <x:v>0</x:v>
      </x:c>
      <x:c r="N776" t="str">
        <x:v>Approved</x:v>
      </x:c>
      <x:c r="O776" t="n">
        <x:v>0</x:v>
      </x:c>
      <x:c r="P776" t="str">
        <x:f>IF(L776&gt;=75,"High",IF(L776&gt;=55,"Medium","Low"))</x:f>
        <x:v>Low</x:v>
      </x:c>
    </x:row>
    <x:row r="777">
      <x:c r="A777" t="n">
        <x:v>776</x:v>
      </x:c>
      <x:c r="B777" t="n">
        <x:v>10307</x:v>
      </x:c>
      <x:c r="C777" s="16" t="n">
        <x:v>46166</x:v>
      </x:c>
      <x:c r="D777" t="str">
        <x:v>20:34:00</x:v>
      </x:c>
      <x:c r="E777" t="str">
        <x:v>Bank Transfer</x:v>
      </x:c>
      <x:c r="F777" t="str">
        <x:v>Utilities</x:v>
      </x:c>
      <x:c r="G777" s="18" t="n">
        <x:v>42.7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10</x:v>
      </x:c>
      <x:c r="M777" t="n">
        <x:v>0</x:v>
      </x:c>
      <x:c r="N777" t="str">
        <x:v>Approved</x:v>
      </x:c>
      <x:c r="O777" t="n">
        <x:v>0</x:v>
      </x:c>
      <x:c r="P777" t="str">
        <x:f>IF(L777&gt;=75,"High",IF(L777&gt;=55,"Medium","Low"))</x:f>
        <x:v>Low</x:v>
      </x:c>
    </x:row>
    <x:row r="778">
      <x:c r="A778" t="n">
        <x:v>777</x:v>
      </x:c>
      <x:c r="B778" t="n">
        <x:v>10205</x:v>
      </x:c>
      <x:c r="C778" s="16" t="n">
        <x:v>46292</x:v>
      </x:c>
      <x:c r="D778" t="str">
        <x:v>07:01:00</x:v>
      </x:c>
      <x:c r="E778" t="str">
        <x:v>Bank Transfer</x:v>
      </x:c>
      <x:c r="F778" t="str">
        <x:v>Transfer</x:v>
      </x:c>
      <x:c r="G778" s="18" t="n">
        <x:v>69.65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10</x:v>
      </x:c>
      <x:c r="M778" t="n">
        <x:v>0</x:v>
      </x:c>
      <x:c r="N778" t="str">
        <x:v>Approved</x:v>
      </x:c>
      <x:c r="O778" t="n">
        <x:v>0</x:v>
      </x:c>
      <x:c r="P778" t="str">
        <x:f>IF(L778&gt;=75,"High",IF(L778&gt;=55,"Medium","Low"))</x:f>
        <x:v>Low</x:v>
      </x:c>
    </x:row>
    <x:row r="779">
      <x:c r="A779" t="n">
        <x:v>778</x:v>
      </x:c>
      <x:c r="B779" t="n">
        <x:v>10109</x:v>
      </x:c>
      <x:c r="C779" s="16" t="n">
        <x:v>46217</x:v>
      </x:c>
      <x:c r="D779" t="str">
        <x:v>01:21:00</x:v>
      </x:c>
      <x:c r="E779" t="str">
        <x:v>Bank Transfer</x:v>
      </x:c>
      <x:c r="F779" t="str">
        <x:v>Transfer</x:v>
      </x:c>
      <x:c r="G779" s="18" t="n">
        <x:v>754.5</x:v>
      </x:c>
      <x:c r="H779" t="n">
        <x:v>1</x:v>
      </x:c>
      <x:c r="I779" t="n">
        <x:v>0</x:v>
      </x:c>
      <x:c r="J779" t="n">
        <x:v>1</x:v>
      </x:c>
      <x:c r="K779" t="n">
        <x:v>1</x:v>
      </x:c>
      <x:c r="L779" t="n">
        <x:v>85</x:v>
      </x:c>
      <x:c r="M779" t="n">
        <x:v>1</x:v>
      </x:c>
      <x:c r="N779" t="str">
        <x:v>Approved</x:v>
      </x:c>
      <x:c r="O779" t="n">
        <x:v>0</x:v>
      </x:c>
      <x:c r="P779" t="str">
        <x:f>IF(L779&gt;=75,"High",IF(L779&gt;=55,"Medium","Low"))</x:f>
        <x:v>High</x:v>
      </x:c>
    </x:row>
    <x:row r="780">
      <x:c r="A780" t="n">
        <x:v>779</x:v>
      </x:c>
      <x:c r="B780" t="n">
        <x:v>10148</x:v>
      </x:c>
      <x:c r="C780" s="16" t="n">
        <x:v>46235</x:v>
      </x:c>
      <x:c r="D780" t="str">
        <x:v>21:25:00</x:v>
      </x:c>
      <x:c r="E780" t="str">
        <x:v>Card</x:v>
      </x:c>
      <x:c r="F780" t="str">
        <x:v>Retail</x:v>
      </x:c>
      <x:c r="G780" s="18" t="n">
        <x:v>117.56</x:v>
      </x:c>
      <x:c r="H780" t="n">
        <x:v>0</x:v>
      </x:c>
      <x:c r="I780" t="n">
        <x:v>1</x:v>
      </x:c>
      <x:c r="J780" t="n">
        <x:v>0</x:v>
      </x:c>
      <x:c r="K780" t="n">
        <x:v>0</x:v>
      </x:c>
      <x:c r="L780" t="n">
        <x:v>30</x:v>
      </x:c>
      <x:c r="M780" t="n">
        <x:v>0</x:v>
      </x:c>
      <x:c r="N780" t="str">
        <x:v>Approved</x:v>
      </x:c>
      <x:c r="O780" t="n">
        <x:v>0</x:v>
      </x:c>
      <x:c r="P780" t="str">
        <x:f>IF(L780&gt;=75,"High",IF(L780&gt;=55,"Medium","Low"))</x:f>
        <x:v>Low</x:v>
      </x:c>
    </x:row>
    <x:row r="781">
      <x:c r="A781" t="n">
        <x:v>780</x:v>
      </x:c>
      <x:c r="B781" t="n">
        <x:v>10100</x:v>
      </x:c>
      <x:c r="C781" s="16" t="n">
        <x:v>46244</x:v>
      </x:c>
      <x:c r="D781" t="str">
        <x:v>07:30:00</x:v>
      </x:c>
      <x:c r="E781" t="str">
        <x:v>Card</x:v>
      </x:c>
      <x:c r="F781" t="str">
        <x:v>Electronics</x:v>
      </x:c>
      <x:c r="G781" s="18" t="n">
        <x:v>103.39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10</x:v>
      </x:c>
      <x:c r="M781" t="n">
        <x:v>0</x:v>
      </x:c>
      <x:c r="N781" t="str">
        <x:v>Approved</x:v>
      </x:c>
      <x:c r="O781" t="n">
        <x:v>0</x:v>
      </x:c>
      <x:c r="P781" t="str">
        <x:f>IF(L781&gt;=75,"High",IF(L781&gt;=55,"Medium","Low"))</x:f>
        <x:v>Low</x:v>
      </x:c>
    </x:row>
    <x:row r="782">
      <x:c r="A782" t="n">
        <x:v>781</x:v>
      </x:c>
      <x:c r="B782" t="n">
        <x:v>10310</x:v>
      </x:c>
      <x:c r="C782" s="16" t="n">
        <x:v>46231</x:v>
      </x:c>
      <x:c r="D782" t="str">
        <x:v>22:57:00</x:v>
      </x:c>
      <x:c r="E782" t="str">
        <x:v>Bank Transfer</x:v>
      </x:c>
      <x:c r="F782" t="str">
        <x:v>Dining</x:v>
      </x:c>
      <x:c r="G782" s="18" t="n">
        <x:v>76.25</x:v>
      </x:c>
      <x:c r="H782" t="n">
        <x:v>1</x:v>
      </x:c>
      <x:c r="I782" t="n">
        <x:v>0</x:v>
      </x:c>
      <x:c r="J782" t="n">
        <x:v>0</x:v>
      </x:c>
      <x:c r="K782" t="n">
        <x:v>0</x:v>
      </x:c>
      <x:c r="L782" t="n">
        <x:v>36</x:v>
      </x:c>
      <x:c r="M782" t="n">
        <x:v>0</x:v>
      </x:c>
      <x:c r="N782" t="str">
        <x:v>Approved</x:v>
      </x:c>
      <x:c r="O782" t="n">
        <x:v>0</x:v>
      </x:c>
      <x:c r="P782" t="str">
        <x:f>IF(L782&gt;=75,"High",IF(L782&gt;=55,"Medium","Low"))</x:f>
        <x:v>Low</x:v>
      </x:c>
    </x:row>
    <x:row r="783">
      <x:c r="A783" t="n">
        <x:v>782</x:v>
      </x:c>
      <x:c r="B783" t="n">
        <x:v>10097</x:v>
      </x:c>
      <x:c r="C783" s="16" t="n">
        <x:v>46167</x:v>
      </x:c>
      <x:c r="D783" t="str">
        <x:v>00:51:00</x:v>
      </x:c>
      <x:c r="E783" t="str">
        <x:v>P2P</x:v>
      </x:c>
      <x:c r="F783" t="str">
        <x:v>Dining</x:v>
      </x:c>
      <x:c r="G783" s="18" t="n">
        <x:v>66.09</x:v>
      </x:c>
      <x:c r="H783" t="n">
        <x:v>0</x:v>
      </x:c>
      <x:c r="I783" t="n">
        <x:v>0</x:v>
      </x:c>
      <x:c r="J783" t="n">
        <x:v>0</x:v>
      </x:c>
      <x:c r="K783" t="n">
        <x:v>1</x:v>
      </x:c>
      <x:c r="L783" t="n">
        <x:v>25</x:v>
      </x:c>
      <x:c r="M783" t="n">
        <x:v>0</x:v>
      </x:c>
      <x:c r="N783" t="str">
        <x:v>Approved</x:v>
      </x:c>
      <x:c r="O783" t="n">
        <x:v>0</x:v>
      </x:c>
      <x:c r="P783" t="str">
        <x:f>IF(L783&gt;=75,"High",IF(L783&gt;=55,"Medium","Low"))</x:f>
        <x:v>Low</x:v>
      </x:c>
    </x:row>
    <x:row r="784">
      <x:c r="A784" t="n">
        <x:v>783</x:v>
      </x:c>
      <x:c r="B784" t="n">
        <x:v>10128</x:v>
      </x:c>
      <x:c r="C784" s="16" t="n">
        <x:v>46235</x:v>
      </x:c>
      <x:c r="D784" t="str">
        <x:v>22:53:00</x:v>
      </x:c>
      <x:c r="E784" t="str">
        <x:v>Card</x:v>
      </x:c>
      <x:c r="F784" t="str">
        <x:v>Retail</x:v>
      </x:c>
      <x:c r="G784" s="18" t="n">
        <x:v>28.23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10</x:v>
      </x:c>
      <x:c r="M784" t="n">
        <x:v>0</x:v>
      </x:c>
      <x:c r="N784" t="str">
        <x:v>Approved</x:v>
      </x:c>
      <x:c r="O784" t="n">
        <x:v>0</x:v>
      </x:c>
      <x:c r="P784" t="str">
        <x:f>IF(L784&gt;=75,"High",IF(L784&gt;=55,"Medium","Low"))</x:f>
        <x:v>Low</x:v>
      </x:c>
    </x:row>
    <x:row r="785">
      <x:c r="A785" t="n">
        <x:v>784</x:v>
      </x:c>
      <x:c r="B785" t="n">
        <x:v>10331</x:v>
      </x:c>
      <x:c r="C785" s="16" t="n">
        <x:v>46238</x:v>
      </x:c>
      <x:c r="D785" t="str">
        <x:v>17:51:00</x:v>
      </x:c>
      <x:c r="E785" t="str">
        <x:v>Card</x:v>
      </x:c>
      <x:c r="F785" t="str">
        <x:v>Subscriptions</x:v>
      </x:c>
      <x:c r="G785" s="18" t="n">
        <x:v>47.57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10</x:v>
      </x:c>
      <x:c r="M785" t="n">
        <x:v>0</x:v>
      </x:c>
      <x:c r="N785" t="str">
        <x:v>Approved</x:v>
      </x:c>
      <x:c r="O785" t="n">
        <x:v>0</x:v>
      </x:c>
      <x:c r="P785" t="str">
        <x:f>IF(L785&gt;=75,"High",IF(L785&gt;=55,"Medium","Low"))</x:f>
        <x:v>Low</x:v>
      </x:c>
    </x:row>
    <x:row r="786">
      <x:c r="A786" t="n">
        <x:v>785</x:v>
      </x:c>
      <x:c r="B786" t="n">
        <x:v>10258</x:v>
      </x:c>
      <x:c r="C786" s="16" t="n">
        <x:v>46120</x:v>
      </x:c>
      <x:c r="D786" t="str">
        <x:v>08:05:00</x:v>
      </x:c>
      <x:c r="E786" t="str">
        <x:v>Card</x:v>
      </x:c>
      <x:c r="F786" t="str">
        <x:v>Dining</x:v>
      </x:c>
      <x:c r="G786" s="18" t="n">
        <x:v>26.76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10</x:v>
      </x:c>
      <x:c r="M786" t="n">
        <x:v>0</x:v>
      </x:c>
      <x:c r="N786" t="str">
        <x:v>Approved</x:v>
      </x:c>
      <x:c r="O786" t="n">
        <x:v>0</x:v>
      </x:c>
      <x:c r="P786" t="str">
        <x:f>IF(L786&gt;=75,"High",IF(L786&gt;=55,"Medium","Low"))</x:f>
        <x:v>Low</x:v>
      </x:c>
    </x:row>
    <x:row r="787">
      <x:c r="A787" t="n">
        <x:v>786</x:v>
      </x:c>
      <x:c r="B787" t="n">
        <x:v>10231</x:v>
      </x:c>
      <x:c r="C787" s="16" t="n">
        <x:v>46257</x:v>
      </x:c>
      <x:c r="D787" t="str">
        <x:v>01:09:00</x:v>
      </x:c>
      <x:c r="E787" t="str">
        <x:v>Card</x:v>
      </x:c>
      <x:c r="F787" t="str">
        <x:v>Subscriptions</x:v>
      </x:c>
      <x:c r="G787" s="18" t="n">
        <x:v>54.49</x:v>
      </x:c>
      <x:c r="H787" t="n">
        <x:v>0</x:v>
      </x:c>
      <x:c r="I787" t="n">
        <x:v>0</x:v>
      </x:c>
      <x:c r="J787" t="n">
        <x:v>0</x:v>
      </x:c>
      <x:c r="K787" t="n">
        <x:v>1</x:v>
      </x:c>
      <x:c r="L787" t="n">
        <x:v>25</x:v>
      </x:c>
      <x:c r="M787" t="n">
        <x:v>0</x:v>
      </x:c>
      <x:c r="N787" t="str">
        <x:v>Approved</x:v>
      </x:c>
      <x:c r="O787" t="n">
        <x:v>0</x:v>
      </x:c>
      <x:c r="P787" t="str">
        <x:f>IF(L787&gt;=75,"High",IF(L787&gt;=55,"Medium","Low"))</x:f>
        <x:v>Low</x:v>
      </x:c>
    </x:row>
    <x:row r="788">
      <x:c r="A788" t="n">
        <x:v>787</x:v>
      </x:c>
      <x:c r="B788" t="n">
        <x:v>10274</x:v>
      </x:c>
      <x:c r="C788" s="16" t="n">
        <x:v>46133</x:v>
      </x:c>
      <x:c r="D788" t="str">
        <x:v>16:29:00</x:v>
      </x:c>
      <x:c r="E788" t="str">
        <x:v>Card</x:v>
      </x:c>
      <x:c r="F788" t="str">
        <x:v>Dining</x:v>
      </x:c>
      <x:c r="G788" s="18" t="n">
        <x:v>119.1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10</x:v>
      </x:c>
      <x:c r="M788" t="n">
        <x:v>0</x:v>
      </x:c>
      <x:c r="N788" t="str">
        <x:v>Declined</x:v>
      </x:c>
      <x:c r="O788" t="n">
        <x:v>0</x:v>
      </x:c>
      <x:c r="P788" t="str">
        <x:f>IF(L788&gt;=75,"High",IF(L788&gt;=55,"Medium","Low"))</x:f>
        <x:v>Low</x:v>
      </x:c>
    </x:row>
    <x:row r="789">
      <x:c r="A789" t="n">
        <x:v>788</x:v>
      </x:c>
      <x:c r="B789" t="n">
        <x:v>10306</x:v>
      </x:c>
      <x:c r="C789" s="16" t="n">
        <x:v>46173</x:v>
      </x:c>
      <x:c r="D789" t="str">
        <x:v>10:10:00</x:v>
      </x:c>
      <x:c r="E789" t="str">
        <x:v>Bank Transfer</x:v>
      </x:c>
      <x:c r="F789" t="str">
        <x:v>Retail</x:v>
      </x:c>
      <x:c r="G789" s="18" t="n">
        <x:v>222.2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10</x:v>
      </x:c>
      <x:c r="M789" t="n">
        <x:v>0</x:v>
      </x:c>
      <x:c r="N789" t="str">
        <x:v>Declined</x:v>
      </x:c>
      <x:c r="O789" t="n">
        <x:v>0</x:v>
      </x:c>
      <x:c r="P789" t="str">
        <x:f>IF(L789&gt;=75,"High",IF(L789&gt;=55,"Medium","Low"))</x:f>
        <x:v>Low</x:v>
      </x:c>
    </x:row>
    <x:row r="790">
      <x:c r="A790" t="n">
        <x:v>789</x:v>
      </x:c>
      <x:c r="B790" t="n">
        <x:v>10047</x:v>
      </x:c>
      <x:c r="C790" s="16" t="n">
        <x:v>46138</x:v>
      </x:c>
      <x:c r="D790" t="str">
        <x:v>07:53:00</x:v>
      </x:c>
      <x:c r="E790" t="str">
        <x:v>P2P</x:v>
      </x:c>
      <x:c r="F790" t="str">
        <x:v>Electronics</x:v>
      </x:c>
      <x:c r="G790" s="18" t="n">
        <x:v>475.2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10</x:v>
      </x:c>
      <x:c r="M790" t="n">
        <x:v>0</x:v>
      </x:c>
      <x:c r="N790" t="str">
        <x:v>Approved</x:v>
      </x:c>
      <x:c r="O790" t="n">
        <x:v>0</x:v>
      </x:c>
      <x:c r="P790" t="str">
        <x:f>IF(L790&gt;=75,"High",IF(L790&gt;=55,"Medium","Low"))</x:f>
        <x:v>Low</x:v>
      </x:c>
    </x:row>
    <x:row r="791">
      <x:c r="A791" t="n">
        <x:v>790</x:v>
      </x:c>
      <x:c r="B791" t="n">
        <x:v>10317</x:v>
      </x:c>
      <x:c r="C791" s="16" t="n">
        <x:v>46136</x:v>
      </x:c>
      <x:c r="D791" t="str">
        <x:v>08:54:00</x:v>
      </x:c>
      <x:c r="E791" t="str">
        <x:v>Bank Transfer</x:v>
      </x:c>
      <x:c r="F791" t="str">
        <x:v>Subscriptions</x:v>
      </x:c>
      <x:c r="G791" s="18" t="n">
        <x:v>86.03</x:v>
      </x:c>
      <x:c r="H791" t="n">
        <x:v>1</x:v>
      </x:c>
      <x:c r="I791" t="n">
        <x:v>0</x:v>
      </x:c>
      <x:c r="J791" t="n">
        <x:v>0</x:v>
      </x:c>
      <x:c r="K791" t="n">
        <x:v>0</x:v>
      </x:c>
      <x:c r="L791" t="n">
        <x:v>36</x:v>
      </x:c>
      <x:c r="M791" t="n">
        <x:v>0</x:v>
      </x:c>
      <x:c r="N791" t="str">
        <x:v>Approved</x:v>
      </x:c>
      <x:c r="O791" t="n">
        <x:v>0</x:v>
      </x:c>
      <x:c r="P791" t="str">
        <x:f>IF(L791&gt;=75,"High",IF(L791&gt;=55,"Medium","Low"))</x:f>
        <x:v>Low</x:v>
      </x:c>
    </x:row>
    <x:row r="792">
      <x:c r="A792" t="n">
        <x:v>791</x:v>
      </x:c>
      <x:c r="B792" t="n">
        <x:v>10019</x:v>
      </x:c>
      <x:c r="C792" s="16" t="n">
        <x:v>46213</x:v>
      </x:c>
      <x:c r="D792" t="str">
        <x:v>11:43:00</x:v>
      </x:c>
      <x:c r="E792" t="str">
        <x:v>Bank Transfer</x:v>
      </x:c>
      <x:c r="F792" t="str">
        <x:v>Dining</x:v>
      </x:c>
      <x:c r="G792" s="18" t="n">
        <x:v>391.39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10</x:v>
      </x:c>
      <x:c r="M792" t="n">
        <x:v>0</x:v>
      </x:c>
      <x:c r="N792" t="str">
        <x:v>Approved</x:v>
      </x:c>
      <x:c r="O792" t="n">
        <x:v>0</x:v>
      </x:c>
      <x:c r="P792" t="str">
        <x:f>IF(L792&gt;=75,"High",IF(L792&gt;=55,"Medium","Low"))</x:f>
        <x:v>Low</x:v>
      </x:c>
    </x:row>
    <x:row r="793">
      <x:c r="A793" t="n">
        <x:v>792</x:v>
      </x:c>
      <x:c r="B793" t="n">
        <x:v>10340</x:v>
      </x:c>
      <x:c r="C793" s="16" t="n">
        <x:v>46147</x:v>
      </x:c>
      <x:c r="D793" t="str">
        <x:v>01:41:00</x:v>
      </x:c>
      <x:c r="E793" t="str">
        <x:v>Card</x:v>
      </x:c>
      <x:c r="F793" t="str">
        <x:v>Electronics</x:v>
      </x:c>
      <x:c r="G793" s="18" t="n">
        <x:v>146.26</x:v>
      </x:c>
      <x:c r="H793" t="n">
        <x:v>0</x:v>
      </x:c>
      <x:c r="I793" t="n">
        <x:v>0</x:v>
      </x:c>
      <x:c r="J793" t="n">
        <x:v>0</x:v>
      </x:c>
      <x:c r="K793" t="n">
        <x:v>1</x:v>
      </x:c>
      <x:c r="L793" t="n">
        <x:v>25</x:v>
      </x:c>
      <x:c r="M793" t="n">
        <x:v>0</x:v>
      </x:c>
      <x:c r="N793" t="str">
        <x:v>Approved</x:v>
      </x:c>
      <x:c r="O793" t="n">
        <x:v>0</x:v>
      </x:c>
      <x:c r="P793" t="str">
        <x:f>IF(L793&gt;=75,"High",IF(L793&gt;=55,"Medium","Low"))</x:f>
        <x:v>Low</x:v>
      </x:c>
    </x:row>
    <x:row r="794">
      <x:c r="A794" t="n">
        <x:v>793</x:v>
      </x:c>
      <x:c r="B794" t="n">
        <x:v>10200</x:v>
      </x:c>
      <x:c r="C794" s="16" t="n">
        <x:v>46189</x:v>
      </x:c>
      <x:c r="D794" t="str">
        <x:v>21:07:00</x:v>
      </x:c>
      <x:c r="E794" t="str">
        <x:v>Card</x:v>
      </x:c>
      <x:c r="F794" t="str">
        <x:v>Electronics</x:v>
      </x:c>
      <x:c r="G794" s="18" t="n">
        <x:v>205.22</x:v>
      </x:c>
      <x:c r="H794" t="n">
        <x:v>0</x:v>
      </x:c>
      <x:c r="I794" t="n">
        <x:v>1</x:v>
      </x:c>
      <x:c r="J794" t="n">
        <x:v>0</x:v>
      </x:c>
      <x:c r="K794" t="n">
        <x:v>0</x:v>
      </x:c>
      <x:c r="L794" t="n">
        <x:v>30</x:v>
      </x:c>
      <x:c r="M794" t="n">
        <x:v>0</x:v>
      </x:c>
      <x:c r="N794" t="str">
        <x:v>Approved</x:v>
      </x:c>
      <x:c r="O794" t="n">
        <x:v>0</x:v>
      </x:c>
      <x:c r="P794" t="str">
        <x:f>IF(L794&gt;=75,"High",IF(L794&gt;=55,"Medium","Low"))</x:f>
        <x:v>Low</x:v>
      </x:c>
    </x:row>
    <x:row r="795">
      <x:c r="A795" t="n">
        <x:v>794</x:v>
      </x:c>
      <x:c r="B795" t="n">
        <x:v>10078</x:v>
      </x:c>
      <x:c r="C795" s="16" t="n">
        <x:v>46211</x:v>
      </x:c>
      <x:c r="D795" t="str">
        <x:v>10:58:00</x:v>
      </x:c>
      <x:c r="E795" t="str">
        <x:v>Card</x:v>
      </x:c>
      <x:c r="F795" t="str">
        <x:v>Retail</x:v>
      </x:c>
      <x:c r="G795" s="18" t="n">
        <x:v>68.92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10</x:v>
      </x:c>
      <x:c r="M795" t="n">
        <x:v>0</x:v>
      </x:c>
      <x:c r="N795" t="str">
        <x:v>Approved</x:v>
      </x:c>
      <x:c r="O795" t="n">
        <x:v>0</x:v>
      </x:c>
      <x:c r="P795" t="str">
        <x:f>IF(L795&gt;=75,"High",IF(L795&gt;=55,"Medium","Low"))</x:f>
        <x:v>Low</x:v>
      </x:c>
    </x:row>
    <x:row r="796">
      <x:c r="A796" t="n">
        <x:v>795</x:v>
      </x:c>
      <x:c r="B796" t="n">
        <x:v>10113</x:v>
      </x:c>
      <x:c r="C796" s="16" t="n">
        <x:v>46219</x:v>
      </x:c>
      <x:c r="D796" t="str">
        <x:v>17:00:00</x:v>
      </x:c>
      <x:c r="E796" t="str">
        <x:v>Bank Transfer</x:v>
      </x:c>
      <x:c r="F796" t="str">
        <x:v>Retail</x:v>
      </x:c>
      <x:c r="G796" s="18" t="n">
        <x:v>247.59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10</x:v>
      </x:c>
      <x:c r="M796" t="n">
        <x:v>0</x:v>
      </x:c>
      <x:c r="N796" t="str">
        <x:v>Approved</x:v>
      </x:c>
      <x:c r="O796" t="n">
        <x:v>0</x:v>
      </x:c>
      <x:c r="P796" t="str">
        <x:f>IF(L796&gt;=75,"High",IF(L796&gt;=55,"Medium","Low"))</x:f>
        <x:v>Low</x:v>
      </x:c>
    </x:row>
    <x:row r="797">
      <x:c r="A797" t="n">
        <x:v>796</x:v>
      </x:c>
      <x:c r="B797" t="n">
        <x:v>10074</x:v>
      </x:c>
      <x:c r="C797" s="16" t="n">
        <x:v>46254</x:v>
      </x:c>
      <x:c r="D797" t="str">
        <x:v>10:06:00</x:v>
      </x:c>
      <x:c r="E797" t="str">
        <x:v>Bank Transfer</x:v>
      </x:c>
      <x:c r="F797" t="str">
        <x:v>Electronics</x:v>
      </x:c>
      <x:c r="G797" s="18" t="n">
        <x:v>45.49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10</x:v>
      </x:c>
      <x:c r="M797" t="n">
        <x:v>0</x:v>
      </x:c>
      <x:c r="N797" t="str">
        <x:v>Approved</x:v>
      </x:c>
      <x:c r="O797" t="n">
        <x:v>0</x:v>
      </x:c>
      <x:c r="P797" t="str">
        <x:f>IF(L797&gt;=75,"High",IF(L797&gt;=55,"Medium","Low"))</x:f>
        <x:v>Low</x:v>
      </x:c>
    </x:row>
    <x:row r="798">
      <x:c r="A798" t="n">
        <x:v>797</x:v>
      </x:c>
      <x:c r="B798" t="n">
        <x:v>10130</x:v>
      </x:c>
      <x:c r="C798" s="16" t="n">
        <x:v>46189</x:v>
      </x:c>
      <x:c r="D798" t="str">
        <x:v>12:21:00</x:v>
      </x:c>
      <x:c r="E798" t="str">
        <x:v>Bank Transfer</x:v>
      </x:c>
      <x:c r="F798" t="str">
        <x:v>Travel</x:v>
      </x:c>
      <x:c r="G798" s="18" t="n">
        <x:v>312.58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10</x:v>
      </x:c>
      <x:c r="M798" t="n">
        <x:v>0</x:v>
      </x:c>
      <x:c r="N798" t="str">
        <x:v>Approved</x:v>
      </x:c>
      <x:c r="O798" t="n">
        <x:v>0</x:v>
      </x:c>
      <x:c r="P798" t="str">
        <x:f>IF(L798&gt;=75,"High",IF(L798&gt;=55,"Medium","Low"))</x:f>
        <x:v>Low</x:v>
      </x:c>
    </x:row>
    <x:row r="799">
      <x:c r="A799" t="n">
        <x:v>798</x:v>
      </x:c>
      <x:c r="B799" t="n">
        <x:v>10348</x:v>
      </x:c>
      <x:c r="C799" s="16" t="n">
        <x:v>46117</x:v>
      </x:c>
      <x:c r="D799" t="str">
        <x:v>05:17:00</x:v>
      </x:c>
      <x:c r="E799" t="str">
        <x:v>P2P</x:v>
      </x:c>
      <x:c r="F799" t="str">
        <x:v>Transfer</x:v>
      </x:c>
      <x:c r="G799" s="18" t="n">
        <x:v>703.17</x:v>
      </x:c>
      <x:c r="H799" t="n">
        <x:v>0</x:v>
      </x:c>
      <x:c r="I799" t="n">
        <x:v>1</x:v>
      </x:c>
      <x:c r="J799" t="n">
        <x:v>1</x:v>
      </x:c>
      <x:c r="K799" t="n">
        <x:v>0</x:v>
      </x:c>
      <x:c r="L799" t="n">
        <x:v>64</x:v>
      </x:c>
      <x:c r="M799" t="n">
        <x:v>1</x:v>
      </x:c>
      <x:c r="N799" t="str">
        <x:v>Declined</x:v>
      </x:c>
      <x:c r="O799" t="n">
        <x:v>0</x:v>
      </x:c>
      <x:c r="P799" t="str">
        <x:f>IF(L799&gt;=75,"High",IF(L799&gt;=55,"Medium","Low"))</x:f>
        <x:v>Medium</x:v>
      </x:c>
    </x:row>
    <x:row r="800">
      <x:c r="A800" t="n">
        <x:v>799</x:v>
      </x:c>
      <x:c r="B800" t="n">
        <x:v>10065</x:v>
      </x:c>
      <x:c r="C800" s="16" t="n">
        <x:v>46266</x:v>
      </x:c>
      <x:c r="D800" t="str">
        <x:v>01:49:00</x:v>
      </x:c>
      <x:c r="E800" t="str">
        <x:v>Card</x:v>
      </x:c>
      <x:c r="F800" t="str">
        <x:v>Travel</x:v>
      </x:c>
      <x:c r="G800" s="18" t="n">
        <x:v>33.22</x:v>
      </x:c>
      <x:c r="H800" t="n">
        <x:v>0</x:v>
      </x:c>
      <x:c r="I800" t="n">
        <x:v>0</x:v>
      </x:c>
      <x:c r="J800" t="n">
        <x:v>0</x:v>
      </x:c>
      <x:c r="K800" t="n">
        <x:v>1</x:v>
      </x:c>
      <x:c r="L800" t="n">
        <x:v>25</x:v>
      </x:c>
      <x:c r="M800" t="n">
        <x:v>0</x:v>
      </x:c>
      <x:c r="N800" t="str">
        <x:v>Approved</x:v>
      </x:c>
      <x:c r="O800" t="n">
        <x:v>0</x:v>
      </x:c>
      <x:c r="P800" t="str">
        <x:f>IF(L800&gt;=75,"High",IF(L800&gt;=55,"Medium","Low"))</x:f>
        <x:v>Low</x:v>
      </x:c>
    </x:row>
    <x:row r="801">
      <x:c r="A801" t="n">
        <x:v>800</x:v>
      </x:c>
      <x:c r="B801" t="n">
        <x:v>10321</x:v>
      </x:c>
      <x:c r="C801" s="16" t="n">
        <x:v>46255</x:v>
      </x:c>
      <x:c r="D801" t="str">
        <x:v>22:20:00</x:v>
      </x:c>
      <x:c r="E801" t="str">
        <x:v>Card</x:v>
      </x:c>
      <x:c r="F801" t="str">
        <x:v>Retail</x:v>
      </x:c>
      <x:c r="G801" s="18" t="n">
        <x:v>9.68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10</x:v>
      </x:c>
      <x:c r="M801" t="n">
        <x:v>0</x:v>
      </x:c>
      <x:c r="N801" t="str">
        <x:v>Approved</x:v>
      </x:c>
      <x:c r="O801" t="n">
        <x:v>0</x:v>
      </x:c>
      <x:c r="P801" t="str">
        <x:f>IF(L801&gt;=75,"High",IF(L801&gt;=55,"Medium","Low"))</x:f>
        <x:v>Low</x:v>
      </x:c>
    </x:row>
    <x:row r="802">
      <x:c r="A802" t="n">
        <x:v>801</x:v>
      </x:c>
      <x:c r="B802" t="n">
        <x:v>10262</x:v>
      </x:c>
      <x:c r="C802" s="16" t="n">
        <x:v>46197</x:v>
      </x:c>
      <x:c r="D802" t="str">
        <x:v>05:17:00</x:v>
      </x:c>
      <x:c r="E802" t="str">
        <x:v>Card</x:v>
      </x:c>
      <x:c r="F802" t="str">
        <x:v>Electronics</x:v>
      </x:c>
      <x:c r="G802" s="18" t="n">
        <x:v>15.99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10</x:v>
      </x:c>
      <x:c r="M802" t="n">
        <x:v>0</x:v>
      </x:c>
      <x:c r="N802" t="str">
        <x:v>Approved</x:v>
      </x:c>
      <x:c r="O802" t="n">
        <x:v>0</x:v>
      </x:c>
      <x:c r="P802" t="str">
        <x:f>IF(L802&gt;=75,"High",IF(L802&gt;=55,"Medium","Low"))</x:f>
        <x:v>Low</x:v>
      </x:c>
    </x:row>
    <x:row r="803">
      <x:c r="A803" t="n">
        <x:v>802</x:v>
      </x:c>
      <x:c r="B803" t="n">
        <x:v>10041</x:v>
      </x:c>
      <x:c r="C803" s="16" t="n">
        <x:v>46175</x:v>
      </x:c>
      <x:c r="D803" t="str">
        <x:v>16:29:00</x:v>
      </x:c>
      <x:c r="E803" t="str">
        <x:v>Card</x:v>
      </x:c>
      <x:c r="F803" t="str">
        <x:v>Subscriptions</x:v>
      </x:c>
      <x:c r="G803" s="18" t="n">
        <x:v>228.06</x:v>
      </x:c>
      <x:c r="H803" t="n">
        <x:v>0</x:v>
      </x:c>
      <x:c r="I803" t="n">
        <x:v>0</x:v>
      </x:c>
      <x:c r="J803" t="n">
        <x:v>0</x:v>
      </x:c>
      <x:c r="K803" t="n">
        <x:v>0</x:v>
      </x:c>
      <x:c r="L803" t="n">
        <x:v>10</x:v>
      </x:c>
      <x:c r="M803" t="n">
        <x:v>0</x:v>
      </x:c>
      <x:c r="N803" t="str">
        <x:v>Approved</x:v>
      </x:c>
      <x:c r="O803" t="n">
        <x:v>0</x:v>
      </x:c>
      <x:c r="P803" t="str">
        <x:f>IF(L803&gt;=75,"High",IF(L803&gt;=55,"Medium","Low"))</x:f>
        <x:v>Low</x:v>
      </x:c>
    </x:row>
    <x:row r="804">
      <x:c r="A804" t="n">
        <x:v>803</x:v>
      </x:c>
      <x:c r="B804" t="n">
        <x:v>10056</x:v>
      </x:c>
      <x:c r="C804" s="16" t="n">
        <x:v>46246</x:v>
      </x:c>
      <x:c r="D804" t="str">
        <x:v>07:43:00</x:v>
      </x:c>
      <x:c r="E804" t="str">
        <x:v>Card</x:v>
      </x:c>
      <x:c r="F804" t="str">
        <x:v>Transfer</x:v>
      </x:c>
      <x:c r="G804" s="18" t="n">
        <x:v>427</x:v>
      </x:c>
      <x:c r="H804" t="n">
        <x:v>0</x:v>
      </x:c>
      <x:c r="I804" t="n">
        <x:v>1</x:v>
      </x:c>
      <x:c r="J804" t="n">
        <x:v>0</x:v>
      </x:c>
      <x:c r="K804" t="n">
        <x:v>0</x:v>
      </x:c>
      <x:c r="L804" t="n">
        <x:v>30</x:v>
      </x:c>
      <x:c r="M804" t="n">
        <x:v>0</x:v>
      </x:c>
      <x:c r="N804" t="str">
        <x:v>Approved</x:v>
      </x:c>
      <x:c r="O804" t="n">
        <x:v>0</x:v>
      </x:c>
      <x:c r="P804" t="str">
        <x:f>IF(L804&gt;=75,"High",IF(L804&gt;=55,"Medium","Low"))</x:f>
        <x:v>Low</x:v>
      </x:c>
    </x:row>
    <x:row r="805">
      <x:c r="A805" t="n">
        <x:v>804</x:v>
      </x:c>
      <x:c r="B805" t="n">
        <x:v>10311</x:v>
      </x:c>
      <x:c r="C805" s="16" t="n">
        <x:v>46146</x:v>
      </x:c>
      <x:c r="D805" t="str">
        <x:v>17:46:00</x:v>
      </x:c>
      <x:c r="E805" t="str">
        <x:v>Card</x:v>
      </x:c>
      <x:c r="F805" t="str">
        <x:v>Subscriptions</x:v>
      </x:c>
      <x:c r="G805" s="18" t="n">
        <x:v>113.22</x:v>
      </x:c>
      <x:c r="H805" t="n">
        <x:v>1</x:v>
      </x:c>
      <x:c r="I805" t="n">
        <x:v>0</x:v>
      </x:c>
      <x:c r="J805" t="n">
        <x:v>0</x:v>
      </x:c>
      <x:c r="K805" t="n">
        <x:v>0</x:v>
      </x:c>
      <x:c r="L805" t="n">
        <x:v>36</x:v>
      </x:c>
      <x:c r="M805" t="n">
        <x:v>0</x:v>
      </x:c>
      <x:c r="N805" t="str">
        <x:v>Approved</x:v>
      </x:c>
      <x:c r="O805" t="n">
        <x:v>0</x:v>
      </x:c>
      <x:c r="P805" t="str">
        <x:f>IF(L805&gt;=75,"High",IF(L805&gt;=55,"Medium","Low"))</x:f>
        <x:v>Low</x:v>
      </x:c>
    </x:row>
    <x:row r="806">
      <x:c r="A806" t="n">
        <x:v>805</x:v>
      </x:c>
      <x:c r="B806" t="n">
        <x:v>10343</x:v>
      </x:c>
      <x:c r="C806" s="16" t="n">
        <x:v>46151</x:v>
      </x:c>
      <x:c r="D806" t="str">
        <x:v>21:08:00</x:v>
      </x:c>
      <x:c r="E806" t="str">
        <x:v>Bank Transfer</x:v>
      </x:c>
      <x:c r="F806" t="str">
        <x:v>Subscriptions</x:v>
      </x:c>
      <x:c r="G806" s="18" t="n">
        <x:v>129.9</x:v>
      </x:c>
      <x:c r="H806" t="n">
        <x:v>1</x:v>
      </x:c>
      <x:c r="I806" t="n">
        <x:v>0</x:v>
      </x:c>
      <x:c r="J806" t="n">
        <x:v>0</x:v>
      </x:c>
      <x:c r="K806" t="n">
        <x:v>0</x:v>
      </x:c>
      <x:c r="L806" t="n">
        <x:v>36</x:v>
      </x:c>
      <x:c r="M806" t="n">
        <x:v>0</x:v>
      </x:c>
      <x:c r="N806" t="str">
        <x:v>Approved</x:v>
      </x:c>
      <x:c r="O806" t="n">
        <x:v>0</x:v>
      </x:c>
      <x:c r="P806" t="str">
        <x:f>IF(L806&gt;=75,"High",IF(L806&gt;=55,"Medium","Low"))</x:f>
        <x:v>Low</x:v>
      </x:c>
    </x:row>
    <x:row r="807">
      <x:c r="A807" t="n">
        <x:v>806</x:v>
      </x:c>
      <x:c r="B807" t="n">
        <x:v>10216</x:v>
      </x:c>
      <x:c r="C807" s="16" t="n">
        <x:v>46123</x:v>
      </x:c>
      <x:c r="D807" t="str">
        <x:v>18:34:00</x:v>
      </x:c>
      <x:c r="E807" t="str">
        <x:v>P2P</x:v>
      </x:c>
      <x:c r="F807" t="str">
        <x:v>Transfer</x:v>
      </x:c>
      <x:c r="G807" s="18" t="n">
        <x:v>32.82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10</x:v>
      </x:c>
      <x:c r="M807" t="n">
        <x:v>0</x:v>
      </x:c>
      <x:c r="N807" t="str">
        <x:v>Approved</x:v>
      </x:c>
      <x:c r="O807" t="n">
        <x:v>0</x:v>
      </x:c>
      <x:c r="P807" t="str">
        <x:f>IF(L807&gt;=75,"High",IF(L807&gt;=55,"Medium","Low"))</x:f>
        <x:v>Low</x:v>
      </x:c>
    </x:row>
    <x:row r="808">
      <x:c r="A808" t="n">
        <x:v>807</x:v>
      </x:c>
      <x:c r="B808" t="n">
        <x:v>10132</x:v>
      </x:c>
      <x:c r="C808" s="16" t="n">
        <x:v>46278</x:v>
      </x:c>
      <x:c r="D808" t="str">
        <x:v>00:16:00</x:v>
      </x:c>
      <x:c r="E808" t="str">
        <x:v>Bank Transfer</x:v>
      </x:c>
      <x:c r="F808" t="str">
        <x:v>Electronics</x:v>
      </x:c>
      <x:c r="G808" s="18" t="n">
        <x:v>151.43</x:v>
      </x:c>
      <x:c r="H808" t="n">
        <x:v>0</x:v>
      </x:c>
      <x:c r="I808" t="n">
        <x:v>0</x:v>
      </x:c>
      <x:c r="J808" t="n">
        <x:v>0</x:v>
      </x:c>
      <x:c r="K808" t="n">
        <x:v>1</x:v>
      </x:c>
      <x:c r="L808" t="n">
        <x:v>25</x:v>
      </x:c>
      <x:c r="M808" t="n">
        <x:v>0</x:v>
      </x:c>
      <x:c r="N808" t="str">
        <x:v>Approved</x:v>
      </x:c>
      <x:c r="O808" t="n">
        <x:v>0</x:v>
      </x:c>
      <x:c r="P808" t="str">
        <x:f>IF(L808&gt;=75,"High",IF(L808&gt;=55,"Medium","Low"))</x:f>
        <x:v>Low</x:v>
      </x:c>
    </x:row>
    <x:row r="809">
      <x:c r="A809" t="n">
        <x:v>808</x:v>
      </x:c>
      <x:c r="B809" t="n">
        <x:v>10096</x:v>
      </x:c>
      <x:c r="C809" s="16" t="n">
        <x:v>46163</x:v>
      </x:c>
      <x:c r="D809" t="str">
        <x:v>11:26:00</x:v>
      </x:c>
      <x:c r="E809" t="str">
        <x:v>Card</x:v>
      </x:c>
      <x:c r="F809" t="str">
        <x:v>Utilities</x:v>
      </x:c>
      <x:c r="G809" s="18" t="n">
        <x:v>42.75</x:v>
      </x:c>
      <x:c r="H809" t="n">
        <x:v>0</x:v>
      </x:c>
      <x:c r="I809" t="n">
        <x:v>1</x:v>
      </x:c>
      <x:c r="J809" t="n">
        <x:v>0</x:v>
      </x:c>
      <x:c r="K809" t="n">
        <x:v>0</x:v>
      </x:c>
      <x:c r="L809" t="n">
        <x:v>30</x:v>
      </x:c>
      <x:c r="M809" t="n">
        <x:v>0</x:v>
      </x:c>
      <x:c r="N809" t="str">
        <x:v>Approved</x:v>
      </x:c>
      <x:c r="O809" t="n">
        <x:v>0</x:v>
      </x:c>
      <x:c r="P809" t="str">
        <x:f>IF(L809&gt;=75,"High",IF(L809&gt;=55,"Medium","Low"))</x:f>
        <x:v>Low</x:v>
      </x:c>
    </x:row>
    <x:row r="810">
      <x:c r="A810" t="n">
        <x:v>809</x:v>
      </x:c>
      <x:c r="B810" t="n">
        <x:v>10036</x:v>
      </x:c>
      <x:c r="C810" s="16" t="n">
        <x:v>46150</x:v>
      </x:c>
      <x:c r="D810" t="str">
        <x:v>16:09:00</x:v>
      </x:c>
      <x:c r="E810" t="str">
        <x:v>Card</x:v>
      </x:c>
      <x:c r="F810" t="str">
        <x:v>Dining</x:v>
      </x:c>
      <x:c r="G810" s="18" t="n">
        <x:v>126.34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10</x:v>
      </x:c>
      <x:c r="M810" t="n">
        <x:v>0</x:v>
      </x:c>
      <x:c r="N810" t="str">
        <x:v>Approved</x:v>
      </x:c>
      <x:c r="O810" t="n">
        <x:v>0</x:v>
      </x:c>
      <x:c r="P810" t="str">
        <x:f>IF(L810&gt;=75,"High",IF(L810&gt;=55,"Medium","Low"))</x:f>
        <x:v>Low</x:v>
      </x:c>
    </x:row>
    <x:row r="811">
      <x:c r="A811" t="n">
        <x:v>810</x:v>
      </x:c>
      <x:c r="B811" t="n">
        <x:v>10316</x:v>
      </x:c>
      <x:c r="C811" s="16" t="n">
        <x:v>46254</x:v>
      </x:c>
      <x:c r="D811" t="str">
        <x:v>12:02:00</x:v>
      </x:c>
      <x:c r="E811" t="str">
        <x:v>Card</x:v>
      </x:c>
      <x:c r="F811" t="str">
        <x:v>Electronics</x:v>
      </x:c>
      <x:c r="G811" s="18" t="n">
        <x:v>122.04</x:v>
      </x:c>
      <x:c r="H811" t="n">
        <x:v>1</x:v>
      </x:c>
      <x:c r="I811" t="n">
        <x:v>1</x:v>
      </x:c>
      <x:c r="J811" t="n">
        <x:v>0</x:v>
      </x:c>
      <x:c r="K811" t="n">
        <x:v>0</x:v>
      </x:c>
      <x:c r="L811" t="n">
        <x:v>56</x:v>
      </x:c>
      <x:c r="M811" t="n">
        <x:v>1</x:v>
      </x:c>
      <x:c r="N811" t="str">
        <x:v>Declined</x:v>
      </x:c>
      <x:c r="O811" t="n">
        <x:v>0</x:v>
      </x:c>
      <x:c r="P811" t="str">
        <x:f>IF(L811&gt;=75,"High",IF(L811&gt;=55,"Medium","Low"))</x:f>
        <x:v>Medium</x:v>
      </x:c>
    </x:row>
    <x:row r="812">
      <x:c r="A812" t="n">
        <x:v>811</x:v>
      </x:c>
      <x:c r="B812" t="n">
        <x:v>10188</x:v>
      </x:c>
      <x:c r="C812" s="16" t="n">
        <x:v>46153</x:v>
      </x:c>
      <x:c r="D812" t="str">
        <x:v>06:49:00</x:v>
      </x:c>
      <x:c r="E812" t="str">
        <x:v>Card</x:v>
      </x:c>
      <x:c r="F812" t="str">
        <x:v>Travel</x:v>
      </x:c>
      <x:c r="G812" s="18" t="n">
        <x:v>198.55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10</x:v>
      </x:c>
      <x:c r="M812" t="n">
        <x:v>0</x:v>
      </x:c>
      <x:c r="N812" t="str">
        <x:v>Approved</x:v>
      </x:c>
      <x:c r="O812" t="n">
        <x:v>0</x:v>
      </x:c>
      <x:c r="P812" t="str">
        <x:f>IF(L812&gt;=75,"High",IF(L812&gt;=55,"Medium","Low"))</x:f>
        <x:v>Low</x:v>
      </x:c>
    </x:row>
    <x:row r="813">
      <x:c r="A813" t="n">
        <x:v>812</x:v>
      </x:c>
      <x:c r="B813" t="n">
        <x:v>10228</x:v>
      </x:c>
      <x:c r="C813" s="16" t="n">
        <x:v>46208</x:v>
      </x:c>
      <x:c r="D813" t="str">
        <x:v>12:55:00</x:v>
      </x:c>
      <x:c r="E813" t="str">
        <x:v>Card</x:v>
      </x:c>
      <x:c r="F813" t="str">
        <x:v>Travel</x:v>
      </x:c>
      <x:c r="G813" s="18" t="n">
        <x:v>108.73</x:v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n">
        <x:v>10</x:v>
      </x:c>
      <x:c r="M813" t="n">
        <x:v>0</x:v>
      </x:c>
      <x:c r="N813" t="str">
        <x:v>Approved</x:v>
      </x:c>
      <x:c r="O813" t="n">
        <x:v>0</x:v>
      </x:c>
      <x:c r="P813" t="str">
        <x:f>IF(L813&gt;=75,"High",IF(L813&gt;=55,"Medium","Low"))</x:f>
        <x:v>Low</x:v>
      </x:c>
    </x:row>
    <x:row r="814">
      <x:c r="A814" t="n">
        <x:v>813</x:v>
      </x:c>
      <x:c r="B814" t="n">
        <x:v>10327</x:v>
      </x:c>
      <x:c r="C814" s="16" t="n">
        <x:v>46121</x:v>
      </x:c>
      <x:c r="D814" t="str">
        <x:v>16:39:00</x:v>
      </x:c>
      <x:c r="E814" t="str">
        <x:v>Card</x:v>
      </x:c>
      <x:c r="F814" t="str">
        <x:v>Utilities</x:v>
      </x:c>
      <x:c r="G814" s="18" t="n">
        <x:v>251.36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10</x:v>
      </x:c>
      <x:c r="M814" t="n">
        <x:v>0</x:v>
      </x:c>
      <x:c r="N814" t="str">
        <x:v>Approved</x:v>
      </x:c>
      <x:c r="O814" t="n">
        <x:v>0</x:v>
      </x:c>
      <x:c r="P814" t="str">
        <x:f>IF(L814&gt;=75,"High",IF(L814&gt;=55,"Medium","Low"))</x:f>
        <x:v>Low</x:v>
      </x:c>
    </x:row>
    <x:row r="815">
      <x:c r="A815" t="n">
        <x:v>814</x:v>
      </x:c>
      <x:c r="B815" t="n">
        <x:v>10156</x:v>
      </x:c>
      <x:c r="C815" s="16" t="n">
        <x:v>46210</x:v>
      </x:c>
      <x:c r="D815" t="str">
        <x:v>23:52:00</x:v>
      </x:c>
      <x:c r="E815" t="str">
        <x:v>Bank Transfer</x:v>
      </x:c>
      <x:c r="F815" t="str">
        <x:v>Utilities</x:v>
      </x:c>
      <x:c r="G815" s="18" t="n">
        <x:v>144.4</x:v>
      </x:c>
      <x:c r="H815" t="n">
        <x:v>0</x:v>
      </x:c>
      <x:c r="I815" t="n">
        <x:v>0</x:v>
      </x:c>
      <x:c r="J815" t="n">
        <x:v>0</x:v>
      </x:c>
      <x:c r="K815" t="n">
        <x:v>0</x:v>
      </x:c>
      <x:c r="L815" t="n">
        <x:v>10</x:v>
      </x:c>
      <x:c r="M815" t="n">
        <x:v>0</x:v>
      </x:c>
      <x:c r="N815" t="str">
        <x:v>Approved</x:v>
      </x:c>
      <x:c r="O815" t="n">
        <x:v>0</x:v>
      </x:c>
      <x:c r="P815" t="str">
        <x:f>IF(L815&gt;=75,"High",IF(L815&gt;=55,"Medium","Low"))</x:f>
        <x:v>Low</x:v>
      </x:c>
    </x:row>
    <x:row r="816">
      <x:c r="A816" t="n">
        <x:v>815</x:v>
      </x:c>
      <x:c r="B816" t="n">
        <x:v>10289</x:v>
      </x:c>
      <x:c r="C816" s="16" t="n">
        <x:v>46189</x:v>
      </x:c>
      <x:c r="D816" t="str">
        <x:v>18:58:00</x:v>
      </x:c>
      <x:c r="E816" t="str">
        <x:v>Card</x:v>
      </x:c>
      <x:c r="F816" t="str">
        <x:v>Transfer</x:v>
      </x:c>
      <x:c r="G816" s="18" t="n">
        <x:v>18</x:v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n">
        <x:v>10</x:v>
      </x:c>
      <x:c r="M816" t="n">
        <x:v>0</x:v>
      </x:c>
      <x:c r="N816" t="str">
        <x:v>Approved</x:v>
      </x:c>
      <x:c r="O816" t="n">
        <x:v>0</x:v>
      </x:c>
      <x:c r="P816" t="str">
        <x:f>IF(L816&gt;=75,"High",IF(L816&gt;=55,"Medium","Low"))</x:f>
        <x:v>Low</x:v>
      </x:c>
    </x:row>
    <x:row r="817">
      <x:c r="A817" t="n">
        <x:v>816</x:v>
      </x:c>
      <x:c r="B817" t="n">
        <x:v>10001</x:v>
      </x:c>
      <x:c r="C817" s="16" t="n">
        <x:v>46199</x:v>
      </x:c>
      <x:c r="D817" t="str">
        <x:v>03:30:00</x:v>
      </x:c>
      <x:c r="E817" t="str">
        <x:v>Bank Transfer</x:v>
      </x:c>
      <x:c r="F817" t="str">
        <x:v>Transfer</x:v>
      </x:c>
      <x:c r="G817" s="18" t="n">
        <x:v>103.09</x:v>
      </x:c>
      <x:c r="H817" t="n">
        <x:v>0</x:v>
      </x:c>
      <x:c r="I817" t="n">
        <x:v>0</x:v>
      </x:c>
      <x:c r="J817" t="n">
        <x:v>0</x:v>
      </x:c>
      <x:c r="K817" t="n">
        <x:v>1</x:v>
      </x:c>
      <x:c r="L817" t="n">
        <x:v>25</x:v>
      </x:c>
      <x:c r="M817" t="n">
        <x:v>0</x:v>
      </x:c>
      <x:c r="N817" t="str">
        <x:v>Approved</x:v>
      </x:c>
      <x:c r="O817" t="n">
        <x:v>0</x:v>
      </x:c>
      <x:c r="P817" t="str">
        <x:f>IF(L817&gt;=75,"High",IF(L817&gt;=55,"Medium","Low"))</x:f>
        <x:v>Low</x:v>
      </x:c>
    </x:row>
    <x:row r="818">
      <x:c r="A818" t="n">
        <x:v>817</x:v>
      </x:c>
      <x:c r="B818" t="n">
        <x:v>10022</x:v>
      </x:c>
      <x:c r="C818" s="16" t="n">
        <x:v>46236</x:v>
      </x:c>
      <x:c r="D818" t="str">
        <x:v>13:18:00</x:v>
      </x:c>
      <x:c r="E818" t="str">
        <x:v>P2P</x:v>
      </x:c>
      <x:c r="F818" t="str">
        <x:v>Utilities</x:v>
      </x:c>
      <x:c r="G818" s="18" t="n">
        <x:v>130.62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10</x:v>
      </x:c>
      <x:c r="M818" t="n">
        <x:v>0</x:v>
      </x:c>
      <x:c r="N818" t="str">
        <x:v>Approved</x:v>
      </x:c>
      <x:c r="O818" t="n">
        <x:v>0</x:v>
      </x:c>
      <x:c r="P818" t="str">
        <x:f>IF(L818&gt;=75,"High",IF(L818&gt;=55,"Medium","Low"))</x:f>
        <x:v>Low</x:v>
      </x:c>
    </x:row>
    <x:row r="819">
      <x:c r="A819" t="n">
        <x:v>818</x:v>
      </x:c>
      <x:c r="B819" t="n">
        <x:v>10003</x:v>
      </x:c>
      <x:c r="C819" s="16" t="n">
        <x:v>46248</x:v>
      </x:c>
      <x:c r="D819" t="str">
        <x:v>01:22:00</x:v>
      </x:c>
      <x:c r="E819" t="str">
        <x:v>Card</x:v>
      </x:c>
      <x:c r="F819" t="str">
        <x:v>Transfer</x:v>
      </x:c>
      <x:c r="G819" s="18" t="n">
        <x:v>41.29</x:v>
      </x:c>
      <x:c r="H819" t="n">
        <x:v>0</x:v>
      </x:c>
      <x:c r="I819" t="n">
        <x:v>0</x:v>
      </x:c>
      <x:c r="J819" t="n">
        <x:v>0</x:v>
      </x:c>
      <x:c r="K819" t="n">
        <x:v>1</x:v>
      </x:c>
      <x:c r="L819" t="n">
        <x:v>25</x:v>
      </x:c>
      <x:c r="M819" t="n">
        <x:v>0</x:v>
      </x:c>
      <x:c r="N819" t="str">
        <x:v>Approved</x:v>
      </x:c>
      <x:c r="O819" t="n">
        <x:v>0</x:v>
      </x:c>
      <x:c r="P819" t="str">
        <x:f>IF(L819&gt;=75,"High",IF(L819&gt;=55,"Medium","Low"))</x:f>
        <x:v>Low</x:v>
      </x:c>
    </x:row>
    <x:row r="820">
      <x:c r="A820" t="n">
        <x:v>819</x:v>
      </x:c>
      <x:c r="B820" t="n">
        <x:v>10159</x:v>
      </x:c>
      <x:c r="C820" s="16" t="n">
        <x:v>46254</x:v>
      </x:c>
      <x:c r="D820" t="str">
        <x:v>19:11:00</x:v>
      </x:c>
      <x:c r="E820" t="str">
        <x:v>Card</x:v>
      </x:c>
      <x:c r="F820" t="str">
        <x:v>Transfer</x:v>
      </x:c>
      <x:c r="G820" s="18" t="n">
        <x:v>116.85</x:v>
      </x:c>
      <x:c r="H820" t="n">
        <x:v>0</x:v>
      </x:c>
      <x:c r="I820" t="n">
        <x:v>0</x:v>
      </x:c>
      <x:c r="J820" t="n">
        <x:v>0</x:v>
      </x:c>
      <x:c r="K820" t="n">
        <x:v>0</x:v>
      </x:c>
      <x:c r="L820" t="n">
        <x:v>10</x:v>
      </x:c>
      <x:c r="M820" t="n">
        <x:v>0</x:v>
      </x:c>
      <x:c r="N820" t="str">
        <x:v>Approved</x:v>
      </x:c>
      <x:c r="O820" t="n">
        <x:v>0</x:v>
      </x:c>
      <x:c r="P820" t="str">
        <x:f>IF(L820&gt;=75,"High",IF(L820&gt;=55,"Medium","Low"))</x:f>
        <x:v>Low</x:v>
      </x:c>
    </x:row>
    <x:row r="821">
      <x:c r="A821" t="n">
        <x:v>820</x:v>
      </x:c>
      <x:c r="B821" t="n">
        <x:v>10171</x:v>
      </x:c>
      <x:c r="C821" s="16" t="n">
        <x:v>46162</x:v>
      </x:c>
      <x:c r="D821" t="str">
        <x:v>19:04:00</x:v>
      </x:c>
      <x:c r="E821" t="str">
        <x:v>Card</x:v>
      </x:c>
      <x:c r="F821" t="str">
        <x:v>Retail</x:v>
      </x:c>
      <x:c r="G821" s="18" t="n">
        <x:v>268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10</x:v>
      </x:c>
      <x:c r="M821" t="n">
        <x:v>0</x:v>
      </x:c>
      <x:c r="N821" t="str">
        <x:v>Approved</x:v>
      </x:c>
      <x:c r="O821" t="n">
        <x:v>0</x:v>
      </x:c>
      <x:c r="P821" t="str">
        <x:f>IF(L821&gt;=75,"High",IF(L821&gt;=55,"Medium","Low"))</x:f>
        <x:v>Low</x:v>
      </x:c>
    </x:row>
    <x:row r="822">
      <x:c r="A822" t="n">
        <x:v>821</x:v>
      </x:c>
      <x:c r="B822" t="n">
        <x:v>10198</x:v>
      </x:c>
      <x:c r="C822" s="16" t="n">
        <x:v>46289</x:v>
      </x:c>
      <x:c r="D822" t="str">
        <x:v>16:58:00</x:v>
      </x:c>
      <x:c r="E822" t="str">
        <x:v>P2P</x:v>
      </x:c>
      <x:c r="F822" t="str">
        <x:v>Subscriptions</x:v>
      </x:c>
      <x:c r="G822" s="18" t="n">
        <x:v>19.94</x:v>
      </x:c>
      <x:c r="H822" t="n">
        <x:v>0</x:v>
      </x:c>
      <x:c r="I822" t="n">
        <x:v>0</x:v>
      </x:c>
      <x:c r="J822" t="n">
        <x:v>0</x:v>
      </x:c>
      <x:c r="K822" t="n">
        <x:v>0</x:v>
      </x:c>
      <x:c r="L822" t="n">
        <x:v>10</x:v>
      </x:c>
      <x:c r="M822" t="n">
        <x:v>0</x:v>
      </x:c>
      <x:c r="N822" t="str">
        <x:v>Approved</x:v>
      </x:c>
      <x:c r="O822" t="n">
        <x:v>0</x:v>
      </x:c>
      <x:c r="P822" t="str">
        <x:f>IF(L822&gt;=75,"High",IF(L822&gt;=55,"Medium","Low"))</x:f>
        <x:v>Low</x:v>
      </x:c>
    </x:row>
    <x:row r="823">
      <x:c r="A823" t="n">
        <x:v>822</x:v>
      </x:c>
      <x:c r="B823" t="n">
        <x:v>10250</x:v>
      </x:c>
      <x:c r="C823" s="16" t="n">
        <x:v>46182</x:v>
      </x:c>
      <x:c r="D823" t="str">
        <x:v>15:31:00</x:v>
      </x:c>
      <x:c r="E823" t="str">
        <x:v>Card</x:v>
      </x:c>
      <x:c r="F823" t="str">
        <x:v>Transfer</x:v>
      </x:c>
      <x:c r="G823" s="18" t="n">
        <x:v>286.16</x:v>
      </x:c>
      <x:c r="H823" t="n">
        <x:v>1</x:v>
      </x:c>
      <x:c r="I823" t="n">
        <x:v>0</x:v>
      </x:c>
      <x:c r="J823" t="n">
        <x:v>0</x:v>
      </x:c>
      <x:c r="K823" t="n">
        <x:v>0</x:v>
      </x:c>
      <x:c r="L823" t="n">
        <x:v>36</x:v>
      </x:c>
      <x:c r="M823" t="n">
        <x:v>0</x:v>
      </x:c>
      <x:c r="N823" t="str">
        <x:v>Declined</x:v>
      </x:c>
      <x:c r="O823" t="n">
        <x:v>0</x:v>
      </x:c>
      <x:c r="P823" t="str">
        <x:f>IF(L823&gt;=75,"High",IF(L823&gt;=55,"Medium","Low"))</x:f>
        <x:v>Low</x:v>
      </x:c>
    </x:row>
    <x:row r="824">
      <x:c r="A824" t="n">
        <x:v>823</x:v>
      </x:c>
      <x:c r="B824" t="n">
        <x:v>10057</x:v>
      </x:c>
      <x:c r="C824" s="16" t="n">
        <x:v>46153</x:v>
      </x:c>
      <x:c r="D824" t="str">
        <x:v>10:48:00</x:v>
      </x:c>
      <x:c r="E824" t="str">
        <x:v>Bank Transfer</x:v>
      </x:c>
      <x:c r="F824" t="str">
        <x:v>Electronics</x:v>
      </x:c>
      <x:c r="G824" s="18" t="n">
        <x:v>58.53</x:v>
      </x:c>
      <x:c r="H824" t="n">
        <x:v>1</x:v>
      </x:c>
      <x:c r="I824" t="n">
        <x:v>0</x:v>
      </x:c>
      <x:c r="J824" t="n">
        <x:v>0</x:v>
      </x:c>
      <x:c r="K824" t="n">
        <x:v>0</x:v>
      </x:c>
      <x:c r="L824" t="n">
        <x:v>36</x:v>
      </x:c>
      <x:c r="M824" t="n">
        <x:v>0</x:v>
      </x:c>
      <x:c r="N824" t="str">
        <x:v>Approved</x:v>
      </x:c>
      <x:c r="O824" t="n">
        <x:v>0</x:v>
      </x:c>
      <x:c r="P824" t="str">
        <x:f>IF(L824&gt;=75,"High",IF(L824&gt;=55,"Medium","Low"))</x:f>
        <x:v>Low</x:v>
      </x:c>
    </x:row>
    <x:row r="825">
      <x:c r="A825" t="n">
        <x:v>824</x:v>
      </x:c>
      <x:c r="B825" t="n">
        <x:v>10072</x:v>
      </x:c>
      <x:c r="C825" s="16" t="n">
        <x:v>46224</x:v>
      </x:c>
      <x:c r="D825" t="str">
        <x:v>01:29:00</x:v>
      </x:c>
      <x:c r="E825" t="str">
        <x:v>Bank Transfer</x:v>
      </x:c>
      <x:c r="F825" t="str">
        <x:v>Retail</x:v>
      </x:c>
      <x:c r="G825" s="18" t="n">
        <x:v>52.79</x:v>
      </x:c>
      <x:c r="H825" t="n">
        <x:v>0</x:v>
      </x:c>
      <x:c r="I825" t="n">
        <x:v>0</x:v>
      </x:c>
      <x:c r="J825" t="n">
        <x:v>0</x:v>
      </x:c>
      <x:c r="K825" t="n">
        <x:v>1</x:v>
      </x:c>
      <x:c r="L825" t="n">
        <x:v>25</x:v>
      </x:c>
      <x:c r="M825" t="n">
        <x:v>0</x:v>
      </x:c>
      <x:c r="N825" t="str">
        <x:v>Approved</x:v>
      </x:c>
      <x:c r="O825" t="n">
        <x:v>0</x:v>
      </x:c>
      <x:c r="P825" t="str">
        <x:f>IF(L825&gt;=75,"High",IF(L825&gt;=55,"Medium","Low"))</x:f>
        <x:v>Low</x:v>
      </x:c>
    </x:row>
    <x:row r="826">
      <x:c r="A826" t="n">
        <x:v>825</x:v>
      </x:c>
      <x:c r="B826" t="n">
        <x:v>10079</x:v>
      </x:c>
      <x:c r="C826" s="16" t="n">
        <x:v>46259</x:v>
      </x:c>
      <x:c r="D826" t="str">
        <x:v>06:35:00</x:v>
      </x:c>
      <x:c r="E826" t="str">
        <x:v>Bank Transfer</x:v>
      </x:c>
      <x:c r="F826" t="str">
        <x:v>Retail</x:v>
      </x:c>
      <x:c r="G826" s="18" t="n">
        <x:v>222.26</x:v>
      </x:c>
      <x:c r="H826" t="n">
        <x:v>1</x:v>
      </x:c>
      <x:c r="I826" t="n">
        <x:v>0</x:v>
      </x:c>
      <x:c r="J826" t="n">
        <x:v>0</x:v>
      </x:c>
      <x:c r="K826" t="n">
        <x:v>0</x:v>
      </x:c>
      <x:c r="L826" t="n">
        <x:v>36</x:v>
      </x:c>
      <x:c r="M826" t="n">
        <x:v>0</x:v>
      </x:c>
      <x:c r="N826" t="str">
        <x:v>Approved</x:v>
      </x:c>
      <x:c r="O826" t="n">
        <x:v>0</x:v>
      </x:c>
      <x:c r="P826" t="str">
        <x:f>IF(L826&gt;=75,"High",IF(L826&gt;=55,"Medium","Low"))</x:f>
        <x:v>Low</x:v>
      </x:c>
    </x:row>
    <x:row r="827">
      <x:c r="A827" t="n">
        <x:v>826</x:v>
      </x:c>
      <x:c r="B827" t="n">
        <x:v>10222</x:v>
      </x:c>
      <x:c r="C827" s="16" t="n">
        <x:v>46173</x:v>
      </x:c>
      <x:c r="D827" t="str">
        <x:v>10:30:00</x:v>
      </x:c>
      <x:c r="E827" t="str">
        <x:v>Card</x:v>
      </x:c>
      <x:c r="F827" t="str">
        <x:v>Electronics</x:v>
      </x:c>
      <x:c r="G827" s="18" t="n">
        <x:v>41.99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10</x:v>
      </x:c>
      <x:c r="M827" t="n">
        <x:v>0</x:v>
      </x:c>
      <x:c r="N827" t="str">
        <x:v>Approved</x:v>
      </x:c>
      <x:c r="O827" t="n">
        <x:v>0</x:v>
      </x:c>
      <x:c r="P827" t="str">
        <x:f>IF(L827&gt;=75,"High",IF(L827&gt;=55,"Medium","Low"))</x:f>
        <x:v>Low</x:v>
      </x:c>
    </x:row>
    <x:row r="828">
      <x:c r="A828" t="n">
        <x:v>827</x:v>
      </x:c>
      <x:c r="B828" t="n">
        <x:v>10119</x:v>
      </x:c>
      <x:c r="C828" s="16" t="n">
        <x:v>46241</x:v>
      </x:c>
      <x:c r="D828" t="str">
        <x:v>04:23:00</x:v>
      </x:c>
      <x:c r="E828" t="str">
        <x:v>Bank Transfer</x:v>
      </x:c>
      <x:c r="F828" t="str">
        <x:v>Travel</x:v>
      </x:c>
      <x:c r="G828" s="18" t="n">
        <x:v>46.76</x:v>
      </x:c>
      <x:c r="H828" t="n">
        <x:v>0</x:v>
      </x:c>
      <x:c r="I828" t="n">
        <x:v>0</x:v>
      </x:c>
      <x:c r="J828" t="n">
        <x:v>0</x:v>
      </x:c>
      <x:c r="K828" t="n">
        <x:v>1</x:v>
      </x:c>
      <x:c r="L828" t="n">
        <x:v>25</x:v>
      </x:c>
      <x:c r="M828" t="n">
        <x:v>0</x:v>
      </x:c>
      <x:c r="N828" t="str">
        <x:v>Approved</x:v>
      </x:c>
      <x:c r="O828" t="n">
        <x:v>0</x:v>
      </x:c>
      <x:c r="P828" t="str">
        <x:f>IF(L828&gt;=75,"High",IF(L828&gt;=55,"Medium","Low"))</x:f>
        <x:v>Low</x:v>
      </x:c>
    </x:row>
    <x:row r="829">
      <x:c r="A829" t="n">
        <x:v>828</x:v>
      </x:c>
      <x:c r="B829" t="n">
        <x:v>10035</x:v>
      </x:c>
      <x:c r="C829" s="16" t="n">
        <x:v>46289</x:v>
      </x:c>
      <x:c r="D829" t="str">
        <x:v>17:13:00</x:v>
      </x:c>
      <x:c r="E829" t="str">
        <x:v>Card</x:v>
      </x:c>
      <x:c r="F829" t="str">
        <x:v>Electronics</x:v>
      </x:c>
      <x:c r="G829" s="18" t="n">
        <x:v>641.79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10</x:v>
      </x:c>
      <x:c r="M829" t="n">
        <x:v>0</x:v>
      </x:c>
      <x:c r="N829" t="str">
        <x:v>Approved</x:v>
      </x:c>
      <x:c r="O829" t="n">
        <x:v>0</x:v>
      </x:c>
      <x:c r="P829" t="str">
        <x:f>IF(L829&gt;=75,"High",IF(L829&gt;=55,"Medium","Low"))</x:f>
        <x:v>Low</x:v>
      </x:c>
    </x:row>
    <x:row r="830">
      <x:c r="A830" t="n">
        <x:v>829</x:v>
      </x:c>
      <x:c r="B830" t="n">
        <x:v>10186</x:v>
      </x:c>
      <x:c r="C830" s="16" t="n">
        <x:v>46178</x:v>
      </x:c>
      <x:c r="D830" t="str">
        <x:v>11:02:00</x:v>
      </x:c>
      <x:c r="E830" t="str">
        <x:v>Card</x:v>
      </x:c>
      <x:c r="F830" t="str">
        <x:v>Dining</x:v>
      </x:c>
      <x:c r="G830" s="18" t="n">
        <x:v>10.36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10</x:v>
      </x:c>
      <x:c r="M830" t="n">
        <x:v>0</x:v>
      </x:c>
      <x:c r="N830" t="str">
        <x:v>Approved</x:v>
      </x:c>
      <x:c r="O830" t="n">
        <x:v>0</x:v>
      </x:c>
      <x:c r="P830" t="str">
        <x:f>IF(L830&gt;=75,"High",IF(L830&gt;=55,"Medium","Low"))</x:f>
        <x:v>Low</x:v>
      </x:c>
    </x:row>
    <x:row r="831">
      <x:c r="A831" t="n">
        <x:v>830</x:v>
      </x:c>
      <x:c r="B831" t="n">
        <x:v>10307</x:v>
      </x:c>
      <x:c r="C831" s="16" t="n">
        <x:v>46268</x:v>
      </x:c>
      <x:c r="D831" t="str">
        <x:v>14:01:00</x:v>
      </x:c>
      <x:c r="E831" t="str">
        <x:v>Card</x:v>
      </x:c>
      <x:c r="F831" t="str">
        <x:v>Dining</x:v>
      </x:c>
      <x:c r="G831" s="18" t="n">
        <x:v>53.64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10</x:v>
      </x:c>
      <x:c r="M831" t="n">
        <x:v>0</x:v>
      </x:c>
      <x:c r="N831" t="str">
        <x:v>Approved</x:v>
      </x:c>
      <x:c r="O831" t="n">
        <x:v>0</x:v>
      </x:c>
      <x:c r="P831" t="str">
        <x:f>IF(L831&gt;=75,"High",IF(L831&gt;=55,"Medium","Low"))</x:f>
        <x:v>Low</x:v>
      </x:c>
    </x:row>
    <x:row r="832">
      <x:c r="A832" t="n">
        <x:v>831</x:v>
      </x:c>
      <x:c r="B832" t="n">
        <x:v>10255</x:v>
      </x:c>
      <x:c r="C832" s="16" t="n">
        <x:v>46288</x:v>
      </x:c>
      <x:c r="D832" t="str">
        <x:v>16:13:00</x:v>
      </x:c>
      <x:c r="E832" t="str">
        <x:v>Bank Transfer</x:v>
      </x:c>
      <x:c r="F832" t="str">
        <x:v>Dining</x:v>
      </x:c>
      <x:c r="G832" s="18" t="n">
        <x:v>44.75</x:v>
      </x:c>
      <x:c r="H832" t="n">
        <x:v>1</x:v>
      </x:c>
      <x:c r="I832" t="n">
        <x:v>0</x:v>
      </x:c>
      <x:c r="J832" t="n">
        <x:v>0</x:v>
      </x:c>
      <x:c r="K832" t="n">
        <x:v>0</x:v>
      </x:c>
      <x:c r="L832" t="n">
        <x:v>36</x:v>
      </x:c>
      <x:c r="M832" t="n">
        <x:v>0</x:v>
      </x:c>
      <x:c r="N832" t="str">
        <x:v>Approved</x:v>
      </x:c>
      <x:c r="O832" t="n">
        <x:v>0</x:v>
      </x:c>
      <x:c r="P832" t="str">
        <x:f>IF(L832&gt;=75,"High",IF(L832&gt;=55,"Medium","Low"))</x:f>
        <x:v>Low</x:v>
      </x:c>
    </x:row>
    <x:row r="833">
      <x:c r="A833" t="n">
        <x:v>832</x:v>
      </x:c>
      <x:c r="B833" t="n">
        <x:v>10021</x:v>
      </x:c>
      <x:c r="C833" s="16" t="n">
        <x:v>46280</x:v>
      </x:c>
      <x:c r="D833" t="str">
        <x:v>14:51:00</x:v>
      </x:c>
      <x:c r="E833" t="str">
        <x:v>Bank Transfer</x:v>
      </x:c>
      <x:c r="F833" t="str">
        <x:v>Dining</x:v>
      </x:c>
      <x:c r="G833" s="18" t="n">
        <x:v>42.38</x:v>
      </x:c>
      <x:c r="H833" t="n">
        <x:v>1</x:v>
      </x:c>
      <x:c r="I833" t="n">
        <x:v>0</x:v>
      </x:c>
      <x:c r="J833" t="n">
        <x:v>0</x:v>
      </x:c>
      <x:c r="K833" t="n">
        <x:v>0</x:v>
      </x:c>
      <x:c r="L833" t="n">
        <x:v>36</x:v>
      </x:c>
      <x:c r="M833" t="n">
        <x:v>0</x:v>
      </x:c>
      <x:c r="N833" t="str">
        <x:v>Approved</x:v>
      </x:c>
      <x:c r="O833" t="n">
        <x:v>0</x:v>
      </x:c>
      <x:c r="P833" t="str">
        <x:f>IF(L833&gt;=75,"High",IF(L833&gt;=55,"Medium","Low"))</x:f>
        <x:v>Low</x:v>
      </x:c>
    </x:row>
    <x:row r="834">
      <x:c r="A834" t="n">
        <x:v>833</x:v>
      </x:c>
      <x:c r="B834" t="n">
        <x:v>10037</x:v>
      </x:c>
      <x:c r="C834" s="16" t="n">
        <x:v>46193</x:v>
      </x:c>
      <x:c r="D834" t="str">
        <x:v>06:46:00</x:v>
      </x:c>
      <x:c r="E834" t="str">
        <x:v>Card</x:v>
      </x:c>
      <x:c r="F834" t="str">
        <x:v>Subscriptions</x:v>
      </x:c>
      <x:c r="G834" s="18" t="n">
        <x:v>108.37</x:v>
      </x:c>
      <x:c r="H834" t="n">
        <x:v>0</x:v>
      </x:c>
      <x:c r="I834" t="n">
        <x:v>0</x:v>
      </x:c>
      <x:c r="J834" t="n">
        <x:v>0</x:v>
      </x:c>
      <x:c r="K834" t="n">
        <x:v>0</x:v>
      </x:c>
      <x:c r="L834" t="n">
        <x:v>10</x:v>
      </x:c>
      <x:c r="M834" t="n">
        <x:v>0</x:v>
      </x:c>
      <x:c r="N834" t="str">
        <x:v>Approved</x:v>
      </x:c>
      <x:c r="O834" t="n">
        <x:v>0</x:v>
      </x:c>
      <x:c r="P834" t="str">
        <x:f>IF(L834&gt;=75,"High",IF(L834&gt;=55,"Medium","Low"))</x:f>
        <x:v>Low</x:v>
      </x:c>
    </x:row>
    <x:row r="835">
      <x:c r="A835" t="n">
        <x:v>834</x:v>
      </x:c>
      <x:c r="B835" t="n">
        <x:v>10325</x:v>
      </x:c>
      <x:c r="C835" s="16" t="n">
        <x:v>46150</x:v>
      </x:c>
      <x:c r="D835" t="str">
        <x:v>07:41:00</x:v>
      </x:c>
      <x:c r="E835" t="str">
        <x:v>Bank Transfer</x:v>
      </x:c>
      <x:c r="F835" t="str">
        <x:v>Electronics</x:v>
      </x:c>
      <x:c r="G835" s="18" t="n">
        <x:v>41.93</x:v>
      </x:c>
      <x:c r="H835" t="n">
        <x:v>0</x:v>
      </x:c>
      <x:c r="I835" t="n">
        <x:v>1</x:v>
      </x:c>
      <x:c r="J835" t="n">
        <x:v>0</x:v>
      </x:c>
      <x:c r="K835" t="n">
        <x:v>0</x:v>
      </x:c>
      <x:c r="L835" t="n">
        <x:v>30</x:v>
      </x:c>
      <x:c r="M835" t="n">
        <x:v>0</x:v>
      </x:c>
      <x:c r="N835" t="str">
        <x:v>Approved</x:v>
      </x:c>
      <x:c r="O835" t="n">
        <x:v>0</x:v>
      </x:c>
      <x:c r="P835" t="str">
        <x:f>IF(L835&gt;=75,"High",IF(L835&gt;=55,"Medium","Low"))</x:f>
        <x:v>Low</x:v>
      </x:c>
    </x:row>
    <x:row r="836">
      <x:c r="A836" t="n">
        <x:v>835</x:v>
      </x:c>
      <x:c r="B836" t="n">
        <x:v>10350</x:v>
      </x:c>
      <x:c r="C836" s="16" t="n">
        <x:v>46220</x:v>
      </x:c>
      <x:c r="D836" t="str">
        <x:v>23:02:00</x:v>
      </x:c>
      <x:c r="E836" t="str">
        <x:v>Card</x:v>
      </x:c>
      <x:c r="F836" t="str">
        <x:v>Electronics</x:v>
      </x:c>
      <x:c r="G836" s="18" t="n">
        <x:v>136.07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10</x:v>
      </x:c>
      <x:c r="M836" t="n">
        <x:v>0</x:v>
      </x:c>
      <x:c r="N836" t="str">
        <x:v>Declined</x:v>
      </x:c>
      <x:c r="O836" t="n">
        <x:v>0</x:v>
      </x:c>
      <x:c r="P836" t="str">
        <x:f>IF(L836&gt;=75,"High",IF(L836&gt;=55,"Medium","Low"))</x:f>
        <x:v>Low</x:v>
      </x:c>
    </x:row>
    <x:row r="837">
      <x:c r="A837" t="n">
        <x:v>836</x:v>
      </x:c>
      <x:c r="B837" t="n">
        <x:v>10052</x:v>
      </x:c>
      <x:c r="C837" s="16" t="n">
        <x:v>46205</x:v>
      </x:c>
      <x:c r="D837" t="str">
        <x:v>05:47:00</x:v>
      </x:c>
      <x:c r="E837" t="str">
        <x:v>Card</x:v>
      </x:c>
      <x:c r="F837" t="str">
        <x:v>Electronics</x:v>
      </x:c>
      <x:c r="G837" s="18" t="n">
        <x:v>25.52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10</x:v>
      </x:c>
      <x:c r="M837" t="n">
        <x:v>0</x:v>
      </x:c>
      <x:c r="N837" t="str">
        <x:v>Declined</x:v>
      </x:c>
      <x:c r="O837" t="n">
        <x:v>0</x:v>
      </x:c>
      <x:c r="P837" t="str">
        <x:f>IF(L837&gt;=75,"High",IF(L837&gt;=55,"Medium","Low"))</x:f>
        <x:v>Low</x:v>
      </x:c>
    </x:row>
    <x:row r="838">
      <x:c r="A838" t="n">
        <x:v>837</x:v>
      </x:c>
      <x:c r="B838" t="n">
        <x:v>10101</x:v>
      </x:c>
      <x:c r="C838" s="16" t="n">
        <x:v>46217</x:v>
      </x:c>
      <x:c r="D838" t="str">
        <x:v>20:26:00</x:v>
      </x:c>
      <x:c r="E838" t="str">
        <x:v>Bank Transfer</x:v>
      </x:c>
      <x:c r="F838" t="str">
        <x:v>Utilities</x:v>
      </x:c>
      <x:c r="G838" s="18" t="n">
        <x:v>149.03</x:v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n">
        <x:v>10</x:v>
      </x:c>
      <x:c r="M838" t="n">
        <x:v>0</x:v>
      </x:c>
      <x:c r="N838" t="str">
        <x:v>Declined</x:v>
      </x:c>
      <x:c r="O838" t="n">
        <x:v>0</x:v>
      </x:c>
      <x:c r="P838" t="str">
        <x:f>IF(L838&gt;=75,"High",IF(L838&gt;=55,"Medium","Low"))</x:f>
        <x:v>Low</x:v>
      </x:c>
    </x:row>
    <x:row r="839">
      <x:c r="A839" t="n">
        <x:v>838</x:v>
      </x:c>
      <x:c r="B839" t="n">
        <x:v>10343</x:v>
      </x:c>
      <x:c r="C839" s="16" t="n">
        <x:v>46166</x:v>
      </x:c>
      <x:c r="D839" t="str">
        <x:v>01:04:00</x:v>
      </x:c>
      <x:c r="E839" t="str">
        <x:v>Bank Transfer</x:v>
      </x:c>
      <x:c r="F839" t="str">
        <x:v>Travel</x:v>
      </x:c>
      <x:c r="G839" s="18" t="n">
        <x:v>139.48</x:v>
      </x:c>
      <x:c r="H839" t="n">
        <x:v>0</x:v>
      </x:c>
      <x:c r="I839" t="n">
        <x:v>0</x:v>
      </x:c>
      <x:c r="J839" t="n">
        <x:v>0</x:v>
      </x:c>
      <x:c r="K839" t="n">
        <x:v>1</x:v>
      </x:c>
      <x:c r="L839" t="n">
        <x:v>25</x:v>
      </x:c>
      <x:c r="M839" t="n">
        <x:v>0</x:v>
      </x:c>
      <x:c r="N839" t="str">
        <x:v>Approved</x:v>
      </x:c>
      <x:c r="O839" t="n">
        <x:v>0</x:v>
      </x:c>
      <x:c r="P839" t="str">
        <x:f>IF(L839&gt;=75,"High",IF(L839&gt;=55,"Medium","Low"))</x:f>
        <x:v>Low</x:v>
      </x:c>
    </x:row>
    <x:row r="840">
      <x:c r="A840" t="n">
        <x:v>839</x:v>
      </x:c>
      <x:c r="B840" t="n">
        <x:v>10147</x:v>
      </x:c>
      <x:c r="C840" s="16" t="n">
        <x:v>46189</x:v>
      </x:c>
      <x:c r="D840" t="str">
        <x:v>20:56:00</x:v>
      </x:c>
      <x:c r="E840" t="str">
        <x:v>Bank Transfer</x:v>
      </x:c>
      <x:c r="F840" t="str">
        <x:v>Travel</x:v>
      </x:c>
      <x:c r="G840" s="18" t="n">
        <x:v>44.12</x:v>
      </x:c>
      <x:c r="H840" t="n">
        <x:v>1</x:v>
      </x:c>
      <x:c r="I840" t="n">
        <x:v>0</x:v>
      </x:c>
      <x:c r="J840" t="n">
        <x:v>0</x:v>
      </x:c>
      <x:c r="K840" t="n">
        <x:v>0</x:v>
      </x:c>
      <x:c r="L840" t="n">
        <x:v>36</x:v>
      </x:c>
      <x:c r="M840" t="n">
        <x:v>0</x:v>
      </x:c>
      <x:c r="N840" t="str">
        <x:v>Approved</x:v>
      </x:c>
      <x:c r="O840" t="n">
        <x:v>0</x:v>
      </x:c>
      <x:c r="P840" t="str">
        <x:f>IF(L840&gt;=75,"High",IF(L840&gt;=55,"Medium","Low"))</x:f>
        <x:v>Low</x:v>
      </x:c>
    </x:row>
    <x:row r="841">
      <x:c r="A841" t="n">
        <x:v>840</x:v>
      </x:c>
      <x:c r="B841" t="n">
        <x:v>10164</x:v>
      </x:c>
      <x:c r="C841" s="16" t="n">
        <x:v>46166</x:v>
      </x:c>
      <x:c r="D841" t="str">
        <x:v>09:25:00</x:v>
      </x:c>
      <x:c r="E841" t="str">
        <x:v>Bank Transfer</x:v>
      </x:c>
      <x:c r="F841" t="str">
        <x:v>Travel</x:v>
      </x:c>
      <x:c r="G841" s="18" t="n">
        <x:v>67.73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10</x:v>
      </x:c>
      <x:c r="M841" t="n">
        <x:v>0</x:v>
      </x:c>
      <x:c r="N841" t="str">
        <x:v>Approved</x:v>
      </x:c>
      <x:c r="O841" t="n">
        <x:v>0</x:v>
      </x:c>
      <x:c r="P841" t="str">
        <x:f>IF(L841&gt;=75,"High",IF(L841&gt;=55,"Medium","Low"))</x:f>
        <x:v>Low</x:v>
      </x:c>
    </x:row>
    <x:row r="842">
      <x:c r="A842" t="n">
        <x:v>841</x:v>
      </x:c>
      <x:c r="B842" t="n">
        <x:v>10285</x:v>
      </x:c>
      <x:c r="C842" s="16" t="n">
        <x:v>46267</x:v>
      </x:c>
      <x:c r="D842" t="str">
        <x:v>16:37:00</x:v>
      </x:c>
      <x:c r="E842" t="str">
        <x:v>Card</x:v>
      </x:c>
      <x:c r="F842" t="str">
        <x:v>Retail</x:v>
      </x:c>
      <x:c r="G842" s="18" t="n">
        <x:v>233.34</x:v>
      </x:c>
      <x:c r="H842" t="n">
        <x:v>0</x:v>
      </x:c>
      <x:c r="I842" t="n">
        <x:v>1</x:v>
      </x:c>
      <x:c r="J842" t="n">
        <x:v>0</x:v>
      </x:c>
      <x:c r="K842" t="n">
        <x:v>0</x:v>
      </x:c>
      <x:c r="L842" t="n">
        <x:v>30</x:v>
      </x:c>
      <x:c r="M842" t="n">
        <x:v>0</x:v>
      </x:c>
      <x:c r="N842" t="str">
        <x:v>Approved</x:v>
      </x:c>
      <x:c r="O842" t="n">
        <x:v>0</x:v>
      </x:c>
      <x:c r="P842" t="str">
        <x:f>IF(L842&gt;=75,"High",IF(L842&gt;=55,"Medium","Low"))</x:f>
        <x:v>Low</x:v>
      </x:c>
    </x:row>
    <x:row r="843">
      <x:c r="A843" t="n">
        <x:v>842</x:v>
      </x:c>
      <x:c r="B843" t="n">
        <x:v>10075</x:v>
      </x:c>
      <x:c r="C843" s="16" t="n">
        <x:v>46122</x:v>
      </x:c>
      <x:c r="D843" t="str">
        <x:v>23:14:00</x:v>
      </x:c>
      <x:c r="E843" t="str">
        <x:v>P2P</x:v>
      </x:c>
      <x:c r="F843" t="str">
        <x:v>Retail</x:v>
      </x:c>
      <x:c r="G843" s="18" t="n">
        <x:v>55.64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10</x:v>
      </x:c>
      <x:c r="M843" t="n">
        <x:v>0</x:v>
      </x:c>
      <x:c r="N843" t="str">
        <x:v>Declined</x:v>
      </x:c>
      <x:c r="O843" t="n">
        <x:v>0</x:v>
      </x:c>
      <x:c r="P843" t="str">
        <x:f>IF(L843&gt;=75,"High",IF(L843&gt;=55,"Medium","Low"))</x:f>
        <x:v>Low</x:v>
      </x:c>
    </x:row>
    <x:row r="844">
      <x:c r="A844" t="n">
        <x:v>843</x:v>
      </x:c>
      <x:c r="B844" t="n">
        <x:v>10288</x:v>
      </x:c>
      <x:c r="C844" s="16" t="n">
        <x:v>46127</x:v>
      </x:c>
      <x:c r="D844" t="str">
        <x:v>05:28:00</x:v>
      </x:c>
      <x:c r="E844" t="str">
        <x:v>Card</x:v>
      </x:c>
      <x:c r="F844" t="str">
        <x:v>Utilities</x:v>
      </x:c>
      <x:c r="G844" s="18" t="n">
        <x:v>48.5</x:v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n">
        <x:v>10</x:v>
      </x:c>
      <x:c r="M844" t="n">
        <x:v>0</x:v>
      </x:c>
      <x:c r="N844" t="str">
        <x:v>Approved</x:v>
      </x:c>
      <x:c r="O844" t="n">
        <x:v>0</x:v>
      </x:c>
      <x:c r="P844" t="str">
        <x:f>IF(L844&gt;=75,"High",IF(L844&gt;=55,"Medium","Low"))</x:f>
        <x:v>Low</x:v>
      </x:c>
    </x:row>
    <x:row r="845">
      <x:c r="A845" t="n">
        <x:v>844</x:v>
      </x:c>
      <x:c r="B845" t="n">
        <x:v>10114</x:v>
      </x:c>
      <x:c r="C845" s="16" t="n">
        <x:v>46142</x:v>
      </x:c>
      <x:c r="D845" t="str">
        <x:v>16:39:00</x:v>
      </x:c>
      <x:c r="E845" t="str">
        <x:v>Card</x:v>
      </x:c>
      <x:c r="F845" t="str">
        <x:v>Electronics</x:v>
      </x:c>
      <x:c r="G845" s="18" t="n">
        <x:v>12.9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10</x:v>
      </x:c>
      <x:c r="M845" t="n">
        <x:v>0</x:v>
      </x:c>
      <x:c r="N845" t="str">
        <x:v>Approved</x:v>
      </x:c>
      <x:c r="O845" t="n">
        <x:v>0</x:v>
      </x:c>
      <x:c r="P845" t="str">
        <x:f>IF(L845&gt;=75,"High",IF(L845&gt;=55,"Medium","Low"))</x:f>
        <x:v>Low</x:v>
      </x:c>
    </x:row>
    <x:row r="846">
      <x:c r="A846" t="n">
        <x:v>845</x:v>
      </x:c>
      <x:c r="B846" t="n">
        <x:v>10138</x:v>
      </x:c>
      <x:c r="C846" s="16" t="n">
        <x:v>46257</x:v>
      </x:c>
      <x:c r="D846" t="str">
        <x:v>02:28:00</x:v>
      </x:c>
      <x:c r="E846" t="str">
        <x:v>Card</x:v>
      </x:c>
      <x:c r="F846" t="str">
        <x:v>Transfer</x:v>
      </x:c>
      <x:c r="G846" s="18" t="n">
        <x:v>187.37</x:v>
      </x:c>
      <x:c r="H846" t="n">
        <x:v>0</x:v>
      </x:c>
      <x:c r="I846" t="n">
        <x:v>0</x:v>
      </x:c>
      <x:c r="J846" t="n">
        <x:v>0</x:v>
      </x:c>
      <x:c r="K846" t="n">
        <x:v>1</x:v>
      </x:c>
      <x:c r="L846" t="n">
        <x:v>25</x:v>
      </x:c>
      <x:c r="M846" t="n">
        <x:v>0</x:v>
      </x:c>
      <x:c r="N846" t="str">
        <x:v>Approved</x:v>
      </x:c>
      <x:c r="O846" t="n">
        <x:v>0</x:v>
      </x:c>
      <x:c r="P846" t="str">
        <x:f>IF(L846&gt;=75,"High",IF(L846&gt;=55,"Medium","Low"))</x:f>
        <x:v>Low</x:v>
      </x:c>
    </x:row>
    <x:row r="847">
      <x:c r="A847" t="n">
        <x:v>846</x:v>
      </x:c>
      <x:c r="B847" t="n">
        <x:v>10194</x:v>
      </x:c>
      <x:c r="C847" s="16" t="n">
        <x:v>46294</x:v>
      </x:c>
      <x:c r="D847" t="str">
        <x:v>11:00:00</x:v>
      </x:c>
      <x:c r="E847" t="str">
        <x:v>Card</x:v>
      </x:c>
      <x:c r="F847" t="str">
        <x:v>Subscriptions</x:v>
      </x:c>
      <x:c r="G847" s="18" t="n">
        <x:v>276.46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10</x:v>
      </x:c>
      <x:c r="M847" t="n">
        <x:v>0</x:v>
      </x:c>
      <x:c r="N847" t="str">
        <x:v>Approved</x:v>
      </x:c>
      <x:c r="O847" t="n">
        <x:v>0</x:v>
      </x:c>
      <x:c r="P847" t="str">
        <x:f>IF(L847&gt;=75,"High",IF(L847&gt;=55,"Medium","Low"))</x:f>
        <x:v>Low</x:v>
      </x:c>
    </x:row>
    <x:row r="848">
      <x:c r="A848" t="n">
        <x:v>847</x:v>
      </x:c>
      <x:c r="B848" t="n">
        <x:v>10063</x:v>
      </x:c>
      <x:c r="C848" s="16" t="n">
        <x:v>46149</x:v>
      </x:c>
      <x:c r="D848" t="str">
        <x:v>01:43:00</x:v>
      </x:c>
      <x:c r="E848" t="str">
        <x:v>P2P</x:v>
      </x:c>
      <x:c r="F848" t="str">
        <x:v>Transfer</x:v>
      </x:c>
      <x:c r="G848" s="18" t="n">
        <x:v>44.94</x:v>
      </x:c>
      <x:c r="H848" t="n">
        <x:v>0</x:v>
      </x:c>
      <x:c r="I848" t="n">
        <x:v>0</x:v>
      </x:c>
      <x:c r="J848" t="n">
        <x:v>0</x:v>
      </x:c>
      <x:c r="K848" t="n">
        <x:v>1</x:v>
      </x:c>
      <x:c r="L848" t="n">
        <x:v>25</x:v>
      </x:c>
      <x:c r="M848" t="n">
        <x:v>0</x:v>
      </x:c>
      <x:c r="N848" t="str">
        <x:v>Approved</x:v>
      </x:c>
      <x:c r="O848" t="n">
        <x:v>0</x:v>
      </x:c>
      <x:c r="P848" t="str">
        <x:f>IF(L848&gt;=75,"High",IF(L848&gt;=55,"Medium","Low"))</x:f>
        <x:v>Low</x:v>
      </x:c>
    </x:row>
    <x:row r="849">
      <x:c r="A849" t="n">
        <x:v>848</x:v>
      </x:c>
      <x:c r="B849" t="n">
        <x:v>10104</x:v>
      </x:c>
      <x:c r="C849" s="16" t="n">
        <x:v>46284</x:v>
      </x:c>
      <x:c r="D849" t="str">
        <x:v>20:50:00</x:v>
      </x:c>
      <x:c r="E849" t="str">
        <x:v>Card</x:v>
      </x:c>
      <x:c r="F849" t="str">
        <x:v>Transfer</x:v>
      </x:c>
      <x:c r="G849" s="18" t="n">
        <x:v>20.12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10</x:v>
      </x:c>
      <x:c r="M849" t="n">
        <x:v>0</x:v>
      </x:c>
      <x:c r="N849" t="str">
        <x:v>Approved</x:v>
      </x:c>
      <x:c r="O849" t="n">
        <x:v>0</x:v>
      </x:c>
      <x:c r="P849" t="str">
        <x:f>IF(L849&gt;=75,"High",IF(L849&gt;=55,"Medium","Low"))</x:f>
        <x:v>Low</x:v>
      </x:c>
    </x:row>
    <x:row r="850">
      <x:c r="A850" t="n">
        <x:v>849</x:v>
      </x:c>
      <x:c r="B850" t="n">
        <x:v>10275</x:v>
      </x:c>
      <x:c r="C850" s="16" t="n">
        <x:v>46204</x:v>
      </x:c>
      <x:c r="D850" t="str">
        <x:v>08:05:00</x:v>
      </x:c>
      <x:c r="E850" t="str">
        <x:v>Card</x:v>
      </x:c>
      <x:c r="F850" t="str">
        <x:v>Retail</x:v>
      </x:c>
      <x:c r="G850" s="18" t="n">
        <x:v>25.36</x:v>
      </x:c>
      <x:c r="H850" t="n">
        <x:v>0</x:v>
      </x:c>
      <x:c r="I850" t="n">
        <x:v>1</x:v>
      </x:c>
      <x:c r="J850" t="n">
        <x:v>0</x:v>
      </x:c>
      <x:c r="K850" t="n">
        <x:v>0</x:v>
      </x:c>
      <x:c r="L850" t="n">
        <x:v>30</x:v>
      </x:c>
      <x:c r="M850" t="n">
        <x:v>0</x:v>
      </x:c>
      <x:c r="N850" t="str">
        <x:v>Approved</x:v>
      </x:c>
      <x:c r="O850" t="n">
        <x:v>0</x:v>
      </x:c>
      <x:c r="P850" t="str">
        <x:f>IF(L850&gt;=75,"High",IF(L850&gt;=55,"Medium","Low"))</x:f>
        <x:v>Low</x:v>
      </x:c>
    </x:row>
    <x:row r="851">
      <x:c r="A851" t="n">
        <x:v>850</x:v>
      </x:c>
      <x:c r="B851" t="n">
        <x:v>10105</x:v>
      </x:c>
      <x:c r="C851" s="16" t="n">
        <x:v>46260</x:v>
      </x:c>
      <x:c r="D851" t="str">
        <x:v>03:52:00</x:v>
      </x:c>
      <x:c r="E851" t="str">
        <x:v>Card</x:v>
      </x:c>
      <x:c r="F851" t="str">
        <x:v>Retail</x:v>
      </x:c>
      <x:c r="G851" s="18" t="n">
        <x:v>281.29</x:v>
      </x:c>
      <x:c r="H851" t="n">
        <x:v>0</x:v>
      </x:c>
      <x:c r="I851" t="n">
        <x:v>0</x:v>
      </x:c>
      <x:c r="J851" t="n">
        <x:v>0</x:v>
      </x:c>
      <x:c r="K851" t="n">
        <x:v>1</x:v>
      </x:c>
      <x:c r="L851" t="n">
        <x:v>25</x:v>
      </x:c>
      <x:c r="M851" t="n">
        <x:v>0</x:v>
      </x:c>
      <x:c r="N851" t="str">
        <x:v>Approved</x:v>
      </x:c>
      <x:c r="O851" t="n">
        <x:v>0</x:v>
      </x:c>
      <x:c r="P851" t="str">
        <x:f>IF(L851&gt;=75,"High",IF(L851&gt;=55,"Medium","Low"))</x:f>
        <x:v>Low</x:v>
      </x:c>
    </x:row>
    <x:row r="852">
      <x:c r="A852" t="n">
        <x:v>851</x:v>
      </x:c>
      <x:c r="B852" t="n">
        <x:v>10327</x:v>
      </x:c>
      <x:c r="C852" s="16" t="n">
        <x:v>46278</x:v>
      </x:c>
      <x:c r="D852" t="str">
        <x:v>19:02:00</x:v>
      </x:c>
      <x:c r="E852" t="str">
        <x:v>Card</x:v>
      </x:c>
      <x:c r="F852" t="str">
        <x:v>Electronics</x:v>
      </x:c>
      <x:c r="G852" s="18" t="n">
        <x:v>364.6</x:v>
      </x:c>
      <x:c r="H852" t="n">
        <x:v>1</x:v>
      </x:c>
      <x:c r="I852" t="n">
        <x:v>0</x:v>
      </x:c>
      <x:c r="J852" t="n">
        <x:v>0</x:v>
      </x:c>
      <x:c r="K852" t="n">
        <x:v>0</x:v>
      </x:c>
      <x:c r="L852" t="n">
        <x:v>36</x:v>
      </x:c>
      <x:c r="M852" t="n">
        <x:v>0</x:v>
      </x:c>
      <x:c r="N852" t="str">
        <x:v>Declined</x:v>
      </x:c>
      <x:c r="O852" t="n">
        <x:v>0</x:v>
      </x:c>
      <x:c r="P852" t="str">
        <x:f>IF(L852&gt;=75,"High",IF(L852&gt;=55,"Medium","Low"))</x:f>
        <x:v>Low</x:v>
      </x:c>
    </x:row>
    <x:row r="853">
      <x:c r="A853" t="n">
        <x:v>852</x:v>
      </x:c>
      <x:c r="B853" t="n">
        <x:v>10337</x:v>
      </x:c>
      <x:c r="C853" s="16" t="n">
        <x:v>46256</x:v>
      </x:c>
      <x:c r="D853" t="str">
        <x:v>03:22:00</x:v>
      </x:c>
      <x:c r="E853" t="str">
        <x:v>Card</x:v>
      </x:c>
      <x:c r="F853" t="str">
        <x:v>Dining</x:v>
      </x:c>
      <x:c r="G853" s="18" t="n">
        <x:v>39.92</x:v>
      </x:c>
      <x:c r="H853" t="n">
        <x:v>0</x:v>
      </x:c>
      <x:c r="I853" t="n">
        <x:v>0</x:v>
      </x:c>
      <x:c r="J853" t="n">
        <x:v>0</x:v>
      </x:c>
      <x:c r="K853" t="n">
        <x:v>1</x:v>
      </x:c>
      <x:c r="L853" t="n">
        <x:v>25</x:v>
      </x:c>
      <x:c r="M853" t="n">
        <x:v>0</x:v>
      </x:c>
      <x:c r="N853" t="str">
        <x:v>Approved</x:v>
      </x:c>
      <x:c r="O853" t="n">
        <x:v>0</x:v>
      </x:c>
      <x:c r="P853" t="str">
        <x:f>IF(L853&gt;=75,"High",IF(L853&gt;=55,"Medium","Low"))</x:f>
        <x:v>Low</x:v>
      </x:c>
    </x:row>
    <x:row r="854">
      <x:c r="A854" t="n">
        <x:v>853</x:v>
      </x:c>
      <x:c r="B854" t="n">
        <x:v>10206</x:v>
      </x:c>
      <x:c r="C854" s="16" t="n">
        <x:v>46279</x:v>
      </x:c>
      <x:c r="D854" t="str">
        <x:v>08:43:00</x:v>
      </x:c>
      <x:c r="E854" t="str">
        <x:v>P2P</x:v>
      </x:c>
      <x:c r="F854" t="str">
        <x:v>Electronics</x:v>
      </x:c>
      <x:c r="G854" s="18" t="n">
        <x:v>28.1</x:v>
      </x:c>
      <x:c r="H854" t="n">
        <x:v>0</x:v>
      </x:c>
      <x:c r="I854" t="n">
        <x:v>1</x:v>
      </x:c>
      <x:c r="J854" t="n">
        <x:v>0</x:v>
      </x:c>
      <x:c r="K854" t="n">
        <x:v>0</x:v>
      </x:c>
      <x:c r="L854" t="n">
        <x:v>30</x:v>
      </x:c>
      <x:c r="M854" t="n">
        <x:v>0</x:v>
      </x:c>
      <x:c r="N854" t="str">
        <x:v>Approved</x:v>
      </x:c>
      <x:c r="O854" t="n">
        <x:v>0</x:v>
      </x:c>
      <x:c r="P854" t="str">
        <x:f>IF(L854&gt;=75,"High",IF(L854&gt;=55,"Medium","Low"))</x:f>
        <x:v>Low</x:v>
      </x:c>
    </x:row>
    <x:row r="855">
      <x:c r="A855" t="n">
        <x:v>854</x:v>
      </x:c>
      <x:c r="B855" t="n">
        <x:v>10203</x:v>
      </x:c>
      <x:c r="C855" s="16" t="n">
        <x:v>46262</x:v>
      </x:c>
      <x:c r="D855" t="str">
        <x:v>09:34:00</x:v>
      </x:c>
      <x:c r="E855" t="str">
        <x:v>Card</x:v>
      </x:c>
      <x:c r="F855" t="str">
        <x:v>Utilities</x:v>
      </x:c>
      <x:c r="G855" s="18" t="n">
        <x:v>72.86</x:v>
      </x:c>
      <x:c r="H855" t="n">
        <x:v>0</x:v>
      </x:c>
      <x:c r="I855" t="n">
        <x:v>1</x:v>
      </x:c>
      <x:c r="J855" t="n">
        <x:v>0</x:v>
      </x:c>
      <x:c r="K855" t="n">
        <x:v>0</x:v>
      </x:c>
      <x:c r="L855" t="n">
        <x:v>30</x:v>
      </x:c>
      <x:c r="M855" t="n">
        <x:v>0</x:v>
      </x:c>
      <x:c r="N855" t="str">
        <x:v>Declined</x:v>
      </x:c>
      <x:c r="O855" t="n">
        <x:v>0</x:v>
      </x:c>
      <x:c r="P855" t="str">
        <x:f>IF(L855&gt;=75,"High",IF(L855&gt;=55,"Medium","Low"))</x:f>
        <x:v>Low</x:v>
      </x:c>
    </x:row>
    <x:row r="856">
      <x:c r="A856" t="n">
        <x:v>855</x:v>
      </x:c>
      <x:c r="B856" t="n">
        <x:v>10230</x:v>
      </x:c>
      <x:c r="C856" s="16" t="n">
        <x:v>46248</x:v>
      </x:c>
      <x:c r="D856" t="str">
        <x:v>16:49:00</x:v>
      </x:c>
      <x:c r="E856" t="str">
        <x:v>Card</x:v>
      </x:c>
      <x:c r="F856" t="str">
        <x:v>Travel</x:v>
      </x:c>
      <x:c r="G856" s="18" t="n">
        <x:v>97.44</x:v>
      </x:c>
      <x:c r="H856" t="n">
        <x:v>0</x:v>
      </x:c>
      <x:c r="I856" t="n">
        <x:v>1</x:v>
      </x:c>
      <x:c r="J856" t="n">
        <x:v>0</x:v>
      </x:c>
      <x:c r="K856" t="n">
        <x:v>0</x:v>
      </x:c>
      <x:c r="L856" t="n">
        <x:v>30</x:v>
      </x:c>
      <x:c r="M856" t="n">
        <x:v>0</x:v>
      </x:c>
      <x:c r="N856" t="str">
        <x:v>Approved</x:v>
      </x:c>
      <x:c r="O856" t="n">
        <x:v>0</x:v>
      </x:c>
      <x:c r="P856" t="str">
        <x:f>IF(L856&gt;=75,"High",IF(L856&gt;=55,"Medium","Low"))</x:f>
        <x:v>Low</x:v>
      </x:c>
    </x:row>
    <x:row r="857">
      <x:c r="A857" t="n">
        <x:v>856</x:v>
      </x:c>
      <x:c r="B857" t="n">
        <x:v>10178</x:v>
      </x:c>
      <x:c r="C857" s="16" t="n">
        <x:v>46171</x:v>
      </x:c>
      <x:c r="D857" t="str">
        <x:v>01:02:00</x:v>
      </x:c>
      <x:c r="E857" t="str">
        <x:v>Card</x:v>
      </x:c>
      <x:c r="F857" t="str">
        <x:v>Electronics</x:v>
      </x:c>
      <x:c r="G857" s="18" t="n">
        <x:v>70.66</x:v>
      </x:c>
      <x:c r="H857" t="n">
        <x:v>0</x:v>
      </x:c>
      <x:c r="I857" t="n">
        <x:v>0</x:v>
      </x:c>
      <x:c r="J857" t="n">
        <x:v>0</x:v>
      </x:c>
      <x:c r="K857" t="n">
        <x:v>1</x:v>
      </x:c>
      <x:c r="L857" t="n">
        <x:v>25</x:v>
      </x:c>
      <x:c r="M857" t="n">
        <x:v>0</x:v>
      </x:c>
      <x:c r="N857" t="str">
        <x:v>Approved</x:v>
      </x:c>
      <x:c r="O857" t="n">
        <x:v>0</x:v>
      </x:c>
      <x:c r="P857" t="str">
        <x:f>IF(L857&gt;=75,"High",IF(L857&gt;=55,"Medium","Low"))</x:f>
        <x:v>Low</x:v>
      </x:c>
    </x:row>
    <x:row r="858">
      <x:c r="A858" t="n">
        <x:v>857</x:v>
      </x:c>
      <x:c r="B858" t="n">
        <x:v>10003</x:v>
      </x:c>
      <x:c r="C858" s="16" t="n">
        <x:v>46235</x:v>
      </x:c>
      <x:c r="D858" t="str">
        <x:v>04:30:00</x:v>
      </x:c>
      <x:c r="E858" t="str">
        <x:v>Card</x:v>
      </x:c>
      <x:c r="F858" t="str">
        <x:v>Travel</x:v>
      </x:c>
      <x:c r="G858" s="18" t="n">
        <x:v>204.42</x:v>
      </x:c>
      <x:c r="H858" t="n">
        <x:v>1</x:v>
      </x:c>
      <x:c r="I858" t="n">
        <x:v>1</x:v>
      </x:c>
      <x:c r="J858" t="n">
        <x:v>0</x:v>
      </x:c>
      <x:c r="K858" t="n">
        <x:v>1</x:v>
      </x:c>
      <x:c r="L858" t="n">
        <x:v>71</x:v>
      </x:c>
      <x:c r="M858" t="n">
        <x:v>1</x:v>
      </x:c>
      <x:c r="N858" t="str">
        <x:v>Approved</x:v>
      </x:c>
      <x:c r="O858" t="n">
        <x:v>0</x:v>
      </x:c>
      <x:c r="P858" t="str">
        <x:f>IF(L858&gt;=75,"High",IF(L858&gt;=55,"Medium","Low"))</x:f>
        <x:v>Medium</x:v>
      </x:c>
    </x:row>
    <x:row r="859">
      <x:c r="A859" t="n">
        <x:v>858</x:v>
      </x:c>
      <x:c r="B859" t="n">
        <x:v>10213</x:v>
      </x:c>
      <x:c r="C859" s="16" t="n">
        <x:v>46211</x:v>
      </x:c>
      <x:c r="D859" t="str">
        <x:v>04:54:00</x:v>
      </x:c>
      <x:c r="E859" t="str">
        <x:v>P2P</x:v>
      </x:c>
      <x:c r="F859" t="str">
        <x:v>Transfer</x:v>
      </x:c>
      <x:c r="G859" s="18" t="n">
        <x:v>50.34</x:v>
      </x:c>
      <x:c r="H859" t="n">
        <x:v>1</x:v>
      </x:c>
      <x:c r="I859" t="n">
        <x:v>0</x:v>
      </x:c>
      <x:c r="J859" t="n">
        <x:v>0</x:v>
      </x:c>
      <x:c r="K859" t="n">
        <x:v>1</x:v>
      </x:c>
      <x:c r="L859" t="n">
        <x:v>51</x:v>
      </x:c>
      <x:c r="M859" t="n">
        <x:v>0</x:v>
      </x:c>
      <x:c r="N859" t="str">
        <x:v>Approved</x:v>
      </x:c>
      <x:c r="O859" t="n">
        <x:v>0</x:v>
      </x:c>
      <x:c r="P859" t="str">
        <x:f>IF(L859&gt;=75,"High",IF(L859&gt;=55,"Medium","Low"))</x:f>
        <x:v>Low</x:v>
      </x:c>
    </x:row>
    <x:row r="860">
      <x:c r="A860" t="n">
        <x:v>859</x:v>
      </x:c>
      <x:c r="B860" t="n">
        <x:v>10327</x:v>
      </x:c>
      <x:c r="C860" s="16" t="n">
        <x:v>46237</x:v>
      </x:c>
      <x:c r="D860" t="str">
        <x:v>23:13:00</x:v>
      </x:c>
      <x:c r="E860" t="str">
        <x:v>Card</x:v>
      </x:c>
      <x:c r="F860" t="str">
        <x:v>Retail</x:v>
      </x:c>
      <x:c r="G860" s="18" t="n">
        <x:v>18.57</x:v>
      </x:c>
      <x:c r="H860" t="n">
        <x:v>0</x:v>
      </x:c>
      <x:c r="I860" t="n">
        <x:v>0</x:v>
      </x:c>
      <x:c r="J860" t="n">
        <x:v>0</x:v>
      </x:c>
      <x:c r="K860" t="n">
        <x:v>0</x:v>
      </x:c>
      <x:c r="L860" t="n">
        <x:v>10</x:v>
      </x:c>
      <x:c r="M860" t="n">
        <x:v>0</x:v>
      </x:c>
      <x:c r="N860" t="str">
        <x:v>Approved</x:v>
      </x:c>
      <x:c r="O860" t="n">
        <x:v>0</x:v>
      </x:c>
      <x:c r="P860" t="str">
        <x:f>IF(L860&gt;=75,"High",IF(L860&gt;=55,"Medium","Low"))</x:f>
        <x:v>Low</x:v>
      </x:c>
    </x:row>
    <x:row r="861">
      <x:c r="A861" t="n">
        <x:v>860</x:v>
      </x:c>
      <x:c r="B861" t="n">
        <x:v>10085</x:v>
      </x:c>
      <x:c r="C861" s="16" t="n">
        <x:v>46223</x:v>
      </x:c>
      <x:c r="D861" t="str">
        <x:v>04:42:00</x:v>
      </x:c>
      <x:c r="E861" t="str">
        <x:v>Card</x:v>
      </x:c>
      <x:c r="F861" t="str">
        <x:v>Subscriptions</x:v>
      </x:c>
      <x:c r="G861" s="18" t="n">
        <x:v>52.35</x:v>
      </x:c>
      <x:c r="H861" t="n">
        <x:v>0</x:v>
      </x:c>
      <x:c r="I861" t="n">
        <x:v>0</x:v>
      </x:c>
      <x:c r="J861" t="n">
        <x:v>0</x:v>
      </x:c>
      <x:c r="K861" t="n">
        <x:v>1</x:v>
      </x:c>
      <x:c r="L861" t="n">
        <x:v>25</x:v>
      </x:c>
      <x:c r="M861" t="n">
        <x:v>0</x:v>
      </x:c>
      <x:c r="N861" t="str">
        <x:v>Declined</x:v>
      </x:c>
      <x:c r="O861" t="n">
        <x:v>0</x:v>
      </x:c>
      <x:c r="P861" t="str">
        <x:f>IF(L861&gt;=75,"High",IF(L861&gt;=55,"Medium","Low"))</x:f>
        <x:v>Low</x:v>
      </x:c>
    </x:row>
    <x:row r="862">
      <x:c r="A862" t="n">
        <x:v>861</x:v>
      </x:c>
      <x:c r="B862" t="n">
        <x:v>10205</x:v>
      </x:c>
      <x:c r="C862" s="16" t="n">
        <x:v>46209</x:v>
      </x:c>
      <x:c r="D862" t="str">
        <x:v>14:49:00</x:v>
      </x:c>
      <x:c r="E862" t="str">
        <x:v>Card</x:v>
      </x:c>
      <x:c r="F862" t="str">
        <x:v>Subscriptions</x:v>
      </x:c>
      <x:c r="G862" s="18" t="n">
        <x:v>18.46</x:v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n">
        <x:v>10</x:v>
      </x:c>
      <x:c r="M862" t="n">
        <x:v>0</x:v>
      </x:c>
      <x:c r="N862" t="str">
        <x:v>Approved</x:v>
      </x:c>
      <x:c r="O862" t="n">
        <x:v>0</x:v>
      </x:c>
      <x:c r="P862" t="str">
        <x:f>IF(L862&gt;=75,"High",IF(L862&gt;=55,"Medium","Low"))</x:f>
        <x:v>Low</x:v>
      </x:c>
    </x:row>
    <x:row r="863">
      <x:c r="A863" t="n">
        <x:v>862</x:v>
      </x:c>
      <x:c r="B863" t="n">
        <x:v>10173</x:v>
      </x:c>
      <x:c r="C863" s="16" t="n">
        <x:v>46199</x:v>
      </x:c>
      <x:c r="D863" t="str">
        <x:v>04:43:00</x:v>
      </x:c>
      <x:c r="E863" t="str">
        <x:v>Card</x:v>
      </x:c>
      <x:c r="F863" t="str">
        <x:v>Transfer</x:v>
      </x:c>
      <x:c r="G863" s="18" t="n">
        <x:v>17.61</x:v>
      </x:c>
      <x:c r="H863" t="n">
        <x:v>0</x:v>
      </x:c>
      <x:c r="I863" t="n">
        <x:v>0</x:v>
      </x:c>
      <x:c r="J863" t="n">
        <x:v>0</x:v>
      </x:c>
      <x:c r="K863" t="n">
        <x:v>1</x:v>
      </x:c>
      <x:c r="L863" t="n">
        <x:v>25</x:v>
      </x:c>
      <x:c r="M863" t="n">
        <x:v>0</x:v>
      </x:c>
      <x:c r="N863" t="str">
        <x:v>Approved</x:v>
      </x:c>
      <x:c r="O863" t="n">
        <x:v>0</x:v>
      </x:c>
      <x:c r="P863" t="str">
        <x:f>IF(L863&gt;=75,"High",IF(L863&gt;=55,"Medium","Low"))</x:f>
        <x:v>Low</x:v>
      </x:c>
    </x:row>
    <x:row r="864">
      <x:c r="A864" t="n">
        <x:v>863</x:v>
      </x:c>
      <x:c r="B864" t="n">
        <x:v>10163</x:v>
      </x:c>
      <x:c r="C864" s="16" t="n">
        <x:v>46275</x:v>
      </x:c>
      <x:c r="D864" t="str">
        <x:v>21:17:00</x:v>
      </x:c>
      <x:c r="E864" t="str">
        <x:v>Card</x:v>
      </x:c>
      <x:c r="F864" t="str">
        <x:v>Retail</x:v>
      </x:c>
      <x:c r="G864" s="18" t="n">
        <x:v>580.36</x:v>
      </x:c>
      <x:c r="H864" t="n">
        <x:v>0</x:v>
      </x:c>
      <x:c r="I864" t="n">
        <x:v>0</x:v>
      </x:c>
      <x:c r="J864" t="n">
        <x:v>0</x:v>
      </x:c>
      <x:c r="K864" t="n">
        <x:v>0</x:v>
      </x:c>
      <x:c r="L864" t="n">
        <x:v>10</x:v>
      </x:c>
      <x:c r="M864" t="n">
        <x:v>0</x:v>
      </x:c>
      <x:c r="N864" t="str">
        <x:v>Approved</x:v>
      </x:c>
      <x:c r="O864" t="n">
        <x:v>0</x:v>
      </x:c>
      <x:c r="P864" t="str">
        <x:f>IF(L864&gt;=75,"High",IF(L864&gt;=55,"Medium","Low"))</x:f>
        <x:v>Low</x:v>
      </x:c>
    </x:row>
    <x:row r="865">
      <x:c r="A865" t="n">
        <x:v>864</x:v>
      </x:c>
      <x:c r="B865" t="n">
        <x:v>10316</x:v>
      </x:c>
      <x:c r="C865" s="16" t="n">
        <x:v>46197</x:v>
      </x:c>
      <x:c r="D865" t="str">
        <x:v>17:41:00</x:v>
      </x:c>
      <x:c r="E865" t="str">
        <x:v>Bank Transfer</x:v>
      </x:c>
      <x:c r="F865" t="str">
        <x:v>Transfer</x:v>
      </x:c>
      <x:c r="G865" s="18" t="n">
        <x:v>122.75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10</x:v>
      </x:c>
      <x:c r="M865" t="n">
        <x:v>0</x:v>
      </x:c>
      <x:c r="N865" t="str">
        <x:v>Approved</x:v>
      </x:c>
      <x:c r="O865" t="n">
        <x:v>0</x:v>
      </x:c>
      <x:c r="P865" t="str">
        <x:f>IF(L865&gt;=75,"High",IF(L865&gt;=55,"Medium","Low"))</x:f>
        <x:v>Low</x:v>
      </x:c>
    </x:row>
    <x:row r="866">
      <x:c r="A866" t="n">
        <x:v>865</x:v>
      </x:c>
      <x:c r="B866" t="n">
        <x:v>10262</x:v>
      </x:c>
      <x:c r="C866" s="16" t="n">
        <x:v>46239</x:v>
      </x:c>
      <x:c r="D866" t="str">
        <x:v>04:22:00</x:v>
      </x:c>
      <x:c r="E866" t="str">
        <x:v>Card</x:v>
      </x:c>
      <x:c r="F866" t="str">
        <x:v>Utilities</x:v>
      </x:c>
      <x:c r="G866" s="18" t="n">
        <x:v>193.34</x:v>
      </x:c>
      <x:c r="H866" t="n">
        <x:v>0</x:v>
      </x:c>
      <x:c r="I866" t="n">
        <x:v>0</x:v>
      </x:c>
      <x:c r="J866" t="n">
        <x:v>0</x:v>
      </x:c>
      <x:c r="K866" t="n">
        <x:v>1</x:v>
      </x:c>
      <x:c r="L866" t="n">
        <x:v>25</x:v>
      </x:c>
      <x:c r="M866" t="n">
        <x:v>0</x:v>
      </x:c>
      <x:c r="N866" t="str">
        <x:v>Approved</x:v>
      </x:c>
      <x:c r="O866" t="n">
        <x:v>0</x:v>
      </x:c>
      <x:c r="P866" t="str">
        <x:f>IF(L866&gt;=75,"High",IF(L866&gt;=55,"Medium","Low"))</x:f>
        <x:v>Low</x:v>
      </x:c>
    </x:row>
    <x:row r="867">
      <x:c r="A867" t="n">
        <x:v>866</x:v>
      </x:c>
      <x:c r="B867" t="n">
        <x:v>10126</x:v>
      </x:c>
      <x:c r="C867" s="16" t="n">
        <x:v>46234</x:v>
      </x:c>
      <x:c r="D867" t="str">
        <x:v>07:04:00</x:v>
      </x:c>
      <x:c r="E867" t="str">
        <x:v>Card</x:v>
      </x:c>
      <x:c r="F867" t="str">
        <x:v>Transfer</x:v>
      </x:c>
      <x:c r="G867" s="18" t="n">
        <x:v>78.37</x:v>
      </x:c>
      <x:c r="H867" t="n">
        <x:v>0</x:v>
      </x:c>
      <x:c r="I867" t="n">
        <x:v>0</x:v>
      </x:c>
      <x:c r="J867" t="n">
        <x:v>0</x:v>
      </x:c>
      <x:c r="K867" t="n">
        <x:v>0</x:v>
      </x:c>
      <x:c r="L867" t="n">
        <x:v>10</x:v>
      </x:c>
      <x:c r="M867" t="n">
        <x:v>0</x:v>
      </x:c>
      <x:c r="N867" t="str">
        <x:v>Approved</x:v>
      </x:c>
      <x:c r="O867" t="n">
        <x:v>0</x:v>
      </x:c>
      <x:c r="P867" t="str">
        <x:f>IF(L867&gt;=75,"High",IF(L867&gt;=55,"Medium","Low"))</x:f>
        <x:v>Low</x:v>
      </x:c>
    </x:row>
    <x:row r="868">
      <x:c r="A868" t="n">
        <x:v>867</x:v>
      </x:c>
      <x:c r="B868" t="n">
        <x:v>10070</x:v>
      </x:c>
      <x:c r="C868" s="16" t="n">
        <x:v>46237</x:v>
      </x:c>
      <x:c r="D868" t="str">
        <x:v>15:51:00</x:v>
      </x:c>
      <x:c r="E868" t="str">
        <x:v>Card</x:v>
      </x:c>
      <x:c r="F868" t="str">
        <x:v>Electronics</x:v>
      </x:c>
      <x:c r="G868" s="18" t="n">
        <x:v>13.53</x:v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n">
        <x:v>10</x:v>
      </x:c>
      <x:c r="M868" t="n">
        <x:v>0</x:v>
      </x:c>
      <x:c r="N868" t="str">
        <x:v>Approved</x:v>
      </x:c>
      <x:c r="O868" t="n">
        <x:v>0</x:v>
      </x:c>
      <x:c r="P868" t="str">
        <x:f>IF(L868&gt;=75,"High",IF(L868&gt;=55,"Medium","Low"))</x:f>
        <x:v>Low</x:v>
      </x:c>
    </x:row>
    <x:row r="869">
      <x:c r="A869" t="n">
        <x:v>868</x:v>
      </x:c>
      <x:c r="B869" t="n">
        <x:v>10148</x:v>
      </x:c>
      <x:c r="C869" s="16" t="n">
        <x:v>46220</x:v>
      </x:c>
      <x:c r="D869" t="str">
        <x:v>00:43:00</x:v>
      </x:c>
      <x:c r="E869" t="str">
        <x:v>P2P</x:v>
      </x:c>
      <x:c r="F869" t="str">
        <x:v>Travel</x:v>
      </x:c>
      <x:c r="G869" s="18" t="n">
        <x:v>69.34</x:v>
      </x:c>
      <x:c r="H869" t="n">
        <x:v>0</x:v>
      </x:c>
      <x:c r="I869" t="n">
        <x:v>0</x:v>
      </x:c>
      <x:c r="J869" t="n">
        <x:v>0</x:v>
      </x:c>
      <x:c r="K869" t="n">
        <x:v>1</x:v>
      </x:c>
      <x:c r="L869" t="n">
        <x:v>25</x:v>
      </x:c>
      <x:c r="M869" t="n">
        <x:v>0</x:v>
      </x:c>
      <x:c r="N869" t="str">
        <x:v>Approved</x:v>
      </x:c>
      <x:c r="O869" t="n">
        <x:v>0</x:v>
      </x:c>
      <x:c r="P869" t="str">
        <x:f>IF(L869&gt;=75,"High",IF(L869&gt;=55,"Medium","Low"))</x:f>
        <x:v>Low</x:v>
      </x:c>
    </x:row>
    <x:row r="870">
      <x:c r="A870" t="n">
        <x:v>869</x:v>
      </x:c>
      <x:c r="B870" t="n">
        <x:v>10231</x:v>
      </x:c>
      <x:c r="C870" s="16" t="n">
        <x:v>46263</x:v>
      </x:c>
      <x:c r="D870" t="str">
        <x:v>21:34:00</x:v>
      </x:c>
      <x:c r="E870" t="str">
        <x:v>Card</x:v>
      </x:c>
      <x:c r="F870" t="str">
        <x:v>Transfer</x:v>
      </x:c>
      <x:c r="G870" s="18" t="n">
        <x:v>57.13</x:v>
      </x:c>
      <x:c r="H870" t="n">
        <x:v>0</x:v>
      </x:c>
      <x:c r="I870" t="n">
        <x:v>0</x:v>
      </x:c>
      <x:c r="J870" t="n">
        <x:v>0</x:v>
      </x:c>
      <x:c r="K870" t="n">
        <x:v>0</x:v>
      </x:c>
      <x:c r="L870" t="n">
        <x:v>10</x:v>
      </x:c>
      <x:c r="M870" t="n">
        <x:v>0</x:v>
      </x:c>
      <x:c r="N870" t="str">
        <x:v>Approved</x:v>
      </x:c>
      <x:c r="O870" t="n">
        <x:v>0</x:v>
      </x:c>
      <x:c r="P870" t="str">
        <x:f>IF(L870&gt;=75,"High",IF(L870&gt;=55,"Medium","Low"))</x:f>
        <x:v>Low</x:v>
      </x:c>
    </x:row>
    <x:row r="871">
      <x:c r="A871" t="n">
        <x:v>870</x:v>
      </x:c>
      <x:c r="B871" t="n">
        <x:v>10001</x:v>
      </x:c>
      <x:c r="C871" s="16" t="n">
        <x:v>46222</x:v>
      </x:c>
      <x:c r="D871" t="str">
        <x:v>06:37:00</x:v>
      </x:c>
      <x:c r="E871" t="str">
        <x:v>Card</x:v>
      </x:c>
      <x:c r="F871" t="str">
        <x:v>Transfer</x:v>
      </x:c>
      <x:c r="G871" s="18" t="n">
        <x:v>27.19</x:v>
      </x:c>
      <x:c r="H871" t="n">
        <x:v>0</x:v>
      </x:c>
      <x:c r="I871" t="n">
        <x:v>0</x:v>
      </x:c>
      <x:c r="J871" t="n">
        <x:v>0</x:v>
      </x:c>
      <x:c r="K871" t="n">
        <x:v>0</x:v>
      </x:c>
      <x:c r="L871" t="n">
        <x:v>10</x:v>
      </x:c>
      <x:c r="M871" t="n">
        <x:v>0</x:v>
      </x:c>
      <x:c r="N871" t="str">
        <x:v>Declined</x:v>
      </x:c>
      <x:c r="O871" t="n">
        <x:v>0</x:v>
      </x:c>
      <x:c r="P871" t="str">
        <x:f>IF(L871&gt;=75,"High",IF(L871&gt;=55,"Medium","Low"))</x:f>
        <x:v>Low</x:v>
      </x:c>
    </x:row>
    <x:row r="872">
      <x:c r="A872" t="n">
        <x:v>871</x:v>
      </x:c>
      <x:c r="B872" t="n">
        <x:v>10151</x:v>
      </x:c>
      <x:c r="C872" s="16" t="n">
        <x:v>46229</x:v>
      </x:c>
      <x:c r="D872" t="str">
        <x:v>07:20:00</x:v>
      </x:c>
      <x:c r="E872" t="str">
        <x:v>Card</x:v>
      </x:c>
      <x:c r="F872" t="str">
        <x:v>Transfer</x:v>
      </x:c>
      <x:c r="G872" s="18" t="n">
        <x:v>26.48</x:v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n">
        <x:v>10</x:v>
      </x:c>
      <x:c r="M872" t="n">
        <x:v>0</x:v>
      </x:c>
      <x:c r="N872" t="str">
        <x:v>Approved</x:v>
      </x:c>
      <x:c r="O872" t="n">
        <x:v>0</x:v>
      </x:c>
      <x:c r="P872" t="str">
        <x:f>IF(L872&gt;=75,"High",IF(L872&gt;=55,"Medium","Low"))</x:f>
        <x:v>Low</x:v>
      </x:c>
    </x:row>
    <x:row r="873">
      <x:c r="A873" t="n">
        <x:v>872</x:v>
      </x:c>
      <x:c r="B873" t="n">
        <x:v>10314</x:v>
      </x:c>
      <x:c r="C873" s="16" t="n">
        <x:v>46146</x:v>
      </x:c>
      <x:c r="D873" t="str">
        <x:v>04:22:00</x:v>
      </x:c>
      <x:c r="E873" t="str">
        <x:v>Bank Transfer</x:v>
      </x:c>
      <x:c r="F873" t="str">
        <x:v>Dining</x:v>
      </x:c>
      <x:c r="G873" s="18" t="n">
        <x:v>31.52</x:v>
      </x:c>
      <x:c r="H873" t="n">
        <x:v>0</x:v>
      </x:c>
      <x:c r="I873" t="n">
        <x:v>1</x:v>
      </x:c>
      <x:c r="J873" t="n">
        <x:v>0</x:v>
      </x:c>
      <x:c r="K873" t="n">
        <x:v>1</x:v>
      </x:c>
      <x:c r="L873" t="n">
        <x:v>45</x:v>
      </x:c>
      <x:c r="M873" t="n">
        <x:v>0</x:v>
      </x:c>
      <x:c r="N873" t="str">
        <x:v>Approved</x:v>
      </x:c>
      <x:c r="O873" t="n">
        <x:v>0</x:v>
      </x:c>
      <x:c r="P873" t="str">
        <x:f>IF(L873&gt;=75,"High",IF(L873&gt;=55,"Medium","Low"))</x:f>
        <x:v>Low</x:v>
      </x:c>
    </x:row>
    <x:row r="874">
      <x:c r="A874" t="n">
        <x:v>873</x:v>
      </x:c>
      <x:c r="B874" t="n">
        <x:v>10066</x:v>
      </x:c>
      <x:c r="C874" s="16" t="n">
        <x:v>46205</x:v>
      </x:c>
      <x:c r="D874" t="str">
        <x:v>11:14:00</x:v>
      </x:c>
      <x:c r="E874" t="str">
        <x:v>Card</x:v>
      </x:c>
      <x:c r="F874" t="str">
        <x:v>Transfer</x:v>
      </x:c>
      <x:c r="G874" s="18" t="n">
        <x:v>8.77</x:v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n">
        <x:v>10</x:v>
      </x:c>
      <x:c r="M874" t="n">
        <x:v>0</x:v>
      </x:c>
      <x:c r="N874" t="str">
        <x:v>Approved</x:v>
      </x:c>
      <x:c r="O874" t="n">
        <x:v>0</x:v>
      </x:c>
      <x:c r="P874" t="str">
        <x:f>IF(L874&gt;=75,"High",IF(L874&gt;=55,"Medium","Low"))</x:f>
        <x:v>Low</x:v>
      </x:c>
    </x:row>
    <x:row r="875">
      <x:c r="A875" t="n">
        <x:v>874</x:v>
      </x:c>
      <x:c r="B875" t="n">
        <x:v>10288</x:v>
      </x:c>
      <x:c r="C875" s="16" t="n">
        <x:v>46207</x:v>
      </x:c>
      <x:c r="D875" t="str">
        <x:v>17:03:00</x:v>
      </x:c>
      <x:c r="E875" t="str">
        <x:v>Card</x:v>
      </x:c>
      <x:c r="F875" t="str">
        <x:v>Travel</x:v>
      </x:c>
      <x:c r="G875" s="18" t="n">
        <x:v>107.43</x:v>
      </x:c>
      <x:c r="H875" t="n">
        <x:v>0</x:v>
      </x:c>
      <x:c r="I875" t="n">
        <x:v>1</x:v>
      </x:c>
      <x:c r="J875" t="n">
        <x:v>0</x:v>
      </x:c>
      <x:c r="K875" t="n">
        <x:v>0</x:v>
      </x:c>
      <x:c r="L875" t="n">
        <x:v>30</x:v>
      </x:c>
      <x:c r="M875" t="n">
        <x:v>0</x:v>
      </x:c>
      <x:c r="N875" t="str">
        <x:v>Approved</x:v>
      </x:c>
      <x:c r="O875" t="n">
        <x:v>0</x:v>
      </x:c>
      <x:c r="P875" t="str">
        <x:f>IF(L875&gt;=75,"High",IF(L875&gt;=55,"Medium","Low"))</x:f>
        <x:v>Low</x:v>
      </x:c>
    </x:row>
    <x:row r="876">
      <x:c r="A876" t="n">
        <x:v>875</x:v>
      </x:c>
      <x:c r="B876" t="n">
        <x:v>10117</x:v>
      </x:c>
      <x:c r="C876" s="16" t="n">
        <x:v>46181</x:v>
      </x:c>
      <x:c r="D876" t="str">
        <x:v>08:44:00</x:v>
      </x:c>
      <x:c r="E876" t="str">
        <x:v>Bank Transfer</x:v>
      </x:c>
      <x:c r="F876" t="str">
        <x:v>Subscriptions</x:v>
      </x:c>
      <x:c r="G876" s="18" t="n">
        <x:v>87.22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10</x:v>
      </x:c>
      <x:c r="M876" t="n">
        <x:v>0</x:v>
      </x:c>
      <x:c r="N876" t="str">
        <x:v>Declined</x:v>
      </x:c>
      <x:c r="O876" t="n">
        <x:v>0</x:v>
      </x:c>
      <x:c r="P876" t="str">
        <x:f>IF(L876&gt;=75,"High",IF(L876&gt;=55,"Medium","Low"))</x:f>
        <x:v>Low</x:v>
      </x:c>
    </x:row>
    <x:row r="877">
      <x:c r="A877" t="n">
        <x:v>876</x:v>
      </x:c>
      <x:c r="B877" t="n">
        <x:v>10114</x:v>
      </x:c>
      <x:c r="C877" s="16" t="n">
        <x:v>46222</x:v>
      </x:c>
      <x:c r="D877" t="str">
        <x:v>09:12:00</x:v>
      </x:c>
      <x:c r="E877" t="str">
        <x:v>Card</x:v>
      </x:c>
      <x:c r="F877" t="str">
        <x:v>Dining</x:v>
      </x:c>
      <x:c r="G877" s="18" t="n">
        <x:v>308.68</x:v>
      </x:c>
      <x:c r="H877" t="n">
        <x:v>0</x:v>
      </x:c>
      <x:c r="I877" t="n">
        <x:v>1</x:v>
      </x:c>
      <x:c r="J877" t="n">
        <x:v>0</x:v>
      </x:c>
      <x:c r="K877" t="n">
        <x:v>0</x:v>
      </x:c>
      <x:c r="L877" t="n">
        <x:v>30</x:v>
      </x:c>
      <x:c r="M877" t="n">
        <x:v>0</x:v>
      </x:c>
      <x:c r="N877" t="str">
        <x:v>Approved</x:v>
      </x:c>
      <x:c r="O877" t="n">
        <x:v>0</x:v>
      </x:c>
      <x:c r="P877" t="str">
        <x:f>IF(L877&gt;=75,"High",IF(L877&gt;=55,"Medium","Low"))</x:f>
        <x:v>Low</x:v>
      </x:c>
    </x:row>
    <x:row r="878">
      <x:c r="A878" t="n">
        <x:v>877</x:v>
      </x:c>
      <x:c r="B878" t="n">
        <x:v>10142</x:v>
      </x:c>
      <x:c r="C878" s="16" t="n">
        <x:v>46142</x:v>
      </x:c>
      <x:c r="D878" t="str">
        <x:v>05:54:00</x:v>
      </x:c>
      <x:c r="E878" t="str">
        <x:v>P2P</x:v>
      </x:c>
      <x:c r="F878" t="str">
        <x:v>Transfer</x:v>
      </x:c>
      <x:c r="G878" s="18" t="n">
        <x:v>58.04</x:v>
      </x:c>
      <x:c r="H878" t="n">
        <x:v>0</x:v>
      </x:c>
      <x:c r="I878" t="n">
        <x:v>0</x:v>
      </x:c>
      <x:c r="J878" t="n">
        <x:v>0</x:v>
      </x:c>
      <x:c r="K878" t="n">
        <x:v>0</x:v>
      </x:c>
      <x:c r="L878" t="n">
        <x:v>10</x:v>
      </x:c>
      <x:c r="M878" t="n">
        <x:v>0</x:v>
      </x:c>
      <x:c r="N878" t="str">
        <x:v>Approved</x:v>
      </x:c>
      <x:c r="O878" t="n">
        <x:v>0</x:v>
      </x:c>
      <x:c r="P878" t="str">
        <x:f>IF(L878&gt;=75,"High",IF(L878&gt;=55,"Medium","Low"))</x:f>
        <x:v>Low</x:v>
      </x:c>
    </x:row>
    <x:row r="879">
      <x:c r="A879" t="n">
        <x:v>878</x:v>
      </x:c>
      <x:c r="B879" t="n">
        <x:v>10290</x:v>
      </x:c>
      <x:c r="C879" s="16" t="n">
        <x:v>46187</x:v>
      </x:c>
      <x:c r="D879" t="str">
        <x:v>06:14:00</x:v>
      </x:c>
      <x:c r="E879" t="str">
        <x:v>Card</x:v>
      </x:c>
      <x:c r="F879" t="str">
        <x:v>Transfer</x:v>
      </x:c>
      <x:c r="G879" s="18" t="n">
        <x:v>19.33</x:v>
      </x:c>
      <x:c r="H879" t="n">
        <x:v>0</x:v>
      </x:c>
      <x:c r="I879" t="n">
        <x:v>0</x:v>
      </x:c>
      <x:c r="J879" t="n">
        <x:v>0</x:v>
      </x:c>
      <x:c r="K879" t="n">
        <x:v>0</x:v>
      </x:c>
      <x:c r="L879" t="n">
        <x:v>10</x:v>
      </x:c>
      <x:c r="M879" t="n">
        <x:v>0</x:v>
      </x:c>
      <x:c r="N879" t="str">
        <x:v>Approved</x:v>
      </x:c>
      <x:c r="O879" t="n">
        <x:v>0</x:v>
      </x:c>
      <x:c r="P879" t="str">
        <x:f>IF(L879&gt;=75,"High",IF(L879&gt;=55,"Medium","Low"))</x:f>
        <x:v>Low</x:v>
      </x:c>
    </x:row>
    <x:row r="880">
      <x:c r="A880" t="n">
        <x:v>879</x:v>
      </x:c>
      <x:c r="B880" t="n">
        <x:v>10265</x:v>
      </x:c>
      <x:c r="C880" s="16" t="n">
        <x:v>46237</x:v>
      </x:c>
      <x:c r="D880" t="str">
        <x:v>23:02:00</x:v>
      </x:c>
      <x:c r="E880" t="str">
        <x:v>Card</x:v>
      </x:c>
      <x:c r="F880" t="str">
        <x:v>Travel</x:v>
      </x:c>
      <x:c r="G880" s="18" t="n">
        <x:v>58.36</x:v>
      </x:c>
      <x:c r="H880" t="n">
        <x:v>1</x:v>
      </x:c>
      <x:c r="I880" t="n">
        <x:v>0</x:v>
      </x:c>
      <x:c r="J880" t="n">
        <x:v>0</x:v>
      </x:c>
      <x:c r="K880" t="n">
        <x:v>0</x:v>
      </x:c>
      <x:c r="L880" t="n">
        <x:v>36</x:v>
      </x:c>
      <x:c r="M880" t="n">
        <x:v>0</x:v>
      </x:c>
      <x:c r="N880" t="str">
        <x:v>Approved</x:v>
      </x:c>
      <x:c r="O880" t="n">
        <x:v>0</x:v>
      </x:c>
      <x:c r="P880" t="str">
        <x:f>IF(L880&gt;=75,"High",IF(L880&gt;=55,"Medium","Low"))</x:f>
        <x:v>Low</x:v>
      </x:c>
    </x:row>
    <x:row r="881">
      <x:c r="A881" t="n">
        <x:v>880</x:v>
      </x:c>
      <x:c r="B881" t="n">
        <x:v>10066</x:v>
      </x:c>
      <x:c r="C881" s="16" t="n">
        <x:v>46186</x:v>
      </x:c>
      <x:c r="D881" t="str">
        <x:v>18:23:00</x:v>
      </x:c>
      <x:c r="E881" t="str">
        <x:v>Card</x:v>
      </x:c>
      <x:c r="F881" t="str">
        <x:v>Retail</x:v>
      </x:c>
      <x:c r="G881" s="18" t="n">
        <x:v>417.75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10</x:v>
      </x:c>
      <x:c r="M881" t="n">
        <x:v>0</x:v>
      </x:c>
      <x:c r="N881" t="str">
        <x:v>Approved</x:v>
      </x:c>
      <x:c r="O881" t="n">
        <x:v>0</x:v>
      </x:c>
      <x:c r="P881" t="str">
        <x:f>IF(L881&gt;=75,"High",IF(L881&gt;=55,"Medium","Low"))</x:f>
        <x:v>Low</x:v>
      </x:c>
    </x:row>
    <x:row r="882">
      <x:c r="A882" t="n">
        <x:v>881</x:v>
      </x:c>
      <x:c r="B882" t="n">
        <x:v>10222</x:v>
      </x:c>
      <x:c r="C882" s="16" t="n">
        <x:v>46185</x:v>
      </x:c>
      <x:c r="D882" t="str">
        <x:v>00:16:00</x:v>
      </x:c>
      <x:c r="E882" t="str">
        <x:v>Card</x:v>
      </x:c>
      <x:c r="F882" t="str">
        <x:v>Travel</x:v>
      </x:c>
      <x:c r="G882" s="18" t="n">
        <x:v>57.75</x:v>
      </x:c>
      <x:c r="H882" t="n">
        <x:v>0</x:v>
      </x:c>
      <x:c r="I882" t="n">
        <x:v>0</x:v>
      </x:c>
      <x:c r="J882" t="n">
        <x:v>0</x:v>
      </x:c>
      <x:c r="K882" t="n">
        <x:v>1</x:v>
      </x:c>
      <x:c r="L882" t="n">
        <x:v>25</x:v>
      </x:c>
      <x:c r="M882" t="n">
        <x:v>0</x:v>
      </x:c>
      <x:c r="N882" t="str">
        <x:v>Approved</x:v>
      </x:c>
      <x:c r="O882" t="n">
        <x:v>0</x:v>
      </x:c>
      <x:c r="P882" t="str">
        <x:f>IF(L882&gt;=75,"High",IF(L882&gt;=55,"Medium","Low"))</x:f>
        <x:v>Low</x:v>
      </x:c>
    </x:row>
    <x:row r="883">
      <x:c r="A883" t="n">
        <x:v>882</x:v>
      </x:c>
      <x:c r="B883" t="n">
        <x:v>10297</x:v>
      </x:c>
      <x:c r="C883" s="16" t="n">
        <x:v>46200</x:v>
      </x:c>
      <x:c r="D883" t="str">
        <x:v>03:24:00</x:v>
      </x:c>
      <x:c r="E883" t="str">
        <x:v>Card</x:v>
      </x:c>
      <x:c r="F883" t="str">
        <x:v>Transfer</x:v>
      </x:c>
      <x:c r="G883" s="18" t="n">
        <x:v>102.25</x:v>
      </x:c>
      <x:c r="H883" t="n">
        <x:v>0</x:v>
      </x:c>
      <x:c r="I883" t="n">
        <x:v>1</x:v>
      </x:c>
      <x:c r="J883" t="n">
        <x:v>0</x:v>
      </x:c>
      <x:c r="K883" t="n">
        <x:v>1</x:v>
      </x:c>
      <x:c r="L883" t="n">
        <x:v>45</x:v>
      </x:c>
      <x:c r="M883" t="n">
        <x:v>0</x:v>
      </x:c>
      <x:c r="N883" t="str">
        <x:v>Approved</x:v>
      </x:c>
      <x:c r="O883" t="n">
        <x:v>0</x:v>
      </x:c>
      <x:c r="P883" t="str">
        <x:f>IF(L883&gt;=75,"High",IF(L883&gt;=55,"Medium","Low"))</x:f>
        <x:v>Low</x:v>
      </x:c>
    </x:row>
    <x:row r="884">
      <x:c r="A884" t="n">
        <x:v>883</x:v>
      </x:c>
      <x:c r="B884" t="n">
        <x:v>10052</x:v>
      </x:c>
      <x:c r="C884" s="16" t="n">
        <x:v>46135</x:v>
      </x:c>
      <x:c r="D884" t="str">
        <x:v>16:16:00</x:v>
      </x:c>
      <x:c r="E884" t="str">
        <x:v>Card</x:v>
      </x:c>
      <x:c r="F884" t="str">
        <x:v>Travel</x:v>
      </x:c>
      <x:c r="G884" s="18" t="n">
        <x:v>129.79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10</x:v>
      </x:c>
      <x:c r="M884" t="n">
        <x:v>0</x:v>
      </x:c>
      <x:c r="N884" t="str">
        <x:v>Declined</x:v>
      </x:c>
      <x:c r="O884" t="n">
        <x:v>0</x:v>
      </x:c>
      <x:c r="P884" t="str">
        <x:f>IF(L884&gt;=75,"High",IF(L884&gt;=55,"Medium","Low"))</x:f>
        <x:v>Low</x:v>
      </x:c>
    </x:row>
    <x:row r="885">
      <x:c r="A885" t="n">
        <x:v>884</x:v>
      </x:c>
      <x:c r="B885" t="n">
        <x:v>10126</x:v>
      </x:c>
      <x:c r="C885" s="16" t="n">
        <x:v>46263</x:v>
      </x:c>
      <x:c r="D885" t="str">
        <x:v>15:12:00</x:v>
      </x:c>
      <x:c r="E885" t="str">
        <x:v>Bank Transfer</x:v>
      </x:c>
      <x:c r="F885" t="str">
        <x:v>Subscriptions</x:v>
      </x:c>
      <x:c r="G885" s="18" t="n">
        <x:v>49.46</x:v>
      </x:c>
      <x:c r="H885" t="n">
        <x:v>0</x:v>
      </x:c>
      <x:c r="I885" t="n">
        <x:v>0</x:v>
      </x:c>
      <x:c r="J885" t="n">
        <x:v>0</x:v>
      </x:c>
      <x:c r="K885" t="n">
        <x:v>0</x:v>
      </x:c>
      <x:c r="L885" t="n">
        <x:v>10</x:v>
      </x:c>
      <x:c r="M885" t="n">
        <x:v>0</x:v>
      </x:c>
      <x:c r="N885" t="str">
        <x:v>Approved</x:v>
      </x:c>
      <x:c r="O885" t="n">
        <x:v>0</x:v>
      </x:c>
      <x:c r="P885" t="str">
        <x:f>IF(L885&gt;=75,"High",IF(L885&gt;=55,"Medium","Low"))</x:f>
        <x:v>Low</x:v>
      </x:c>
    </x:row>
    <x:row r="886">
      <x:c r="A886" t="n">
        <x:v>885</x:v>
      </x:c>
      <x:c r="B886" t="n">
        <x:v>10095</x:v>
      </x:c>
      <x:c r="C886" s="16" t="n">
        <x:v>46206</x:v>
      </x:c>
      <x:c r="D886" t="str">
        <x:v>21:52:00</x:v>
      </x:c>
      <x:c r="E886" t="str">
        <x:v>Bank Transfer</x:v>
      </x:c>
      <x:c r="F886" t="str">
        <x:v>Travel</x:v>
      </x:c>
      <x:c r="G886" s="18" t="n">
        <x:v>225.03</x:v>
      </x:c>
      <x:c r="H886" t="n">
        <x:v>0</x:v>
      </x:c>
      <x:c r="I886" t="n">
        <x:v>0</x:v>
      </x:c>
      <x:c r="J886" t="n">
        <x:v>0</x:v>
      </x:c>
      <x:c r="K886" t="n">
        <x:v>0</x:v>
      </x:c>
      <x:c r="L886" t="n">
        <x:v>10</x:v>
      </x:c>
      <x:c r="M886" t="n">
        <x:v>0</x:v>
      </x:c>
      <x:c r="N886" t="str">
        <x:v>Declined</x:v>
      </x:c>
      <x:c r="O886" t="n">
        <x:v>0</x:v>
      </x:c>
      <x:c r="P886" t="str">
        <x:f>IF(L886&gt;=75,"High",IF(L886&gt;=55,"Medium","Low"))</x:f>
        <x:v>Low</x:v>
      </x:c>
    </x:row>
    <x:row r="887">
      <x:c r="A887" t="n">
        <x:v>886</x:v>
      </x:c>
      <x:c r="B887" t="n">
        <x:v>10152</x:v>
      </x:c>
      <x:c r="C887" s="16" t="n">
        <x:v>46274</x:v>
      </x:c>
      <x:c r="D887" t="str">
        <x:v>20:56:00</x:v>
      </x:c>
      <x:c r="E887" t="str">
        <x:v>Bank Transfer</x:v>
      </x:c>
      <x:c r="F887" t="str">
        <x:v>Travel</x:v>
      </x:c>
      <x:c r="G887" s="18" t="n">
        <x:v>99.83</x:v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n">
        <x:v>10</x:v>
      </x:c>
      <x:c r="M887" t="n">
        <x:v>0</x:v>
      </x:c>
      <x:c r="N887" t="str">
        <x:v>Approved</x:v>
      </x:c>
      <x:c r="O887" t="n">
        <x:v>0</x:v>
      </x:c>
      <x:c r="P887" t="str">
        <x:f>IF(L887&gt;=75,"High",IF(L887&gt;=55,"Medium","Low"))</x:f>
        <x:v>Low</x:v>
      </x:c>
    </x:row>
    <x:row r="888">
      <x:c r="A888" t="n">
        <x:v>887</x:v>
      </x:c>
      <x:c r="B888" t="n">
        <x:v>10281</x:v>
      </x:c>
      <x:c r="C888" s="16" t="n">
        <x:v>46205</x:v>
      </x:c>
      <x:c r="D888" t="str">
        <x:v>06:16:00</x:v>
      </x:c>
      <x:c r="E888" t="str">
        <x:v>Card</x:v>
      </x:c>
      <x:c r="F888" t="str">
        <x:v>Utilities</x:v>
      </x:c>
      <x:c r="G888" s="18" t="n">
        <x:v>123.09</x:v>
      </x:c>
      <x:c r="H888" t="n">
        <x:v>0</x:v>
      </x:c>
      <x:c r="I888" t="n">
        <x:v>0</x:v>
      </x:c>
      <x:c r="J888" t="n">
        <x:v>0</x:v>
      </x:c>
      <x:c r="K888" t="n">
        <x:v>0</x:v>
      </x:c>
      <x:c r="L888" t="n">
        <x:v>10</x:v>
      </x:c>
      <x:c r="M888" t="n">
        <x:v>0</x:v>
      </x:c>
      <x:c r="N888" t="str">
        <x:v>Approved</x:v>
      </x:c>
      <x:c r="O888" t="n">
        <x:v>0</x:v>
      </x:c>
      <x:c r="P888" t="str">
        <x:f>IF(L888&gt;=75,"High",IF(L888&gt;=55,"Medium","Low"))</x:f>
        <x:v>Low</x:v>
      </x:c>
    </x:row>
    <x:row r="889">
      <x:c r="A889" t="n">
        <x:v>888</x:v>
      </x:c>
      <x:c r="B889" t="n">
        <x:v>10311</x:v>
      </x:c>
      <x:c r="C889" s="16" t="n">
        <x:v>46214</x:v>
      </x:c>
      <x:c r="D889" t="str">
        <x:v>04:46:00</x:v>
      </x:c>
      <x:c r="E889" t="str">
        <x:v>Card</x:v>
      </x:c>
      <x:c r="F889" t="str">
        <x:v>Retail</x:v>
      </x:c>
      <x:c r="G889" s="18" t="n">
        <x:v>61.49</x:v>
      </x:c>
      <x:c r="H889" t="n">
        <x:v>1</x:v>
      </x:c>
      <x:c r="I889" t="n">
        <x:v>1</x:v>
      </x:c>
      <x:c r="J889" t="n">
        <x:v>0</x:v>
      </x:c>
      <x:c r="K889" t="n">
        <x:v>1</x:v>
      </x:c>
      <x:c r="L889" t="n">
        <x:v>71</x:v>
      </x:c>
      <x:c r="M889" t="n">
        <x:v>1</x:v>
      </x:c>
      <x:c r="N889" t="str">
        <x:v>Approved</x:v>
      </x:c>
      <x:c r="O889" t="n">
        <x:v>0</x:v>
      </x:c>
      <x:c r="P889" t="str">
        <x:f>IF(L889&gt;=75,"High",IF(L889&gt;=55,"Medium","Low"))</x:f>
        <x:v>Medium</x:v>
      </x:c>
    </x:row>
    <x:row r="890">
      <x:c r="A890" t="n">
        <x:v>889</x:v>
      </x:c>
      <x:c r="B890" t="n">
        <x:v>10102</x:v>
      </x:c>
      <x:c r="C890" s="16" t="n">
        <x:v>46290</x:v>
      </x:c>
      <x:c r="D890" t="str">
        <x:v>19:18:00</x:v>
      </x:c>
      <x:c r="E890" t="str">
        <x:v>Card</x:v>
      </x:c>
      <x:c r="F890" t="str">
        <x:v>Utilities</x:v>
      </x:c>
      <x:c r="G890" s="18" t="n">
        <x:v>195.39</x:v>
      </x:c>
      <x:c r="H890" t="n">
        <x:v>0</x:v>
      </x:c>
      <x:c r="I890" t="n">
        <x:v>0</x:v>
      </x:c>
      <x:c r="J890" t="n">
        <x:v>0</x:v>
      </x:c>
      <x:c r="K890" t="n">
        <x:v>0</x:v>
      </x:c>
      <x:c r="L890" t="n">
        <x:v>10</x:v>
      </x:c>
      <x:c r="M890" t="n">
        <x:v>0</x:v>
      </x:c>
      <x:c r="N890" t="str">
        <x:v>Approved</x:v>
      </x:c>
      <x:c r="O890" t="n">
        <x:v>0</x:v>
      </x:c>
      <x:c r="P890" t="str">
        <x:f>IF(L890&gt;=75,"High",IF(L890&gt;=55,"Medium","Low"))</x:f>
        <x:v>Low</x:v>
      </x:c>
    </x:row>
    <x:row r="891">
      <x:c r="A891" t="n">
        <x:v>890</x:v>
      </x:c>
      <x:c r="B891" t="n">
        <x:v>10304</x:v>
      </x:c>
      <x:c r="C891" s="16" t="n">
        <x:v>46123</x:v>
      </x:c>
      <x:c r="D891" t="str">
        <x:v>07:19:00</x:v>
      </x:c>
      <x:c r="E891" t="str">
        <x:v>Card</x:v>
      </x:c>
      <x:c r="F891" t="str">
        <x:v>Utilities</x:v>
      </x:c>
      <x:c r="G891" s="18" t="n">
        <x:v>511.53</x:v>
      </x:c>
      <x:c r="H891" t="n">
        <x:v>0</x:v>
      </x:c>
      <x:c r="I891" t="n">
        <x:v>0</x:v>
      </x:c>
      <x:c r="J891" t="n">
        <x:v>0</x:v>
      </x:c>
      <x:c r="K891" t="n">
        <x:v>0</x:v>
      </x:c>
      <x:c r="L891" t="n">
        <x:v>10</x:v>
      </x:c>
      <x:c r="M891" t="n">
        <x:v>0</x:v>
      </x:c>
      <x:c r="N891" t="str">
        <x:v>Approved</x:v>
      </x:c>
      <x:c r="O891" t="n">
        <x:v>0</x:v>
      </x:c>
      <x:c r="P891" t="str">
        <x:f>IF(L891&gt;=75,"High",IF(L891&gt;=55,"Medium","Low"))</x:f>
        <x:v>Low</x:v>
      </x:c>
    </x:row>
    <x:row r="892">
      <x:c r="A892" t="n">
        <x:v>891</x:v>
      </x:c>
      <x:c r="B892" t="n">
        <x:v>10172</x:v>
      </x:c>
      <x:c r="C892" s="16" t="n">
        <x:v>46163</x:v>
      </x:c>
      <x:c r="D892" t="str">
        <x:v>08:57:00</x:v>
      </x:c>
      <x:c r="E892" t="str">
        <x:v>Card</x:v>
      </x:c>
      <x:c r="F892" t="str">
        <x:v>Utilities</x:v>
      </x:c>
      <x:c r="G892" s="18" t="n">
        <x:v>113.53</x:v>
      </x:c>
      <x:c r="H892" t="n">
        <x:v>0</x:v>
      </x:c>
      <x:c r="I892" t="n">
        <x:v>0</x:v>
      </x:c>
      <x:c r="J892" t="n">
        <x:v>0</x:v>
      </x:c>
      <x:c r="K892" t="n">
        <x:v>0</x:v>
      </x:c>
      <x:c r="L892" t="n">
        <x:v>10</x:v>
      </x:c>
      <x:c r="M892" t="n">
        <x:v>0</x:v>
      </x:c>
      <x:c r="N892" t="str">
        <x:v>Approved</x:v>
      </x:c>
      <x:c r="O892" t="n">
        <x:v>0</x:v>
      </x:c>
      <x:c r="P892" t="str">
        <x:f>IF(L892&gt;=75,"High",IF(L892&gt;=55,"Medium","Low"))</x:f>
        <x:v>Low</x:v>
      </x:c>
    </x:row>
    <x:row r="893">
      <x:c r="A893" t="n">
        <x:v>892</x:v>
      </x:c>
      <x:c r="B893" t="n">
        <x:v>10238</x:v>
      </x:c>
      <x:c r="C893" s="16" t="n">
        <x:v>46182</x:v>
      </x:c>
      <x:c r="D893" t="str">
        <x:v>00:27:00</x:v>
      </x:c>
      <x:c r="E893" t="str">
        <x:v>Card</x:v>
      </x:c>
      <x:c r="F893" t="str">
        <x:v>Travel</x:v>
      </x:c>
      <x:c r="G893" s="18" t="n">
        <x:v>42.61</x:v>
      </x:c>
      <x:c r="H893" t="n">
        <x:v>1</x:v>
      </x:c>
      <x:c r="I893" t="n">
        <x:v>0</x:v>
      </x:c>
      <x:c r="J893" t="n">
        <x:v>0</x:v>
      </x:c>
      <x:c r="K893" t="n">
        <x:v>1</x:v>
      </x:c>
      <x:c r="L893" t="n">
        <x:v>51</x:v>
      </x:c>
      <x:c r="M893" t="n">
        <x:v>0</x:v>
      </x:c>
      <x:c r="N893" t="str">
        <x:v>Approved</x:v>
      </x:c>
      <x:c r="O893" t="n">
        <x:v>0</x:v>
      </x:c>
      <x:c r="P893" t="str">
        <x:f>IF(L893&gt;=75,"High",IF(L893&gt;=55,"Medium","Low"))</x:f>
        <x:v>Low</x:v>
      </x:c>
    </x:row>
    <x:row r="894">
      <x:c r="A894" t="n">
        <x:v>893</x:v>
      </x:c>
      <x:c r="B894" t="n">
        <x:v>10046</x:v>
      </x:c>
      <x:c r="C894" s="16" t="n">
        <x:v>46187</x:v>
      </x:c>
      <x:c r="D894" t="str">
        <x:v>09:05:00</x:v>
      </x:c>
      <x:c r="E894" t="str">
        <x:v>Card</x:v>
      </x:c>
      <x:c r="F894" t="str">
        <x:v>Retail</x:v>
      </x:c>
      <x:c r="G894" s="18" t="n">
        <x:v>90.13</x:v>
      </x:c>
      <x:c r="H894" t="n">
        <x:v>0</x:v>
      </x:c>
      <x:c r="I894" t="n">
        <x:v>1</x:v>
      </x:c>
      <x:c r="J894" t="n">
        <x:v>0</x:v>
      </x:c>
      <x:c r="K894" t="n">
        <x:v>0</x:v>
      </x:c>
      <x:c r="L894" t="n">
        <x:v>30</x:v>
      </x:c>
      <x:c r="M894" t="n">
        <x:v>0</x:v>
      </x:c>
      <x:c r="N894" t="str">
        <x:v>Approved</x:v>
      </x:c>
      <x:c r="O894" t="n">
        <x:v>0</x:v>
      </x:c>
      <x:c r="P894" t="str">
        <x:f>IF(L894&gt;=75,"High",IF(L894&gt;=55,"Medium","Low"))</x:f>
        <x:v>Low</x:v>
      </x:c>
    </x:row>
    <x:row r="895">
      <x:c r="A895" t="n">
        <x:v>894</x:v>
      </x:c>
      <x:c r="B895" t="n">
        <x:v>10155</x:v>
      </x:c>
      <x:c r="C895" s="16" t="n">
        <x:v>46162</x:v>
      </x:c>
      <x:c r="D895" t="str">
        <x:v>19:33:00</x:v>
      </x:c>
      <x:c r="E895" t="str">
        <x:v>P2P</x:v>
      </x:c>
      <x:c r="F895" t="str">
        <x:v>Subscriptions</x:v>
      </x:c>
      <x:c r="G895" s="18" t="n">
        <x:v>32.18</x:v>
      </x:c>
      <x:c r="H895" t="n">
        <x:v>1</x:v>
      </x:c>
      <x:c r="I895" t="n">
        <x:v>0</x:v>
      </x:c>
      <x:c r="J895" t="n">
        <x:v>0</x:v>
      </x:c>
      <x:c r="K895" t="n">
        <x:v>0</x:v>
      </x:c>
      <x:c r="L895" t="n">
        <x:v>36</x:v>
      </x:c>
      <x:c r="M895" t="n">
        <x:v>0</x:v>
      </x:c>
      <x:c r="N895" t="str">
        <x:v>Approved</x:v>
      </x:c>
      <x:c r="O895" t="n">
        <x:v>0</x:v>
      </x:c>
      <x:c r="P895" t="str">
        <x:f>IF(L895&gt;=75,"High",IF(L895&gt;=55,"Medium","Low"))</x:f>
        <x:v>Low</x:v>
      </x:c>
    </x:row>
    <x:row r="896">
      <x:c r="A896" t="n">
        <x:v>895</x:v>
      </x:c>
      <x:c r="B896" t="n">
        <x:v>10200</x:v>
      </x:c>
      <x:c r="C896" s="16" t="n">
        <x:v>46194</x:v>
      </x:c>
      <x:c r="D896" t="str">
        <x:v>03:30:00</x:v>
      </x:c>
      <x:c r="E896" t="str">
        <x:v>Bank Transfer</x:v>
      </x:c>
      <x:c r="F896" t="str">
        <x:v>Transfer</x:v>
      </x:c>
      <x:c r="G896" s="18" t="n">
        <x:v>29.67</x:v>
      </x:c>
      <x:c r="H896" t="n">
        <x:v>1</x:v>
      </x:c>
      <x:c r="I896" t="n">
        <x:v>0</x:v>
      </x:c>
      <x:c r="J896" t="n">
        <x:v>0</x:v>
      </x:c>
      <x:c r="K896" t="n">
        <x:v>1</x:v>
      </x:c>
      <x:c r="L896" t="n">
        <x:v>51</x:v>
      </x:c>
      <x:c r="M896" t="n">
        <x:v>0</x:v>
      </x:c>
      <x:c r="N896" t="str">
        <x:v>Approved</x:v>
      </x:c>
      <x:c r="O896" t="n">
        <x:v>0</x:v>
      </x:c>
      <x:c r="P896" t="str">
        <x:f>IF(L896&gt;=75,"High",IF(L896&gt;=55,"Medium","Low"))</x:f>
        <x:v>Low</x:v>
      </x:c>
    </x:row>
    <x:row r="897">
      <x:c r="A897" t="n">
        <x:v>896</x:v>
      </x:c>
      <x:c r="B897" t="n">
        <x:v>10096</x:v>
      </x:c>
      <x:c r="C897" s="16" t="n">
        <x:v>46145</x:v>
      </x:c>
      <x:c r="D897" t="str">
        <x:v>07:58:00</x:v>
      </x:c>
      <x:c r="E897" t="str">
        <x:v>P2P</x:v>
      </x:c>
      <x:c r="F897" t="str">
        <x:v>Subscriptions</x:v>
      </x:c>
      <x:c r="G897" s="18" t="n">
        <x:v>349.9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10</x:v>
      </x:c>
      <x:c r="M897" t="n">
        <x:v>0</x:v>
      </x:c>
      <x:c r="N897" t="str">
        <x:v>Approved</x:v>
      </x:c>
      <x:c r="O897" t="n">
        <x:v>0</x:v>
      </x:c>
      <x:c r="P897" t="str">
        <x:f>IF(L897&gt;=75,"High",IF(L897&gt;=55,"Medium","Low"))</x:f>
        <x:v>Low</x:v>
      </x:c>
    </x:row>
    <x:row r="898">
      <x:c r="A898" t="n">
        <x:v>897</x:v>
      </x:c>
      <x:c r="B898" t="n">
        <x:v>10013</x:v>
      </x:c>
      <x:c r="C898" s="16" t="n">
        <x:v>46141</x:v>
      </x:c>
      <x:c r="D898" t="str">
        <x:v>14:45:00</x:v>
      </x:c>
      <x:c r="E898" t="str">
        <x:v>Bank Transfer</x:v>
      </x:c>
      <x:c r="F898" t="str">
        <x:v>Travel</x:v>
      </x:c>
      <x:c r="G898" s="18" t="n">
        <x:v>59.42</x:v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n">
        <x:v>10</x:v>
      </x:c>
      <x:c r="M898" t="n">
        <x:v>0</x:v>
      </x:c>
      <x:c r="N898" t="str">
        <x:v>Approved</x:v>
      </x:c>
      <x:c r="O898" t="n">
        <x:v>0</x:v>
      </x:c>
      <x:c r="P898" t="str">
        <x:f>IF(L898&gt;=75,"High",IF(L898&gt;=55,"Medium","Low"))</x:f>
        <x:v>Low</x:v>
      </x:c>
    </x:row>
    <x:row r="899">
      <x:c r="A899" t="n">
        <x:v>898</x:v>
      </x:c>
      <x:c r="B899" t="n">
        <x:v>10095</x:v>
      </x:c>
      <x:c r="C899" s="16" t="n">
        <x:v>46230</x:v>
      </x:c>
      <x:c r="D899" t="str">
        <x:v>22:02:00</x:v>
      </x:c>
      <x:c r="E899" t="str">
        <x:v>Card</x:v>
      </x:c>
      <x:c r="F899" t="str">
        <x:v>Electronics</x:v>
      </x:c>
      <x:c r="G899" s="18" t="n">
        <x:v>42.98</x:v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n">
        <x:v>10</x:v>
      </x:c>
      <x:c r="M899" t="n">
        <x:v>0</x:v>
      </x:c>
      <x:c r="N899" t="str">
        <x:v>Approved</x:v>
      </x:c>
      <x:c r="O899" t="n">
        <x:v>0</x:v>
      </x:c>
      <x:c r="P899" t="str">
        <x:f>IF(L899&gt;=75,"High",IF(L899&gt;=55,"Medium","Low"))</x:f>
        <x:v>Low</x:v>
      </x:c>
    </x:row>
    <x:row r="900">
      <x:c r="A900" t="n">
        <x:v>899</x:v>
      </x:c>
      <x:c r="B900" t="n">
        <x:v>10163</x:v>
      </x:c>
      <x:c r="C900" s="16" t="n">
        <x:v>46179</x:v>
      </x:c>
      <x:c r="D900" t="str">
        <x:v>04:46:00</x:v>
      </x:c>
      <x:c r="E900" t="str">
        <x:v>Card</x:v>
      </x:c>
      <x:c r="F900" t="str">
        <x:v>Travel</x:v>
      </x:c>
      <x:c r="G900" s="18" t="n">
        <x:v>55.88</x:v>
      </x:c>
      <x:c r="H900" t="n">
        <x:v>0</x:v>
      </x:c>
      <x:c r="I900" t="n">
        <x:v>1</x:v>
      </x:c>
      <x:c r="J900" t="n">
        <x:v>0</x:v>
      </x:c>
      <x:c r="K900" t="n">
        <x:v>1</x:v>
      </x:c>
      <x:c r="L900" t="n">
        <x:v>45</x:v>
      </x:c>
      <x:c r="M900" t="n">
        <x:v>0</x:v>
      </x:c>
      <x:c r="N900" t="str">
        <x:v>Approved</x:v>
      </x:c>
      <x:c r="O900" t="n">
        <x:v>0</x:v>
      </x:c>
      <x:c r="P900" t="str">
        <x:f>IF(L900&gt;=75,"High",IF(L900&gt;=55,"Medium","Low"))</x:f>
        <x:v>Low</x:v>
      </x:c>
    </x:row>
    <x:row r="901">
      <x:c r="A901" t="n">
        <x:v>900</x:v>
      </x:c>
      <x:c r="B901" t="n">
        <x:v>10018</x:v>
      </x:c>
      <x:c r="C901" s="16" t="n">
        <x:v>46273</x:v>
      </x:c>
      <x:c r="D901" t="str">
        <x:v>06:48:00</x:v>
      </x:c>
      <x:c r="E901" t="str">
        <x:v>Card</x:v>
      </x:c>
      <x:c r="F901" t="str">
        <x:v>Dining</x:v>
      </x:c>
      <x:c r="G901" s="18" t="n">
        <x:v>225.2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10</x:v>
      </x:c>
      <x:c r="M901" t="n">
        <x:v>0</x:v>
      </x:c>
      <x:c r="N901" t="str">
        <x:v>Approved</x:v>
      </x:c>
      <x:c r="O901" t="n">
        <x:v>0</x:v>
      </x:c>
      <x:c r="P901" t="str">
        <x:f>IF(L901&gt;=75,"High",IF(L901&gt;=55,"Medium","Low"))</x:f>
        <x:v>Low</x:v>
      </x:c>
    </x:row>
    <x:row r="902">
      <x:c r="A902" t="n">
        <x:v>901</x:v>
      </x:c>
      <x:c r="B902" t="n">
        <x:v>10350</x:v>
      </x:c>
      <x:c r="C902" s="16" t="n">
        <x:v>46162</x:v>
      </x:c>
      <x:c r="D902" t="str">
        <x:v>11:51:00</x:v>
      </x:c>
      <x:c r="E902" t="str">
        <x:v>Card</x:v>
      </x:c>
      <x:c r="F902" t="str">
        <x:v>Transfer</x:v>
      </x:c>
      <x:c r="G902" s="18" t="n">
        <x:v>17.66</x:v>
      </x:c>
      <x:c r="H902" t="n">
        <x:v>0</x:v>
      </x:c>
      <x:c r="I902" t="n">
        <x:v>1</x:v>
      </x:c>
      <x:c r="J902" t="n">
        <x:v>0</x:v>
      </x:c>
      <x:c r="K902" t="n">
        <x:v>0</x:v>
      </x:c>
      <x:c r="L902" t="n">
        <x:v>30</x:v>
      </x:c>
      <x:c r="M902" t="n">
        <x:v>0</x:v>
      </x:c>
      <x:c r="N902" t="str">
        <x:v>Approved</x:v>
      </x:c>
      <x:c r="O902" t="n">
        <x:v>0</x:v>
      </x:c>
      <x:c r="P902" t="str">
        <x:f>IF(L902&gt;=75,"High",IF(L902&gt;=55,"Medium","Low"))</x:f>
        <x:v>Low</x:v>
      </x:c>
    </x:row>
    <x:row r="903">
      <x:c r="A903" t="n">
        <x:v>902</x:v>
      </x:c>
      <x:c r="B903" t="n">
        <x:v>10182</x:v>
      </x:c>
      <x:c r="C903" s="16" t="n">
        <x:v>46274</x:v>
      </x:c>
      <x:c r="D903" t="str">
        <x:v>22:38:00</x:v>
      </x:c>
      <x:c r="E903" t="str">
        <x:v>Card</x:v>
      </x:c>
      <x:c r="F903" t="str">
        <x:v>Utilities</x:v>
      </x:c>
      <x:c r="G903" s="18" t="n">
        <x:v>31.68</x:v>
      </x:c>
      <x:c r="H903" t="n">
        <x:v>1</x:v>
      </x:c>
      <x:c r="I903" t="n">
        <x:v>0</x:v>
      </x:c>
      <x:c r="J903" t="n">
        <x:v>0</x:v>
      </x:c>
      <x:c r="K903" t="n">
        <x:v>0</x:v>
      </x:c>
      <x:c r="L903" t="n">
        <x:v>36</x:v>
      </x:c>
      <x:c r="M903" t="n">
        <x:v>0</x:v>
      </x:c>
      <x:c r="N903" t="str">
        <x:v>Approved</x:v>
      </x:c>
      <x:c r="O903" t="n">
        <x:v>0</x:v>
      </x:c>
      <x:c r="P903" t="str">
        <x:f>IF(L903&gt;=75,"High",IF(L903&gt;=55,"Medium","Low"))</x:f>
        <x:v>Low</x:v>
      </x:c>
    </x:row>
    <x:row r="904">
      <x:c r="A904" t="n">
        <x:v>903</x:v>
      </x:c>
      <x:c r="B904" t="n">
        <x:v>10084</x:v>
      </x:c>
      <x:c r="C904" s="16" t="n">
        <x:v>46182</x:v>
      </x:c>
      <x:c r="D904" t="str">
        <x:v>20:54:00</x:v>
      </x:c>
      <x:c r="E904" t="str">
        <x:v>P2P</x:v>
      </x:c>
      <x:c r="F904" t="str">
        <x:v>Utilities</x:v>
      </x:c>
      <x:c r="G904" s="18" t="n">
        <x:v>11.09</x:v>
      </x:c>
      <x:c r="H904" t="n">
        <x:v>0</x:v>
      </x:c>
      <x:c r="I904" t="n">
        <x:v>1</x:v>
      </x:c>
      <x:c r="J904" t="n">
        <x:v>0</x:v>
      </x:c>
      <x:c r="K904" t="n">
        <x:v>0</x:v>
      </x:c>
      <x:c r="L904" t="n">
        <x:v>30</x:v>
      </x:c>
      <x:c r="M904" t="n">
        <x:v>0</x:v>
      </x:c>
      <x:c r="N904" t="str">
        <x:v>Approved</x:v>
      </x:c>
      <x:c r="O904" t="n">
        <x:v>0</x:v>
      </x:c>
      <x:c r="P904" t="str">
        <x:f>IF(L904&gt;=75,"High",IF(L904&gt;=55,"Medium","Low"))</x:f>
        <x:v>Low</x:v>
      </x:c>
    </x:row>
    <x:row r="905">
      <x:c r="A905" t="n">
        <x:v>904</x:v>
      </x:c>
      <x:c r="B905" t="n">
        <x:v>10189</x:v>
      </x:c>
      <x:c r="C905" s="16" t="n">
        <x:v>46248</x:v>
      </x:c>
      <x:c r="D905" t="str">
        <x:v>04:35:00</x:v>
      </x:c>
      <x:c r="E905" t="str">
        <x:v>P2P</x:v>
      </x:c>
      <x:c r="F905" t="str">
        <x:v>Electronics</x:v>
      </x:c>
      <x:c r="G905" s="18" t="n">
        <x:v>23.54</x:v>
      </x:c>
      <x:c r="H905" t="n">
        <x:v>0</x:v>
      </x:c>
      <x:c r="I905" t="n">
        <x:v>0</x:v>
      </x:c>
      <x:c r="J905" t="n">
        <x:v>0</x:v>
      </x:c>
      <x:c r="K905" t="n">
        <x:v>1</x:v>
      </x:c>
      <x:c r="L905" t="n">
        <x:v>25</x:v>
      </x:c>
      <x:c r="M905" t="n">
        <x:v>0</x:v>
      </x:c>
      <x:c r="N905" t="str">
        <x:v>Approved</x:v>
      </x:c>
      <x:c r="O905" t="n">
        <x:v>0</x:v>
      </x:c>
      <x:c r="P905" t="str">
        <x:f>IF(L905&gt;=75,"High",IF(L905&gt;=55,"Medium","Low"))</x:f>
        <x:v>Low</x:v>
      </x:c>
    </x:row>
    <x:row r="906">
      <x:c r="A906" t="n">
        <x:v>905</x:v>
      </x:c>
      <x:c r="B906" t="n">
        <x:v>10068</x:v>
      </x:c>
      <x:c r="C906" s="16" t="n">
        <x:v>46233</x:v>
      </x:c>
      <x:c r="D906" t="str">
        <x:v>08:26:00</x:v>
      </x:c>
      <x:c r="E906" t="str">
        <x:v>Card</x:v>
      </x:c>
      <x:c r="F906" t="str">
        <x:v>Electronics</x:v>
      </x:c>
      <x:c r="G906" s="18" t="n">
        <x:v>1037.94</x:v>
      </x:c>
      <x:c r="H906" t="n">
        <x:v>1</x:v>
      </x:c>
      <x:c r="I906" t="n">
        <x:v>1</x:v>
      </x:c>
      <x:c r="J906" t="n">
        <x:v>1</x:v>
      </x:c>
      <x:c r="K906" t="n">
        <x:v>0</x:v>
      </x:c>
      <x:c r="L906" t="n">
        <x:v>90</x:v>
      </x:c>
      <x:c r="M906" t="n">
        <x:v>1</x:v>
      </x:c>
      <x:c r="N906" t="str">
        <x:v>Declined</x:v>
      </x:c>
      <x:c r="O906" t="n">
        <x:v>0</x:v>
      </x:c>
      <x:c r="P906" t="str">
        <x:f>IF(L906&gt;=75,"High",IF(L906&gt;=55,"Medium","Low"))</x:f>
        <x:v>High</x:v>
      </x:c>
    </x:row>
    <x:row r="907">
      <x:c r="A907" t="n">
        <x:v>906</x:v>
      </x:c>
      <x:c r="B907" t="n">
        <x:v>10066</x:v>
      </x:c>
      <x:c r="C907" s="16" t="n">
        <x:v>46274</x:v>
      </x:c>
      <x:c r="D907" t="str">
        <x:v>14:48:00</x:v>
      </x:c>
      <x:c r="E907" t="str">
        <x:v>Bank Transfer</x:v>
      </x:c>
      <x:c r="F907" t="str">
        <x:v>Travel</x:v>
      </x:c>
      <x:c r="G907" s="18" t="n">
        <x:v>11.25</x:v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n">
        <x:v>10</x:v>
      </x:c>
      <x:c r="M907" t="n">
        <x:v>0</x:v>
      </x:c>
      <x:c r="N907" t="str">
        <x:v>Approved</x:v>
      </x:c>
      <x:c r="O907" t="n">
        <x:v>0</x:v>
      </x:c>
      <x:c r="P907" t="str">
        <x:f>IF(L907&gt;=75,"High",IF(L907&gt;=55,"Medium","Low"))</x:f>
        <x:v>Low</x:v>
      </x:c>
    </x:row>
    <x:row r="908">
      <x:c r="A908" t="n">
        <x:v>907</x:v>
      </x:c>
      <x:c r="B908" t="n">
        <x:v>10071</x:v>
      </x:c>
      <x:c r="C908" s="16" t="n">
        <x:v>46147</x:v>
      </x:c>
      <x:c r="D908" t="str">
        <x:v>08:37:00</x:v>
      </x:c>
      <x:c r="E908" t="str">
        <x:v>Bank Transfer</x:v>
      </x:c>
      <x:c r="F908" t="str">
        <x:v>Transfer</x:v>
      </x:c>
      <x:c r="G908" s="18" t="n">
        <x:v>47.61</x:v>
      </x:c>
      <x:c r="H908" t="n">
        <x:v>1</x:v>
      </x:c>
      <x:c r="I908" t="n">
        <x:v>0</x:v>
      </x:c>
      <x:c r="J908" t="n">
        <x:v>0</x:v>
      </x:c>
      <x:c r="K908" t="n">
        <x:v>0</x:v>
      </x:c>
      <x:c r="L908" t="n">
        <x:v>36</x:v>
      </x:c>
      <x:c r="M908" t="n">
        <x:v>0</x:v>
      </x:c>
      <x:c r="N908" t="str">
        <x:v>Approved</x:v>
      </x:c>
      <x:c r="O908" t="n">
        <x:v>0</x:v>
      </x:c>
      <x:c r="P908" t="str">
        <x:f>IF(L908&gt;=75,"High",IF(L908&gt;=55,"Medium","Low"))</x:f>
        <x:v>Low</x:v>
      </x:c>
    </x:row>
    <x:row r="909">
      <x:c r="A909" t="n">
        <x:v>908</x:v>
      </x:c>
      <x:c r="B909" t="n">
        <x:v>10099</x:v>
      </x:c>
      <x:c r="C909" s="16" t="n">
        <x:v>46190</x:v>
      </x:c>
      <x:c r="D909" t="str">
        <x:v>09:01:00</x:v>
      </x:c>
      <x:c r="E909" t="str">
        <x:v>Bank Transfer</x:v>
      </x:c>
      <x:c r="F909" t="str">
        <x:v>Travel</x:v>
      </x:c>
      <x:c r="G909" s="18" t="n">
        <x:v>42.2</x:v>
      </x:c>
      <x:c r="H909" t="n">
        <x:v>0</x:v>
      </x:c>
      <x:c r="I909" t="n">
        <x:v>0</x:v>
      </x:c>
      <x:c r="J909" t="n">
        <x:v>0</x:v>
      </x:c>
      <x:c r="K909" t="n">
        <x:v>0</x:v>
      </x:c>
      <x:c r="L909" t="n">
        <x:v>10</x:v>
      </x:c>
      <x:c r="M909" t="n">
        <x:v>0</x:v>
      </x:c>
      <x:c r="N909" t="str">
        <x:v>Approved</x:v>
      </x:c>
      <x:c r="O909" t="n">
        <x:v>1</x:v>
      </x:c>
      <x:c r="P909" t="str">
        <x:f>IF(L909&gt;=75,"High",IF(L909&gt;=55,"Medium","Low"))</x:f>
        <x:v>Low</x:v>
      </x:c>
    </x:row>
    <x:row r="910">
      <x:c r="A910" t="n">
        <x:v>909</x:v>
      </x:c>
      <x:c r="B910" t="n">
        <x:v>10033</x:v>
      </x:c>
      <x:c r="C910" s="16" t="n">
        <x:v>46141</x:v>
      </x:c>
      <x:c r="D910" t="str">
        <x:v>14:48:00</x:v>
      </x:c>
      <x:c r="E910" t="str">
        <x:v>Card</x:v>
      </x:c>
      <x:c r="F910" t="str">
        <x:v>Subscriptions</x:v>
      </x:c>
      <x:c r="G910" s="18" t="n">
        <x:v>54.82</x:v>
      </x:c>
      <x:c r="H910" t="n">
        <x:v>0</x:v>
      </x:c>
      <x:c r="I910" t="n">
        <x:v>0</x:v>
      </x:c>
      <x:c r="J910" t="n">
        <x:v>0</x:v>
      </x:c>
      <x:c r="K910" t="n">
        <x:v>0</x:v>
      </x:c>
      <x:c r="L910" t="n">
        <x:v>10</x:v>
      </x:c>
      <x:c r="M910" t="n">
        <x:v>0</x:v>
      </x:c>
      <x:c r="N910" t="str">
        <x:v>Approved</x:v>
      </x:c>
      <x:c r="O910" t="n">
        <x:v>0</x:v>
      </x:c>
      <x:c r="P910" t="str">
        <x:f>IF(L910&gt;=75,"High",IF(L910&gt;=55,"Medium","Low"))</x:f>
        <x:v>Low</x:v>
      </x:c>
    </x:row>
    <x:row r="911">
      <x:c r="A911" t="n">
        <x:v>910</x:v>
      </x:c>
      <x:c r="B911" t="n">
        <x:v>10033</x:v>
      </x:c>
      <x:c r="C911" s="16" t="n">
        <x:v>46200</x:v>
      </x:c>
      <x:c r="D911" t="str">
        <x:v>15:25:00</x:v>
      </x:c>
      <x:c r="E911" t="str">
        <x:v>Bank Transfer</x:v>
      </x:c>
      <x:c r="F911" t="str">
        <x:v>Electronics</x:v>
      </x:c>
      <x:c r="G911" s="18" t="n">
        <x:v>91.95</x:v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n">
        <x:v>10</x:v>
      </x:c>
      <x:c r="M911" t="n">
        <x:v>0</x:v>
      </x:c>
      <x:c r="N911" t="str">
        <x:v>Approved</x:v>
      </x:c>
      <x:c r="O911" t="n">
        <x:v>0</x:v>
      </x:c>
      <x:c r="P911" t="str">
        <x:f>IF(L911&gt;=75,"High",IF(L911&gt;=55,"Medium","Low"))</x:f>
        <x:v>Low</x:v>
      </x:c>
    </x:row>
    <x:row r="912">
      <x:c r="A912" t="n">
        <x:v>911</x:v>
      </x:c>
      <x:c r="B912" t="n">
        <x:v>10316</x:v>
      </x:c>
      <x:c r="C912" s="16" t="n">
        <x:v>46251</x:v>
      </x:c>
      <x:c r="D912" t="str">
        <x:v>21:42:00</x:v>
      </x:c>
      <x:c r="E912" t="str">
        <x:v>Card</x:v>
      </x:c>
      <x:c r="F912" t="str">
        <x:v>Retail</x:v>
      </x:c>
      <x:c r="G912" s="18" t="n">
        <x:v>59.7</x:v>
      </x:c>
      <x:c r="H912" t="n">
        <x:v>0</x:v>
      </x:c>
      <x:c r="I912" t="n">
        <x:v>0</x:v>
      </x:c>
      <x:c r="J912" t="n">
        <x:v>0</x:v>
      </x:c>
      <x:c r="K912" t="n">
        <x:v>0</x:v>
      </x:c>
      <x:c r="L912" t="n">
        <x:v>10</x:v>
      </x:c>
      <x:c r="M912" t="n">
        <x:v>0</x:v>
      </x:c>
      <x:c r="N912" t="str">
        <x:v>Approved</x:v>
      </x:c>
      <x:c r="O912" t="n">
        <x:v>0</x:v>
      </x:c>
      <x:c r="P912" t="str">
        <x:f>IF(L912&gt;=75,"High",IF(L912&gt;=55,"Medium","Low"))</x:f>
        <x:v>Low</x:v>
      </x:c>
    </x:row>
    <x:row r="913">
      <x:c r="A913" t="n">
        <x:v>912</x:v>
      </x:c>
      <x:c r="B913" t="n">
        <x:v>10018</x:v>
      </x:c>
      <x:c r="C913" s="16" t="n">
        <x:v>46238</x:v>
      </x:c>
      <x:c r="D913" t="str">
        <x:v>00:59:00</x:v>
      </x:c>
      <x:c r="E913" t="str">
        <x:v>P2P</x:v>
      </x:c>
      <x:c r="F913" t="str">
        <x:v>Electronics</x:v>
      </x:c>
      <x:c r="G913" s="18" t="n">
        <x:v>57.52</x:v>
      </x:c>
      <x:c r="H913" t="n">
        <x:v>1</x:v>
      </x:c>
      <x:c r="I913" t="n">
        <x:v>0</x:v>
      </x:c>
      <x:c r="J913" t="n">
        <x:v>0</x:v>
      </x:c>
      <x:c r="K913" t="n">
        <x:v>1</x:v>
      </x:c>
      <x:c r="L913" t="n">
        <x:v>51</x:v>
      </x:c>
      <x:c r="M913" t="n">
        <x:v>0</x:v>
      </x:c>
      <x:c r="N913" t="str">
        <x:v>Approved</x:v>
      </x:c>
      <x:c r="O913" t="n">
        <x:v>0</x:v>
      </x:c>
      <x:c r="P913" t="str">
        <x:f>IF(L913&gt;=75,"High",IF(L913&gt;=55,"Medium","Low"))</x:f>
        <x:v>Low</x:v>
      </x:c>
    </x:row>
    <x:row r="914">
      <x:c r="A914" t="n">
        <x:v>913</x:v>
      </x:c>
      <x:c r="B914" t="n">
        <x:v>10129</x:v>
      </x:c>
      <x:c r="C914" s="16" t="n">
        <x:v>46278</x:v>
      </x:c>
      <x:c r="D914" t="str">
        <x:v>05:09:00</x:v>
      </x:c>
      <x:c r="E914" t="str">
        <x:v>Bank Transfer</x:v>
      </x:c>
      <x:c r="F914" t="str">
        <x:v>Travel</x:v>
      </x:c>
      <x:c r="G914" s="18" t="n">
        <x:v>310.18</x:v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n">
        <x:v>10</x:v>
      </x:c>
      <x:c r="M914" t="n">
        <x:v>0</x:v>
      </x:c>
      <x:c r="N914" t="str">
        <x:v>Approved</x:v>
      </x:c>
      <x:c r="O914" t="n">
        <x:v>0</x:v>
      </x:c>
      <x:c r="P914" t="str">
        <x:f>IF(L914&gt;=75,"High",IF(L914&gt;=55,"Medium","Low"))</x:f>
        <x:v>Low</x:v>
      </x:c>
    </x:row>
    <x:row r="915">
      <x:c r="A915" t="n">
        <x:v>914</x:v>
      </x:c>
      <x:c r="B915" t="n">
        <x:v>10345</x:v>
      </x:c>
      <x:c r="C915" s="16" t="n">
        <x:v>46240</x:v>
      </x:c>
      <x:c r="D915" t="str">
        <x:v>04:29:00</x:v>
      </x:c>
      <x:c r="E915" t="str">
        <x:v>Bank Transfer</x:v>
      </x:c>
      <x:c r="F915" t="str">
        <x:v>Utilities</x:v>
      </x:c>
      <x:c r="G915" s="18" t="n">
        <x:v>117.12</x:v>
      </x:c>
      <x:c r="H915" t="n">
        <x:v>0</x:v>
      </x:c>
      <x:c r="I915" t="n">
        <x:v>0</x:v>
      </x:c>
      <x:c r="J915" t="n">
        <x:v>0</x:v>
      </x:c>
      <x:c r="K915" t="n">
        <x:v>1</x:v>
      </x:c>
      <x:c r="L915" t="n">
        <x:v>25</x:v>
      </x:c>
      <x:c r="M915" t="n">
        <x:v>0</x:v>
      </x:c>
      <x:c r="N915" t="str">
        <x:v>Approved</x:v>
      </x:c>
      <x:c r="O915" t="n">
        <x:v>0</x:v>
      </x:c>
      <x:c r="P915" t="str">
        <x:f>IF(L915&gt;=75,"High",IF(L915&gt;=55,"Medium","Low"))</x:f>
        <x:v>Low</x:v>
      </x:c>
    </x:row>
    <x:row r="916">
      <x:c r="A916" t="n">
        <x:v>915</x:v>
      </x:c>
      <x:c r="B916" t="n">
        <x:v>10360</x:v>
      </x:c>
      <x:c r="C916" s="16" t="n">
        <x:v>46163</x:v>
      </x:c>
      <x:c r="D916" t="str">
        <x:v>01:26:00</x:v>
      </x:c>
      <x:c r="E916" t="str">
        <x:v>Card</x:v>
      </x:c>
      <x:c r="F916" t="str">
        <x:v>Electronics</x:v>
      </x:c>
      <x:c r="G916" s="18" t="n">
        <x:v>43.18</x:v>
      </x:c>
      <x:c r="H916" t="n">
        <x:v>0</x:v>
      </x:c>
      <x:c r="I916" t="n">
        <x:v>0</x:v>
      </x:c>
      <x:c r="J916" t="n">
        <x:v>0</x:v>
      </x:c>
      <x:c r="K916" t="n">
        <x:v>1</x:v>
      </x:c>
      <x:c r="L916" t="n">
        <x:v>25</x:v>
      </x:c>
      <x:c r="M916" t="n">
        <x:v>0</x:v>
      </x:c>
      <x:c r="N916" t="str">
        <x:v>Approved</x:v>
      </x:c>
      <x:c r="O916" t="n">
        <x:v>0</x:v>
      </x:c>
      <x:c r="P916" t="str">
        <x:f>IF(L916&gt;=75,"High",IF(L916&gt;=55,"Medium","Low"))</x:f>
        <x:v>Low</x:v>
      </x:c>
    </x:row>
    <x:row r="917">
      <x:c r="A917" t="n">
        <x:v>916</x:v>
      </x:c>
      <x:c r="B917" t="n">
        <x:v>10020</x:v>
      </x:c>
      <x:c r="C917" s="16" t="n">
        <x:v>46169</x:v>
      </x:c>
      <x:c r="D917" t="str">
        <x:v>05:26:00</x:v>
      </x:c>
      <x:c r="E917" t="str">
        <x:v>Bank Transfer</x:v>
      </x:c>
      <x:c r="F917" t="str">
        <x:v>Retail</x:v>
      </x:c>
      <x:c r="G917" s="18" t="n">
        <x:v>25.24</x:v>
      </x:c>
      <x:c r="H917" t="n">
        <x:v>1</x:v>
      </x:c>
      <x:c r="I917" t="n">
        <x:v>0</x:v>
      </x:c>
      <x:c r="J917" t="n">
        <x:v>0</x:v>
      </x:c>
      <x:c r="K917" t="n">
        <x:v>0</x:v>
      </x:c>
      <x:c r="L917" t="n">
        <x:v>36</x:v>
      </x:c>
      <x:c r="M917" t="n">
        <x:v>0</x:v>
      </x:c>
      <x:c r="N917" t="str">
        <x:v>Approved</x:v>
      </x:c>
      <x:c r="O917" t="n">
        <x:v>0</x:v>
      </x:c>
      <x:c r="P917" t="str">
        <x:f>IF(L917&gt;=75,"High",IF(L917&gt;=55,"Medium","Low"))</x:f>
        <x:v>Low</x:v>
      </x:c>
    </x:row>
    <x:row r="918">
      <x:c r="A918" t="n">
        <x:v>917</x:v>
      </x:c>
      <x:c r="B918" t="n">
        <x:v>10056</x:v>
      </x:c>
      <x:c r="C918" s="16" t="n">
        <x:v>46117</x:v>
      </x:c>
      <x:c r="D918" t="str">
        <x:v>13:11:00</x:v>
      </x:c>
      <x:c r="E918" t="str">
        <x:v>Card</x:v>
      </x:c>
      <x:c r="F918" t="str">
        <x:v>Travel</x:v>
      </x:c>
      <x:c r="G918" s="18" t="n">
        <x:v>155.59</x:v>
      </x:c>
      <x:c r="H918" t="n">
        <x:v>0</x:v>
      </x:c>
      <x:c r="I918" t="n">
        <x:v>0</x:v>
      </x:c>
      <x:c r="J918" t="n">
        <x:v>0</x:v>
      </x:c>
      <x:c r="K918" t="n">
        <x:v>0</x:v>
      </x:c>
      <x:c r="L918" t="n">
        <x:v>10</x:v>
      </x:c>
      <x:c r="M918" t="n">
        <x:v>0</x:v>
      </x:c>
      <x:c r="N918" t="str">
        <x:v>Approved</x:v>
      </x:c>
      <x:c r="O918" t="n">
        <x:v>0</x:v>
      </x:c>
      <x:c r="P918" t="str">
        <x:f>IF(L918&gt;=75,"High",IF(L918&gt;=55,"Medium","Low"))</x:f>
        <x:v>Low</x:v>
      </x:c>
    </x:row>
    <x:row r="919">
      <x:c r="A919" t="n">
        <x:v>918</x:v>
      </x:c>
      <x:c r="B919" t="n">
        <x:v>10063</x:v>
      </x:c>
      <x:c r="C919" s="16" t="n">
        <x:v>46146</x:v>
      </x:c>
      <x:c r="D919" t="str">
        <x:v>18:44:00</x:v>
      </x:c>
      <x:c r="E919" t="str">
        <x:v>Card</x:v>
      </x:c>
      <x:c r="F919" t="str">
        <x:v>Subscriptions</x:v>
      </x:c>
      <x:c r="G919" s="18" t="n">
        <x:v>110.54</x:v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n">
        <x:v>10</x:v>
      </x:c>
      <x:c r="M919" t="n">
        <x:v>0</x:v>
      </x:c>
      <x:c r="N919" t="str">
        <x:v>Approved</x:v>
      </x:c>
      <x:c r="O919" t="n">
        <x:v>0</x:v>
      </x:c>
      <x:c r="P919" t="str">
        <x:f>IF(L919&gt;=75,"High",IF(L919&gt;=55,"Medium","Low"))</x:f>
        <x:v>Low</x:v>
      </x:c>
    </x:row>
    <x:row r="920">
      <x:c r="A920" t="n">
        <x:v>919</x:v>
      </x:c>
      <x:c r="B920" t="n">
        <x:v>10302</x:v>
      </x:c>
      <x:c r="C920" s="16" t="n">
        <x:v>46175</x:v>
      </x:c>
      <x:c r="D920" t="str">
        <x:v>16:20:00</x:v>
      </x:c>
      <x:c r="E920" t="str">
        <x:v>Bank Transfer</x:v>
      </x:c>
      <x:c r="F920" t="str">
        <x:v>Electronics</x:v>
      </x:c>
      <x:c r="G920" s="18" t="n">
        <x:v>392.38</x:v>
      </x:c>
      <x:c r="H920" t="n">
        <x:v>0</x:v>
      </x:c>
      <x:c r="I920" t="n">
        <x:v>0</x:v>
      </x:c>
      <x:c r="J920" t="n">
        <x:v>0</x:v>
      </x:c>
      <x:c r="K920" t="n">
        <x:v>0</x:v>
      </x:c>
      <x:c r="L920" t="n">
        <x:v>10</x:v>
      </x:c>
      <x:c r="M920" t="n">
        <x:v>0</x:v>
      </x:c>
      <x:c r="N920" t="str">
        <x:v>Approved</x:v>
      </x:c>
      <x:c r="O920" t="n">
        <x:v>0</x:v>
      </x:c>
      <x:c r="P920" t="str">
        <x:f>IF(L920&gt;=75,"High",IF(L920&gt;=55,"Medium","Low"))</x:f>
        <x:v>Low</x:v>
      </x:c>
    </x:row>
    <x:row r="921">
      <x:c r="A921" t="n">
        <x:v>920</x:v>
      </x:c>
      <x:c r="B921" t="n">
        <x:v>10177</x:v>
      </x:c>
      <x:c r="C921" s="16" t="n">
        <x:v>46241</x:v>
      </x:c>
      <x:c r="D921" t="str">
        <x:v>05:53:00</x:v>
      </x:c>
      <x:c r="E921" t="str">
        <x:v>Card</x:v>
      </x:c>
      <x:c r="F921" t="str">
        <x:v>Subscriptions</x:v>
      </x:c>
      <x:c r="G921" s="18" t="n">
        <x:v>67.84</x:v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n">
        <x:v>10</x:v>
      </x:c>
      <x:c r="M921" t="n">
        <x:v>0</x:v>
      </x:c>
      <x:c r="N921" t="str">
        <x:v>Approved</x:v>
      </x:c>
      <x:c r="O921" t="n">
        <x:v>0</x:v>
      </x:c>
      <x:c r="P921" t="str">
        <x:f>IF(L921&gt;=75,"High",IF(L921&gt;=55,"Medium","Low"))</x:f>
        <x:v>Low</x:v>
      </x:c>
    </x:row>
    <x:row r="922">
      <x:c r="A922" t="n">
        <x:v>921</x:v>
      </x:c>
      <x:c r="B922" t="n">
        <x:v>10014</x:v>
      </x:c>
      <x:c r="C922" s="16" t="n">
        <x:v>46158</x:v>
      </x:c>
      <x:c r="D922" t="str">
        <x:v>09:19:00</x:v>
      </x:c>
      <x:c r="E922" t="str">
        <x:v>Card</x:v>
      </x:c>
      <x:c r="F922" t="str">
        <x:v>Dining</x:v>
      </x:c>
      <x:c r="G922" s="18" t="n">
        <x:v>61.24</x:v>
      </x:c>
      <x:c r="H922" t="n">
        <x:v>0</x:v>
      </x:c>
      <x:c r="I922" t="n">
        <x:v>1</x:v>
      </x:c>
      <x:c r="J922" t="n">
        <x:v>0</x:v>
      </x:c>
      <x:c r="K922" t="n">
        <x:v>0</x:v>
      </x:c>
      <x:c r="L922" t="n">
        <x:v>30</x:v>
      </x:c>
      <x:c r="M922" t="n">
        <x:v>0</x:v>
      </x:c>
      <x:c r="N922" t="str">
        <x:v>Approved</x:v>
      </x:c>
      <x:c r="O922" t="n">
        <x:v>0</x:v>
      </x:c>
      <x:c r="P922" t="str">
        <x:f>IF(L922&gt;=75,"High",IF(L922&gt;=55,"Medium","Low"))</x:f>
        <x:v>Low</x:v>
      </x:c>
    </x:row>
    <x:row r="923">
      <x:c r="A923" t="n">
        <x:v>922</x:v>
      </x:c>
      <x:c r="B923" t="n">
        <x:v>10208</x:v>
      </x:c>
      <x:c r="C923" s="16" t="n">
        <x:v>46122</x:v>
      </x:c>
      <x:c r="D923" t="str">
        <x:v>18:08:00</x:v>
      </x:c>
      <x:c r="E923" t="str">
        <x:v>Card</x:v>
      </x:c>
      <x:c r="F923" t="str">
        <x:v>Transfer</x:v>
      </x:c>
      <x:c r="G923" s="18" t="n">
        <x:v>703.08</x:v>
      </x:c>
      <x:c r="H923" t="n">
        <x:v>0</x:v>
      </x:c>
      <x:c r="I923" t="n">
        <x:v>0</x:v>
      </x:c>
      <x:c r="J923" t="n">
        <x:v>1</x:v>
      </x:c>
      <x:c r="K923" t="n">
        <x:v>0</x:v>
      </x:c>
      <x:c r="L923" t="n">
        <x:v>44</x:v>
      </x:c>
      <x:c r="M923" t="n">
        <x:v>0</x:v>
      </x:c>
      <x:c r="N923" t="str">
        <x:v>Approved</x:v>
      </x:c>
      <x:c r="O923" t="n">
        <x:v>0</x:v>
      </x:c>
      <x:c r="P923" t="str">
        <x:f>IF(L923&gt;=75,"High",IF(L923&gt;=55,"Medium","Low"))</x:f>
        <x:v>Low</x:v>
      </x:c>
    </x:row>
    <x:row r="924">
      <x:c r="A924" t="n">
        <x:v>923</x:v>
      </x:c>
      <x:c r="B924" t="n">
        <x:v>10003</x:v>
      </x:c>
      <x:c r="C924" s="16" t="n">
        <x:v>46155</x:v>
      </x:c>
      <x:c r="D924" t="str">
        <x:v>10:14:00</x:v>
      </x:c>
      <x:c r="E924" t="str">
        <x:v>Card</x:v>
      </x:c>
      <x:c r="F924" t="str">
        <x:v>Travel</x:v>
      </x:c>
      <x:c r="G924" s="18" t="n">
        <x:v>10.37</x:v>
      </x:c>
      <x:c r="H924" t="n">
        <x:v>1</x:v>
      </x:c>
      <x:c r="I924" t="n">
        <x:v>0</x:v>
      </x:c>
      <x:c r="J924" t="n">
        <x:v>0</x:v>
      </x:c>
      <x:c r="K924" t="n">
        <x:v>0</x:v>
      </x:c>
      <x:c r="L924" t="n">
        <x:v>36</x:v>
      </x:c>
      <x:c r="M924" t="n">
        <x:v>0</x:v>
      </x:c>
      <x:c r="N924" t="str">
        <x:v>Approved</x:v>
      </x:c>
      <x:c r="O924" t="n">
        <x:v>0</x:v>
      </x:c>
      <x:c r="P924" t="str">
        <x:f>IF(L924&gt;=75,"High",IF(L924&gt;=55,"Medium","Low"))</x:f>
        <x:v>Low</x:v>
      </x:c>
    </x:row>
    <x:row r="925">
      <x:c r="A925" t="n">
        <x:v>924</x:v>
      </x:c>
      <x:c r="B925" t="n">
        <x:v>10241</x:v>
      </x:c>
      <x:c r="C925" s="16" t="n">
        <x:v>46173</x:v>
      </x:c>
      <x:c r="D925" t="str">
        <x:v>03:00:00</x:v>
      </x:c>
      <x:c r="E925" t="str">
        <x:v>Bank Transfer</x:v>
      </x:c>
      <x:c r="F925" t="str">
        <x:v>Subscriptions</x:v>
      </x:c>
      <x:c r="G925" s="18" t="n">
        <x:v>97.6</x:v>
      </x:c>
      <x:c r="H925" t="n">
        <x:v>0</x:v>
      </x:c>
      <x:c r="I925" t="n">
        <x:v>0</x:v>
      </x:c>
      <x:c r="J925" t="n">
        <x:v>0</x:v>
      </x:c>
      <x:c r="K925" t="n">
        <x:v>1</x:v>
      </x:c>
      <x:c r="L925" t="n">
        <x:v>25</x:v>
      </x:c>
      <x:c r="M925" t="n">
        <x:v>0</x:v>
      </x:c>
      <x:c r="N925" t="str">
        <x:v>Approved</x:v>
      </x:c>
      <x:c r="O925" t="n">
        <x:v>0</x:v>
      </x:c>
      <x:c r="P925" t="str">
        <x:f>IF(L925&gt;=75,"High",IF(L925&gt;=55,"Medium","Low"))</x:f>
        <x:v>Low</x:v>
      </x:c>
    </x:row>
    <x:row r="926">
      <x:c r="A926" t="n">
        <x:v>925</x:v>
      </x:c>
      <x:c r="B926" t="n">
        <x:v>10357</x:v>
      </x:c>
      <x:c r="C926" s="16" t="n">
        <x:v>46281</x:v>
      </x:c>
      <x:c r="D926" t="str">
        <x:v>07:03:00</x:v>
      </x:c>
      <x:c r="E926" t="str">
        <x:v>Card</x:v>
      </x:c>
      <x:c r="F926" t="str">
        <x:v>Retail</x:v>
      </x:c>
      <x:c r="G926" s="18" t="n">
        <x:v>79.9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10</x:v>
      </x:c>
      <x:c r="M926" t="n">
        <x:v>0</x:v>
      </x:c>
      <x:c r="N926" t="str">
        <x:v>Approved</x:v>
      </x:c>
      <x:c r="O926" t="n">
        <x:v>0</x:v>
      </x:c>
      <x:c r="P926" t="str">
        <x:f>IF(L926&gt;=75,"High",IF(L926&gt;=55,"Medium","Low"))</x:f>
        <x:v>Low</x:v>
      </x:c>
    </x:row>
    <x:row r="927">
      <x:c r="A927" t="n">
        <x:v>926</x:v>
      </x:c>
      <x:c r="B927" t="n">
        <x:v>10115</x:v>
      </x:c>
      <x:c r="C927" s="16" t="n">
        <x:v>46222</x:v>
      </x:c>
      <x:c r="D927" t="str">
        <x:v>13:04:00</x:v>
      </x:c>
      <x:c r="E927" t="str">
        <x:v>Card</x:v>
      </x:c>
      <x:c r="F927" t="str">
        <x:v>Travel</x:v>
      </x:c>
      <x:c r="G927" s="18" t="n">
        <x:v>72.01</x:v>
      </x:c>
      <x:c r="H927" t="n">
        <x:v>0</x:v>
      </x:c>
      <x:c r="I927" t="n">
        <x:v>0</x:v>
      </x:c>
      <x:c r="J927" t="n">
        <x:v>0</x:v>
      </x:c>
      <x:c r="K927" t="n">
        <x:v>0</x:v>
      </x:c>
      <x:c r="L927" t="n">
        <x:v>10</x:v>
      </x:c>
      <x:c r="M927" t="n">
        <x:v>0</x:v>
      </x:c>
      <x:c r="N927" t="str">
        <x:v>Approved</x:v>
      </x:c>
      <x:c r="O927" t="n">
        <x:v>0</x:v>
      </x:c>
      <x:c r="P927" t="str">
        <x:f>IF(L927&gt;=75,"High",IF(L927&gt;=55,"Medium","Low"))</x:f>
        <x:v>Low</x:v>
      </x:c>
    </x:row>
    <x:row r="928">
      <x:c r="A928" t="n">
        <x:v>927</x:v>
      </x:c>
      <x:c r="B928" t="n">
        <x:v>10325</x:v>
      </x:c>
      <x:c r="C928" s="16" t="n">
        <x:v>46161</x:v>
      </x:c>
      <x:c r="D928" t="str">
        <x:v>19:21:00</x:v>
      </x:c>
      <x:c r="E928" t="str">
        <x:v>Bank Transfer</x:v>
      </x:c>
      <x:c r="F928" t="str">
        <x:v>Retail</x:v>
      </x:c>
      <x:c r="G928" s="18" t="n">
        <x:v>21.6</x:v>
      </x:c>
      <x:c r="H928" t="n">
        <x:v>0</x:v>
      </x:c>
      <x:c r="I928" t="n">
        <x:v>0</x:v>
      </x:c>
      <x:c r="J928" t="n">
        <x:v>0</x:v>
      </x:c>
      <x:c r="K928" t="n">
        <x:v>0</x:v>
      </x:c>
      <x:c r="L928" t="n">
        <x:v>10</x:v>
      </x:c>
      <x:c r="M928" t="n">
        <x:v>0</x:v>
      </x:c>
      <x:c r="N928" t="str">
        <x:v>Approved</x:v>
      </x:c>
      <x:c r="O928" t="n">
        <x:v>1</x:v>
      </x:c>
      <x:c r="P928" t="str">
        <x:f>IF(L928&gt;=75,"High",IF(L928&gt;=55,"Medium","Low"))</x:f>
        <x:v>Low</x:v>
      </x:c>
    </x:row>
    <x:row r="929">
      <x:c r="A929" t="n">
        <x:v>928</x:v>
      </x:c>
      <x:c r="B929" t="n">
        <x:v>10266</x:v>
      </x:c>
      <x:c r="C929" s="16" t="n">
        <x:v>46131</x:v>
      </x:c>
      <x:c r="D929" t="str">
        <x:v>13:15:00</x:v>
      </x:c>
      <x:c r="E929" t="str">
        <x:v>P2P</x:v>
      </x:c>
      <x:c r="F929" t="str">
        <x:v>Retail</x:v>
      </x:c>
      <x:c r="G929" s="18" t="n">
        <x:v>68.09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10</x:v>
      </x:c>
      <x:c r="M929" t="n">
        <x:v>0</x:v>
      </x:c>
      <x:c r="N929" t="str">
        <x:v>Approved</x:v>
      </x:c>
      <x:c r="O929" t="n">
        <x:v>0</x:v>
      </x:c>
      <x:c r="P929" t="str">
        <x:f>IF(L929&gt;=75,"High",IF(L929&gt;=55,"Medium","Low"))</x:f>
        <x:v>Low</x:v>
      </x:c>
    </x:row>
    <x:row r="930">
      <x:c r="A930" t="n">
        <x:v>929</x:v>
      </x:c>
      <x:c r="B930" t="n">
        <x:v>10163</x:v>
      </x:c>
      <x:c r="C930" s="16" t="n">
        <x:v>46234</x:v>
      </x:c>
      <x:c r="D930" t="str">
        <x:v>06:49:00</x:v>
      </x:c>
      <x:c r="E930" t="str">
        <x:v>Card</x:v>
      </x:c>
      <x:c r="F930" t="str">
        <x:v>Transfer</x:v>
      </x:c>
      <x:c r="G930" s="18" t="n">
        <x:v>58.1</x:v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n">
        <x:v>10</x:v>
      </x:c>
      <x:c r="M930" t="n">
        <x:v>0</x:v>
      </x:c>
      <x:c r="N930" t="str">
        <x:v>Approved</x:v>
      </x:c>
      <x:c r="O930" t="n">
        <x:v>0</x:v>
      </x:c>
      <x:c r="P930" t="str">
        <x:f>IF(L930&gt;=75,"High",IF(L930&gt;=55,"Medium","Low"))</x:f>
        <x:v>Low</x:v>
      </x:c>
    </x:row>
    <x:row r="931">
      <x:c r="A931" t="n">
        <x:v>930</x:v>
      </x:c>
      <x:c r="B931" t="n">
        <x:v>10234</x:v>
      </x:c>
      <x:c r="C931" s="16" t="n">
        <x:v>46231</x:v>
      </x:c>
      <x:c r="D931" t="str">
        <x:v>01:40:00</x:v>
      </x:c>
      <x:c r="E931" t="str">
        <x:v>Card</x:v>
      </x:c>
      <x:c r="F931" t="str">
        <x:v>Electronics</x:v>
      </x:c>
      <x:c r="G931" s="18" t="n">
        <x:v>20.95</x:v>
      </x:c>
      <x:c r="H931" t="n">
        <x:v>0</x:v>
      </x:c>
      <x:c r="I931" t="n">
        <x:v>0</x:v>
      </x:c>
      <x:c r="J931" t="n">
        <x:v>0</x:v>
      </x:c>
      <x:c r="K931" t="n">
        <x:v>1</x:v>
      </x:c>
      <x:c r="L931" t="n">
        <x:v>25</x:v>
      </x:c>
      <x:c r="M931" t="n">
        <x:v>0</x:v>
      </x:c>
      <x:c r="N931" t="str">
        <x:v>Approved</x:v>
      </x:c>
      <x:c r="O931" t="n">
        <x:v>0</x:v>
      </x:c>
      <x:c r="P931" t="str">
        <x:f>IF(L931&gt;=75,"High",IF(L931&gt;=55,"Medium","Low"))</x:f>
        <x:v>Low</x:v>
      </x:c>
    </x:row>
    <x:row r="932">
      <x:c r="A932" t="n">
        <x:v>931</x:v>
      </x:c>
      <x:c r="B932" t="n">
        <x:v>10070</x:v>
      </x:c>
      <x:c r="C932" s="16" t="n">
        <x:v>46185</x:v>
      </x:c>
      <x:c r="D932" t="str">
        <x:v>19:24:00</x:v>
      </x:c>
      <x:c r="E932" t="str">
        <x:v>Card</x:v>
      </x:c>
      <x:c r="F932" t="str">
        <x:v>Travel</x:v>
      </x:c>
      <x:c r="G932" s="18" t="n">
        <x:v>74.15</x:v>
      </x:c>
      <x:c r="H932" t="n">
        <x:v>1</x:v>
      </x:c>
      <x:c r="I932" t="n">
        <x:v>0</x:v>
      </x:c>
      <x:c r="J932" t="n">
        <x:v>0</x:v>
      </x:c>
      <x:c r="K932" t="n">
        <x:v>0</x:v>
      </x:c>
      <x:c r="L932" t="n">
        <x:v>36</x:v>
      </x:c>
      <x:c r="M932" t="n">
        <x:v>0</x:v>
      </x:c>
      <x:c r="N932" t="str">
        <x:v>Approved</x:v>
      </x:c>
      <x:c r="O932" t="n">
        <x:v>0</x:v>
      </x:c>
      <x:c r="P932" t="str">
        <x:f>IF(L932&gt;=75,"High",IF(L932&gt;=55,"Medium","Low"))</x:f>
        <x:v>Low</x:v>
      </x:c>
    </x:row>
    <x:row r="933">
      <x:c r="A933" t="n">
        <x:v>932</x:v>
      </x:c>
      <x:c r="B933" t="n">
        <x:v>10012</x:v>
      </x:c>
      <x:c r="C933" s="16" t="n">
        <x:v>46229</x:v>
      </x:c>
      <x:c r="D933" t="str">
        <x:v>16:23:00</x:v>
      </x:c>
      <x:c r="E933" t="str">
        <x:v>Card</x:v>
      </x:c>
      <x:c r="F933" t="str">
        <x:v>Subscriptions</x:v>
      </x:c>
      <x:c r="G933" s="18" t="n">
        <x:v>128.68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10</x:v>
      </x:c>
      <x:c r="M933" t="n">
        <x:v>0</x:v>
      </x:c>
      <x:c r="N933" t="str">
        <x:v>Approved</x:v>
      </x:c>
      <x:c r="O933" t="n">
        <x:v>0</x:v>
      </x:c>
      <x:c r="P933" t="str">
        <x:f>IF(L933&gt;=75,"High",IF(L933&gt;=55,"Medium","Low"))</x:f>
        <x:v>Low</x:v>
      </x:c>
    </x:row>
    <x:row r="934">
      <x:c r="A934" t="n">
        <x:v>933</x:v>
      </x:c>
      <x:c r="B934" t="n">
        <x:v>10156</x:v>
      </x:c>
      <x:c r="C934" s="16" t="n">
        <x:v>46255</x:v>
      </x:c>
      <x:c r="D934" t="str">
        <x:v>03:50:00</x:v>
      </x:c>
      <x:c r="E934" t="str">
        <x:v>P2P</x:v>
      </x:c>
      <x:c r="F934" t="str">
        <x:v>Travel</x:v>
      </x:c>
      <x:c r="G934" s="18" t="n">
        <x:v>39.01</x:v>
      </x:c>
      <x:c r="H934" t="n">
        <x:v>0</x:v>
      </x:c>
      <x:c r="I934" t="n">
        <x:v>0</x:v>
      </x:c>
      <x:c r="J934" t="n">
        <x:v>0</x:v>
      </x:c>
      <x:c r="K934" t="n">
        <x:v>1</x:v>
      </x:c>
      <x:c r="L934" t="n">
        <x:v>25</x:v>
      </x:c>
      <x:c r="M934" t="n">
        <x:v>0</x:v>
      </x:c>
      <x:c r="N934" t="str">
        <x:v>Approved</x:v>
      </x:c>
      <x:c r="O934" t="n">
        <x:v>0</x:v>
      </x:c>
      <x:c r="P934" t="str">
        <x:f>IF(L934&gt;=75,"High",IF(L934&gt;=55,"Medium","Low"))</x:f>
        <x:v>Low</x:v>
      </x:c>
    </x:row>
    <x:row r="935">
      <x:c r="A935" t="n">
        <x:v>934</x:v>
      </x:c>
      <x:c r="B935" t="n">
        <x:v>10038</x:v>
      </x:c>
      <x:c r="C935" s="16" t="n">
        <x:v>46181</x:v>
      </x:c>
      <x:c r="D935" t="str">
        <x:v>01:03:00</x:v>
      </x:c>
      <x:c r="E935" t="str">
        <x:v>Card</x:v>
      </x:c>
      <x:c r="F935" t="str">
        <x:v>Electronics</x:v>
      </x:c>
      <x:c r="G935" s="18" t="n">
        <x:v>61.05</x:v>
      </x:c>
      <x:c r="H935" t="n">
        <x:v>1</x:v>
      </x:c>
      <x:c r="I935" t="n">
        <x:v>1</x:v>
      </x:c>
      <x:c r="J935" t="n">
        <x:v>0</x:v>
      </x:c>
      <x:c r="K935" t="n">
        <x:v>1</x:v>
      </x:c>
      <x:c r="L935" t="n">
        <x:v>71</x:v>
      </x:c>
      <x:c r="M935" t="n">
        <x:v>1</x:v>
      </x:c>
      <x:c r="N935" t="str">
        <x:v>Approved</x:v>
      </x:c>
      <x:c r="O935" t="n">
        <x:v>0</x:v>
      </x:c>
      <x:c r="P935" t="str">
        <x:f>IF(L935&gt;=75,"High",IF(L935&gt;=55,"Medium","Low"))</x:f>
        <x:v>Medium</x:v>
      </x:c>
    </x:row>
    <x:row r="936">
      <x:c r="A936" t="n">
        <x:v>935</x:v>
      </x:c>
      <x:c r="B936" t="n">
        <x:v>10320</x:v>
      </x:c>
      <x:c r="C936" s="16" t="n">
        <x:v>46269</x:v>
      </x:c>
      <x:c r="D936" t="str">
        <x:v>06:07:00</x:v>
      </x:c>
      <x:c r="E936" t="str">
        <x:v>Bank Transfer</x:v>
      </x:c>
      <x:c r="F936" t="str">
        <x:v>Electronics</x:v>
      </x:c>
      <x:c r="G936" s="18" t="n">
        <x:v>70.07</x:v>
      </x:c>
      <x:c r="H936" t="n">
        <x:v>0</x:v>
      </x:c>
      <x:c r="I936" t="n">
        <x:v>0</x:v>
      </x:c>
      <x:c r="J936" t="n">
        <x:v>0</x:v>
      </x:c>
      <x:c r="K936" t="n">
        <x:v>0</x:v>
      </x:c>
      <x:c r="L936" t="n">
        <x:v>10</x:v>
      </x:c>
      <x:c r="M936" t="n">
        <x:v>0</x:v>
      </x:c>
      <x:c r="N936" t="str">
        <x:v>Approved</x:v>
      </x:c>
      <x:c r="O936" t="n">
        <x:v>0</x:v>
      </x:c>
      <x:c r="P936" t="str">
        <x:f>IF(L936&gt;=75,"High",IF(L936&gt;=55,"Medium","Low"))</x:f>
        <x:v>Low</x:v>
      </x:c>
    </x:row>
    <x:row r="937">
      <x:c r="A937" t="n">
        <x:v>936</x:v>
      </x:c>
      <x:c r="B937" t="n">
        <x:v>10137</x:v>
      </x:c>
      <x:c r="C937" s="16" t="n">
        <x:v>46189</x:v>
      </x:c>
      <x:c r="D937" t="str">
        <x:v>20:00:00</x:v>
      </x:c>
      <x:c r="E937" t="str">
        <x:v>Bank Transfer</x:v>
      </x:c>
      <x:c r="F937" t="str">
        <x:v>Utilities</x:v>
      </x:c>
      <x:c r="G937" s="18" t="n">
        <x:v>73.5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10</x:v>
      </x:c>
      <x:c r="M937" t="n">
        <x:v>0</x:v>
      </x:c>
      <x:c r="N937" t="str">
        <x:v>Approved</x:v>
      </x:c>
      <x:c r="O937" t="n">
        <x:v>0</x:v>
      </x:c>
      <x:c r="P937" t="str">
        <x:f>IF(L937&gt;=75,"High",IF(L937&gt;=55,"Medium","Low"))</x:f>
        <x:v>Low</x:v>
      </x:c>
    </x:row>
    <x:row r="938">
      <x:c r="A938" t="n">
        <x:v>937</x:v>
      </x:c>
      <x:c r="B938" t="n">
        <x:v>10348</x:v>
      </x:c>
      <x:c r="C938" s="16" t="n">
        <x:v>46125</x:v>
      </x:c>
      <x:c r="D938" t="str">
        <x:v>13:07:00</x:v>
      </x:c>
      <x:c r="E938" t="str">
        <x:v>Card</x:v>
      </x:c>
      <x:c r="F938" t="str">
        <x:v>Travel</x:v>
      </x:c>
      <x:c r="G938" s="18" t="n">
        <x:v>105.25</x:v>
      </x:c>
      <x:c r="H938" t="n">
        <x:v>0</x:v>
      </x:c>
      <x:c r="I938" t="n">
        <x:v>1</x:v>
      </x:c>
      <x:c r="J938" t="n">
        <x:v>0</x:v>
      </x:c>
      <x:c r="K938" t="n">
        <x:v>0</x:v>
      </x:c>
      <x:c r="L938" t="n">
        <x:v>30</x:v>
      </x:c>
      <x:c r="M938" t="n">
        <x:v>0</x:v>
      </x:c>
      <x:c r="N938" t="str">
        <x:v>Approved</x:v>
      </x:c>
      <x:c r="O938" t="n">
        <x:v>0</x:v>
      </x:c>
      <x:c r="P938" t="str">
        <x:f>IF(L938&gt;=75,"High",IF(L938&gt;=55,"Medium","Low"))</x:f>
        <x:v>Low</x:v>
      </x:c>
    </x:row>
    <x:row r="939">
      <x:c r="A939" t="n">
        <x:v>938</x:v>
      </x:c>
      <x:c r="B939" t="n">
        <x:v>10195</x:v>
      </x:c>
      <x:c r="C939" s="16" t="n">
        <x:v>46157</x:v>
      </x:c>
      <x:c r="D939" t="str">
        <x:v>04:02:00</x:v>
      </x:c>
      <x:c r="E939" t="str">
        <x:v>Card</x:v>
      </x:c>
      <x:c r="F939" t="str">
        <x:v>Electronics</x:v>
      </x:c>
      <x:c r="G939" s="18" t="n">
        <x:v>73.75</x:v>
      </x:c>
      <x:c r="H939" t="n">
        <x:v>0</x:v>
      </x:c>
      <x:c r="I939" t="n">
        <x:v>0</x:v>
      </x:c>
      <x:c r="J939" t="n">
        <x:v>0</x:v>
      </x:c>
      <x:c r="K939" t="n">
        <x:v>1</x:v>
      </x:c>
      <x:c r="L939" t="n">
        <x:v>25</x:v>
      </x:c>
      <x:c r="M939" t="n">
        <x:v>0</x:v>
      </x:c>
      <x:c r="N939" t="str">
        <x:v>Approved</x:v>
      </x:c>
      <x:c r="O939" t="n">
        <x:v>0</x:v>
      </x:c>
      <x:c r="P939" t="str">
        <x:f>IF(L939&gt;=75,"High",IF(L939&gt;=55,"Medium","Low"))</x:f>
        <x:v>Low</x:v>
      </x:c>
    </x:row>
    <x:row r="940">
      <x:c r="A940" t="n">
        <x:v>939</x:v>
      </x:c>
      <x:c r="B940" t="n">
        <x:v>10036</x:v>
      </x:c>
      <x:c r="C940" s="16" t="n">
        <x:v>46206</x:v>
      </x:c>
      <x:c r="D940" t="str">
        <x:v>01:31:00</x:v>
      </x:c>
      <x:c r="E940" t="str">
        <x:v>Card</x:v>
      </x:c>
      <x:c r="F940" t="str">
        <x:v>Travel</x:v>
      </x:c>
      <x:c r="G940" s="18" t="n">
        <x:v>363.47</x:v>
      </x:c>
      <x:c r="H940" t="n">
        <x:v>0</x:v>
      </x:c>
      <x:c r="I940" t="n">
        <x:v>0</x:v>
      </x:c>
      <x:c r="J940" t="n">
        <x:v>0</x:v>
      </x:c>
      <x:c r="K940" t="n">
        <x:v>1</x:v>
      </x:c>
      <x:c r="L940" t="n">
        <x:v>25</x:v>
      </x:c>
      <x:c r="M940" t="n">
        <x:v>0</x:v>
      </x:c>
      <x:c r="N940" t="str">
        <x:v>Approved</x:v>
      </x:c>
      <x:c r="O940" t="n">
        <x:v>0</x:v>
      </x:c>
      <x:c r="P940" t="str">
        <x:f>IF(L940&gt;=75,"High",IF(L940&gt;=55,"Medium","Low"))</x:f>
        <x:v>Low</x:v>
      </x:c>
    </x:row>
    <x:row r="941">
      <x:c r="A941" t="n">
        <x:v>940</x:v>
      </x:c>
      <x:c r="B941" t="n">
        <x:v>10080</x:v>
      </x:c>
      <x:c r="C941" s="16" t="n">
        <x:v>46187</x:v>
      </x:c>
      <x:c r="D941" t="str">
        <x:v>09:41:00</x:v>
      </x:c>
      <x:c r="E941" t="str">
        <x:v>Card</x:v>
      </x:c>
      <x:c r="F941" t="str">
        <x:v>Retail</x:v>
      </x:c>
      <x:c r="G941" s="18" t="n">
        <x:v>80.01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10</x:v>
      </x:c>
      <x:c r="M941" t="n">
        <x:v>0</x:v>
      </x:c>
      <x:c r="N941" t="str">
        <x:v>Approved</x:v>
      </x:c>
      <x:c r="O941" t="n">
        <x:v>0</x:v>
      </x:c>
      <x:c r="P941" t="str">
        <x:f>IF(L941&gt;=75,"High",IF(L941&gt;=55,"Medium","Low"))</x:f>
        <x:v>Low</x:v>
      </x:c>
    </x:row>
    <x:row r="942">
      <x:c r="A942" t="n">
        <x:v>941</x:v>
      </x:c>
      <x:c r="B942" t="n">
        <x:v>10323</x:v>
      </x:c>
      <x:c r="C942" s="16" t="n">
        <x:v>46219</x:v>
      </x:c>
      <x:c r="D942" t="str">
        <x:v>03:13:00</x:v>
      </x:c>
      <x:c r="E942" t="str">
        <x:v>Card</x:v>
      </x:c>
      <x:c r="F942" t="str">
        <x:v>Subscriptions</x:v>
      </x:c>
      <x:c r="G942" s="18" t="n">
        <x:v>37.6</x:v>
      </x:c>
      <x:c r="H942" t="n">
        <x:v>0</x:v>
      </x:c>
      <x:c r="I942" t="n">
        <x:v>0</x:v>
      </x:c>
      <x:c r="J942" t="n">
        <x:v>0</x:v>
      </x:c>
      <x:c r="K942" t="n">
        <x:v>1</x:v>
      </x:c>
      <x:c r="L942" t="n">
        <x:v>25</x:v>
      </x:c>
      <x:c r="M942" t="n">
        <x:v>0</x:v>
      </x:c>
      <x:c r="N942" t="str">
        <x:v>Declined</x:v>
      </x:c>
      <x:c r="O942" t="n">
        <x:v>0</x:v>
      </x:c>
      <x:c r="P942" t="str">
        <x:f>IF(L942&gt;=75,"High",IF(L942&gt;=55,"Medium","Low"))</x:f>
        <x:v>Low</x:v>
      </x:c>
    </x:row>
    <x:row r="943">
      <x:c r="A943" t="n">
        <x:v>942</x:v>
      </x:c>
      <x:c r="B943" t="n">
        <x:v>10033</x:v>
      </x:c>
      <x:c r="C943" s="16" t="n">
        <x:v>46231</x:v>
      </x:c>
      <x:c r="D943" t="str">
        <x:v>04:10:00</x:v>
      </x:c>
      <x:c r="E943" t="str">
        <x:v>Card</x:v>
      </x:c>
      <x:c r="F943" t="str">
        <x:v>Travel</x:v>
      </x:c>
      <x:c r="G943" s="18" t="n">
        <x:v>13.01</x:v>
      </x:c>
      <x:c r="H943" t="n">
        <x:v>0</x:v>
      </x:c>
      <x:c r="I943" t="n">
        <x:v>1</x:v>
      </x:c>
      <x:c r="J943" t="n">
        <x:v>0</x:v>
      </x:c>
      <x:c r="K943" t="n">
        <x:v>1</x:v>
      </x:c>
      <x:c r="L943" t="n">
        <x:v>45</x:v>
      </x:c>
      <x:c r="M943" t="n">
        <x:v>0</x:v>
      </x:c>
      <x:c r="N943" t="str">
        <x:v>Declined</x:v>
      </x:c>
      <x:c r="O943" t="n">
        <x:v>0</x:v>
      </x:c>
      <x:c r="P943" t="str">
        <x:f>IF(L943&gt;=75,"High",IF(L943&gt;=55,"Medium","Low"))</x:f>
        <x:v>Low</x:v>
      </x:c>
    </x:row>
    <x:row r="944">
      <x:c r="A944" t="n">
        <x:v>943</x:v>
      </x:c>
      <x:c r="B944" t="n">
        <x:v>10119</x:v>
      </x:c>
      <x:c r="C944" s="16" t="n">
        <x:v>46117</x:v>
      </x:c>
      <x:c r="D944" t="str">
        <x:v>10:44:00</x:v>
      </x:c>
      <x:c r="E944" t="str">
        <x:v>Card</x:v>
      </x:c>
      <x:c r="F944" t="str">
        <x:v>Utilities</x:v>
      </x:c>
      <x:c r="G944" s="18" t="n">
        <x:v>576</x:v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n">
        <x:v>10</x:v>
      </x:c>
      <x:c r="M944" t="n">
        <x:v>0</x:v>
      </x:c>
      <x:c r="N944" t="str">
        <x:v>Approved</x:v>
      </x:c>
      <x:c r="O944" t="n">
        <x:v>0</x:v>
      </x:c>
      <x:c r="P944" t="str">
        <x:f>IF(L944&gt;=75,"High",IF(L944&gt;=55,"Medium","Low"))</x:f>
        <x:v>Low</x:v>
      </x:c>
    </x:row>
    <x:row r="945">
      <x:c r="A945" t="n">
        <x:v>944</x:v>
      </x:c>
      <x:c r="B945" t="n">
        <x:v>10122</x:v>
      </x:c>
      <x:c r="C945" s="16" t="n">
        <x:v>46275</x:v>
      </x:c>
      <x:c r="D945" t="str">
        <x:v>03:11:00</x:v>
      </x:c>
      <x:c r="E945" t="str">
        <x:v>Bank Transfer</x:v>
      </x:c>
      <x:c r="F945" t="str">
        <x:v>Electronics</x:v>
      </x:c>
      <x:c r="G945" s="18" t="n">
        <x:v>7.83</x:v>
      </x:c>
      <x:c r="H945" t="n">
        <x:v>0</x:v>
      </x:c>
      <x:c r="I945" t="n">
        <x:v>0</x:v>
      </x:c>
      <x:c r="J945" t="n">
        <x:v>0</x:v>
      </x:c>
      <x:c r="K945" t="n">
        <x:v>1</x:v>
      </x:c>
      <x:c r="L945" t="n">
        <x:v>25</x:v>
      </x:c>
      <x:c r="M945" t="n">
        <x:v>0</x:v>
      </x:c>
      <x:c r="N945" t="str">
        <x:v>Approved</x:v>
      </x:c>
      <x:c r="O945" t="n">
        <x:v>0</x:v>
      </x:c>
      <x:c r="P945" t="str">
        <x:f>IF(L945&gt;=75,"High",IF(L945&gt;=55,"Medium","Low"))</x:f>
        <x:v>Low</x:v>
      </x:c>
    </x:row>
    <x:row r="946">
      <x:c r="A946" t="n">
        <x:v>945</x:v>
      </x:c>
      <x:c r="B946" t="n">
        <x:v>10314</x:v>
      </x:c>
      <x:c r="C946" s="16" t="n">
        <x:v>46212</x:v>
      </x:c>
      <x:c r="D946" t="str">
        <x:v>07:54:00</x:v>
      </x:c>
      <x:c r="E946" t="str">
        <x:v>P2P</x:v>
      </x:c>
      <x:c r="F946" t="str">
        <x:v>Retail</x:v>
      </x:c>
      <x:c r="G946" s="18" t="n">
        <x:v>100.19</x:v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n">
        <x:v>10</x:v>
      </x:c>
      <x:c r="M946" t="n">
        <x:v>0</x:v>
      </x:c>
      <x:c r="N946" t="str">
        <x:v>Approved</x:v>
      </x:c>
      <x:c r="O946" t="n">
        <x:v>0</x:v>
      </x:c>
      <x:c r="P946" t="str">
        <x:f>IF(L946&gt;=75,"High",IF(L946&gt;=55,"Medium","Low"))</x:f>
        <x:v>Low</x:v>
      </x:c>
    </x:row>
    <x:row r="947">
      <x:c r="A947" t="n">
        <x:v>946</x:v>
      </x:c>
      <x:c r="B947" t="n">
        <x:v>10320</x:v>
      </x:c>
      <x:c r="C947" s="16" t="n">
        <x:v>46143</x:v>
      </x:c>
      <x:c r="D947" t="str">
        <x:v>01:53:00</x:v>
      </x:c>
      <x:c r="E947" t="str">
        <x:v>Card</x:v>
      </x:c>
      <x:c r="F947" t="str">
        <x:v>Dining</x:v>
      </x:c>
      <x:c r="G947" s="18" t="n">
        <x:v>189.93</x:v>
      </x:c>
      <x:c r="H947" t="n">
        <x:v>0</x:v>
      </x:c>
      <x:c r="I947" t="n">
        <x:v>0</x:v>
      </x:c>
      <x:c r="J947" t="n">
        <x:v>0</x:v>
      </x:c>
      <x:c r="K947" t="n">
        <x:v>1</x:v>
      </x:c>
      <x:c r="L947" t="n">
        <x:v>25</x:v>
      </x:c>
      <x:c r="M947" t="n">
        <x:v>0</x:v>
      </x:c>
      <x:c r="N947" t="str">
        <x:v>Approved</x:v>
      </x:c>
      <x:c r="O947" t="n">
        <x:v>0</x:v>
      </x:c>
      <x:c r="P947" t="str">
        <x:f>IF(L947&gt;=75,"High",IF(L947&gt;=55,"Medium","Low"))</x:f>
        <x:v>Low</x:v>
      </x:c>
    </x:row>
    <x:row r="948">
      <x:c r="A948" t="n">
        <x:v>947</x:v>
      </x:c>
      <x:c r="B948" t="n">
        <x:v>10103</x:v>
      </x:c>
      <x:c r="C948" s="16" t="n">
        <x:v>46159</x:v>
      </x:c>
      <x:c r="D948" t="str">
        <x:v>12:11:00</x:v>
      </x:c>
      <x:c r="E948" t="str">
        <x:v>P2P</x:v>
      </x:c>
      <x:c r="F948" t="str">
        <x:v>Transfer</x:v>
      </x:c>
      <x:c r="G948" s="18" t="n">
        <x:v>262.25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10</x:v>
      </x:c>
      <x:c r="M948" t="n">
        <x:v>0</x:v>
      </x:c>
      <x:c r="N948" t="str">
        <x:v>Approved</x:v>
      </x:c>
      <x:c r="O948" t="n">
        <x:v>0</x:v>
      </x:c>
      <x:c r="P948" t="str">
        <x:f>IF(L948&gt;=75,"High",IF(L948&gt;=55,"Medium","Low"))</x:f>
        <x:v>Low</x:v>
      </x:c>
    </x:row>
    <x:row r="949">
      <x:c r="A949" t="n">
        <x:v>948</x:v>
      </x:c>
      <x:c r="B949" t="n">
        <x:v>10338</x:v>
      </x:c>
      <x:c r="C949" s="16" t="n">
        <x:v>46259</x:v>
      </x:c>
      <x:c r="D949" t="str">
        <x:v>12:30:00</x:v>
      </x:c>
      <x:c r="E949" t="str">
        <x:v>Card</x:v>
      </x:c>
      <x:c r="F949" t="str">
        <x:v>Subscriptions</x:v>
      </x:c>
      <x:c r="G949" s="18" t="n">
        <x:v>142.72</x:v>
      </x:c>
      <x:c r="H949" t="n">
        <x:v>1</x:v>
      </x:c>
      <x:c r="I949" t="n">
        <x:v>0</x:v>
      </x:c>
      <x:c r="J949" t="n">
        <x:v>0</x:v>
      </x:c>
      <x:c r="K949" t="n">
        <x:v>0</x:v>
      </x:c>
      <x:c r="L949" t="n">
        <x:v>36</x:v>
      </x:c>
      <x:c r="M949" t="n">
        <x:v>0</x:v>
      </x:c>
      <x:c r="N949" t="str">
        <x:v>Approved</x:v>
      </x:c>
      <x:c r="O949" t="n">
        <x:v>0</x:v>
      </x:c>
      <x:c r="P949" t="str">
        <x:f>IF(L949&gt;=75,"High",IF(L949&gt;=55,"Medium","Low"))</x:f>
        <x:v>Low</x:v>
      </x:c>
    </x:row>
    <x:row r="950">
      <x:c r="A950" t="n">
        <x:v>949</x:v>
      </x:c>
      <x:c r="B950" t="n">
        <x:v>10106</x:v>
      </x:c>
      <x:c r="C950" s="16" t="n">
        <x:v>46286</x:v>
      </x:c>
      <x:c r="D950" t="str">
        <x:v>12:01:00</x:v>
      </x:c>
      <x:c r="E950" t="str">
        <x:v>Card</x:v>
      </x:c>
      <x:c r="F950" t="str">
        <x:v>Electronics</x:v>
      </x:c>
      <x:c r="G950" s="18" t="n">
        <x:v>32.37</x:v>
      </x:c>
      <x:c r="H950" t="n">
        <x:v>1</x:v>
      </x:c>
      <x:c r="I950" t="n">
        <x:v>1</x:v>
      </x:c>
      <x:c r="J950" t="n">
        <x:v>0</x:v>
      </x:c>
      <x:c r="K950" t="n">
        <x:v>0</x:v>
      </x:c>
      <x:c r="L950" t="n">
        <x:v>56</x:v>
      </x:c>
      <x:c r="M950" t="n">
        <x:v>1</x:v>
      </x:c>
      <x:c r="N950" t="str">
        <x:v>Approved</x:v>
      </x:c>
      <x:c r="O950" t="n">
        <x:v>0</x:v>
      </x:c>
      <x:c r="P950" t="str">
        <x:f>IF(L950&gt;=75,"High",IF(L950&gt;=55,"Medium","Low"))</x:f>
        <x:v>Medium</x:v>
      </x:c>
    </x:row>
    <x:row r="951">
      <x:c r="A951" t="n">
        <x:v>950</x:v>
      </x:c>
      <x:c r="B951" t="n">
        <x:v>10328</x:v>
      </x:c>
      <x:c r="C951" s="16" t="n">
        <x:v>46285</x:v>
      </x:c>
      <x:c r="D951" t="str">
        <x:v>00:34:00</x:v>
      </x:c>
      <x:c r="E951" t="str">
        <x:v>Card</x:v>
      </x:c>
      <x:c r="F951" t="str">
        <x:v>Utilities</x:v>
      </x:c>
      <x:c r="G951" s="18" t="n">
        <x:v>685.99</x:v>
      </x:c>
      <x:c r="H951" t="n">
        <x:v>0</x:v>
      </x:c>
      <x:c r="I951" t="n">
        <x:v>0</x:v>
      </x:c>
      <x:c r="J951" t="n">
        <x:v>1</x:v>
      </x:c>
      <x:c r="K951" t="n">
        <x:v>1</x:v>
      </x:c>
      <x:c r="L951" t="n">
        <x:v>59</x:v>
      </x:c>
      <x:c r="M951" t="n">
        <x:v>1</x:v>
      </x:c>
      <x:c r="N951" t="str">
        <x:v>Approved</x:v>
      </x:c>
      <x:c r="O951" t="n">
        <x:v>0</x:v>
      </x:c>
      <x:c r="P951" t="str">
        <x:f>IF(L951&gt;=75,"High",IF(L951&gt;=55,"Medium","Low"))</x:f>
        <x:v>Medium</x:v>
      </x:c>
    </x:row>
    <x:row r="952">
      <x:c r="A952" t="n">
        <x:v>951</x:v>
      </x:c>
      <x:c r="B952" t="n">
        <x:v>10325</x:v>
      </x:c>
      <x:c r="C952" s="16" t="n">
        <x:v>46176</x:v>
      </x:c>
      <x:c r="D952" t="str">
        <x:v>02:59:00</x:v>
      </x:c>
      <x:c r="E952" t="str">
        <x:v>Bank Transfer</x:v>
      </x:c>
      <x:c r="F952" t="str">
        <x:v>Transfer</x:v>
      </x:c>
      <x:c r="G952" s="18" t="n">
        <x:v>30.46</x:v>
      </x:c>
      <x:c r="H952" t="n">
        <x:v>0</x:v>
      </x:c>
      <x:c r="I952" t="n">
        <x:v>0</x:v>
      </x:c>
      <x:c r="J952" t="n">
        <x:v>0</x:v>
      </x:c>
      <x:c r="K952" t="n">
        <x:v>1</x:v>
      </x:c>
      <x:c r="L952" t="n">
        <x:v>25</x:v>
      </x:c>
      <x:c r="M952" t="n">
        <x:v>0</x:v>
      </x:c>
      <x:c r="N952" t="str">
        <x:v>Approved</x:v>
      </x:c>
      <x:c r="O952" t="n">
        <x:v>0</x:v>
      </x:c>
      <x:c r="P952" t="str">
        <x:f>IF(L952&gt;=75,"High",IF(L952&gt;=55,"Medium","Low"))</x:f>
        <x:v>Low</x:v>
      </x:c>
    </x:row>
    <x:row r="953">
      <x:c r="A953" t="n">
        <x:v>952</x:v>
      </x:c>
      <x:c r="B953" t="n">
        <x:v>10034</x:v>
      </x:c>
      <x:c r="C953" s="16" t="n">
        <x:v>46200</x:v>
      </x:c>
      <x:c r="D953" t="str">
        <x:v>04:20:00</x:v>
      </x:c>
      <x:c r="E953" t="str">
        <x:v>Card</x:v>
      </x:c>
      <x:c r="F953" t="str">
        <x:v>Utilities</x:v>
      </x:c>
      <x:c r="G953" s="18" t="n">
        <x:v>352.81</x:v>
      </x:c>
      <x:c r="H953" t="n">
        <x:v>0</x:v>
      </x:c>
      <x:c r="I953" t="n">
        <x:v>0</x:v>
      </x:c>
      <x:c r="J953" t="n">
        <x:v>0</x:v>
      </x:c>
      <x:c r="K953" t="n">
        <x:v>1</x:v>
      </x:c>
      <x:c r="L953" t="n">
        <x:v>25</x:v>
      </x:c>
      <x:c r="M953" t="n">
        <x:v>0</x:v>
      </x:c>
      <x:c r="N953" t="str">
        <x:v>Approved</x:v>
      </x:c>
      <x:c r="O953" t="n">
        <x:v>0</x:v>
      </x:c>
      <x:c r="P953" t="str">
        <x:f>IF(L953&gt;=75,"High",IF(L953&gt;=55,"Medium","Low"))</x:f>
        <x:v>Low</x:v>
      </x:c>
    </x:row>
    <x:row r="954">
      <x:c r="A954" t="n">
        <x:v>953</x:v>
      </x:c>
      <x:c r="B954" t="n">
        <x:v>10015</x:v>
      </x:c>
      <x:c r="C954" s="16" t="n">
        <x:v>46162</x:v>
      </x:c>
      <x:c r="D954" t="str">
        <x:v>16:32:00</x:v>
      </x:c>
      <x:c r="E954" t="str">
        <x:v>Card</x:v>
      </x:c>
      <x:c r="F954" t="str">
        <x:v>Electronics</x:v>
      </x:c>
      <x:c r="G954" s="18" t="n">
        <x:v>125.51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10</x:v>
      </x:c>
      <x:c r="M954" t="n">
        <x:v>0</x:v>
      </x:c>
      <x:c r="N954" t="str">
        <x:v>Approved</x:v>
      </x:c>
      <x:c r="O954" t="n">
        <x:v>0</x:v>
      </x:c>
      <x:c r="P954" t="str">
        <x:f>IF(L954&gt;=75,"High",IF(L954&gt;=55,"Medium","Low"))</x:f>
        <x:v>Low</x:v>
      </x:c>
    </x:row>
    <x:row r="955">
      <x:c r="A955" t="n">
        <x:v>954</x:v>
      </x:c>
      <x:c r="B955" t="n">
        <x:v>10159</x:v>
      </x:c>
      <x:c r="C955" s="16" t="n">
        <x:v>46156</x:v>
      </x:c>
      <x:c r="D955" t="str">
        <x:v>10:26:00</x:v>
      </x:c>
      <x:c r="E955" t="str">
        <x:v>Card</x:v>
      </x:c>
      <x:c r="F955" t="str">
        <x:v>Utilities</x:v>
      </x:c>
      <x:c r="G955" s="18" t="n">
        <x:v>66.36</x:v>
      </x:c>
      <x:c r="H955" t="n">
        <x:v>0</x:v>
      </x:c>
      <x:c r="I955" t="n">
        <x:v>0</x:v>
      </x:c>
      <x:c r="J955" t="n">
        <x:v>0</x:v>
      </x:c>
      <x:c r="K955" t="n">
        <x:v>0</x:v>
      </x:c>
      <x:c r="L955" t="n">
        <x:v>10</x:v>
      </x:c>
      <x:c r="M955" t="n">
        <x:v>0</x:v>
      </x:c>
      <x:c r="N955" t="str">
        <x:v>Approved</x:v>
      </x:c>
      <x:c r="O955" t="n">
        <x:v>0</x:v>
      </x:c>
      <x:c r="P955" t="str">
        <x:f>IF(L955&gt;=75,"High",IF(L955&gt;=55,"Medium","Low"))</x:f>
        <x:v>Low</x:v>
      </x:c>
    </x:row>
    <x:row r="956">
      <x:c r="A956" t="n">
        <x:v>955</x:v>
      </x:c>
      <x:c r="B956" t="n">
        <x:v>10185</x:v>
      </x:c>
      <x:c r="C956" s="16" t="n">
        <x:v>46132</x:v>
      </x:c>
      <x:c r="D956" t="str">
        <x:v>22:41:00</x:v>
      </x:c>
      <x:c r="E956" t="str">
        <x:v>Card</x:v>
      </x:c>
      <x:c r="F956" t="str">
        <x:v>Travel</x:v>
      </x:c>
      <x:c r="G956" s="18" t="n">
        <x:v>418.69</x:v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n">
        <x:v>10</x:v>
      </x:c>
      <x:c r="M956" t="n">
        <x:v>0</x:v>
      </x:c>
      <x:c r="N956" t="str">
        <x:v>Approved</x:v>
      </x:c>
      <x:c r="O956" t="n">
        <x:v>0</x:v>
      </x:c>
      <x:c r="P956" t="str">
        <x:f>IF(L956&gt;=75,"High",IF(L956&gt;=55,"Medium","Low"))</x:f>
        <x:v>Low</x:v>
      </x:c>
    </x:row>
    <x:row r="957">
      <x:c r="A957" t="n">
        <x:v>956</x:v>
      </x:c>
      <x:c r="B957" t="n">
        <x:v>10184</x:v>
      </x:c>
      <x:c r="C957" s="16" t="n">
        <x:v>46151</x:v>
      </x:c>
      <x:c r="D957" t="str">
        <x:v>17:28:00</x:v>
      </x:c>
      <x:c r="E957" t="str">
        <x:v>Bank Transfer</x:v>
      </x:c>
      <x:c r="F957" t="str">
        <x:v>Dining</x:v>
      </x:c>
      <x:c r="G957" s="18" t="n">
        <x:v>233.81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10</x:v>
      </x:c>
      <x:c r="M957" t="n">
        <x:v>0</x:v>
      </x:c>
      <x:c r="N957" t="str">
        <x:v>Approved</x:v>
      </x:c>
      <x:c r="O957" t="n">
        <x:v>0</x:v>
      </x:c>
      <x:c r="P957" t="str">
        <x:f>IF(L957&gt;=75,"High",IF(L957&gt;=55,"Medium","Low"))</x:f>
        <x:v>Low</x:v>
      </x:c>
    </x:row>
    <x:row r="958">
      <x:c r="A958" t="n">
        <x:v>957</x:v>
      </x:c>
      <x:c r="B958" t="n">
        <x:v>10221</x:v>
      </x:c>
      <x:c r="C958" s="16" t="n">
        <x:v>46260</x:v>
      </x:c>
      <x:c r="D958" t="str">
        <x:v>15:27:00</x:v>
      </x:c>
      <x:c r="E958" t="str">
        <x:v>Card</x:v>
      </x:c>
      <x:c r="F958" t="str">
        <x:v>Transfer</x:v>
      </x:c>
      <x:c r="G958" s="18" t="n">
        <x:v>182.64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10</x:v>
      </x:c>
      <x:c r="M958" t="n">
        <x:v>0</x:v>
      </x:c>
      <x:c r="N958" t="str">
        <x:v>Approved</x:v>
      </x:c>
      <x:c r="O958" t="n">
        <x:v>0</x:v>
      </x:c>
      <x:c r="P958" t="str">
        <x:f>IF(L958&gt;=75,"High",IF(L958&gt;=55,"Medium","Low"))</x:f>
        <x:v>Low</x:v>
      </x:c>
    </x:row>
    <x:row r="959">
      <x:c r="A959" t="n">
        <x:v>958</x:v>
      </x:c>
      <x:c r="B959" t="n">
        <x:v>10348</x:v>
      </x:c>
      <x:c r="C959" s="16" t="n">
        <x:v>46116</x:v>
      </x:c>
      <x:c r="D959" t="str">
        <x:v>19:07:00</x:v>
      </x:c>
      <x:c r="E959" t="str">
        <x:v>Bank Transfer</x:v>
      </x:c>
      <x:c r="F959" t="str">
        <x:v>Travel</x:v>
      </x:c>
      <x:c r="G959" s="18" t="n">
        <x:v>149.13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10</x:v>
      </x:c>
      <x:c r="M959" t="n">
        <x:v>0</x:v>
      </x:c>
      <x:c r="N959" t="str">
        <x:v>Approved</x:v>
      </x:c>
      <x:c r="O959" t="n">
        <x:v>0</x:v>
      </x:c>
      <x:c r="P959" t="str">
        <x:f>IF(L959&gt;=75,"High",IF(L959&gt;=55,"Medium","Low"))</x:f>
        <x:v>Low</x:v>
      </x:c>
    </x:row>
    <x:row r="960">
      <x:c r="A960" t="n">
        <x:v>959</x:v>
      </x:c>
      <x:c r="B960" t="n">
        <x:v>10266</x:v>
      </x:c>
      <x:c r="C960" s="16" t="n">
        <x:v>46250</x:v>
      </x:c>
      <x:c r="D960" t="str">
        <x:v>04:38:00</x:v>
      </x:c>
      <x:c r="E960" t="str">
        <x:v>Card</x:v>
      </x:c>
      <x:c r="F960" t="str">
        <x:v>Subscriptions</x:v>
      </x:c>
      <x:c r="G960" s="18" t="n">
        <x:v>128.66</x:v>
      </x:c>
      <x:c r="H960" t="n">
        <x:v>0</x:v>
      </x:c>
      <x:c r="I960" t="n">
        <x:v>0</x:v>
      </x:c>
      <x:c r="J960" t="n">
        <x:v>0</x:v>
      </x:c>
      <x:c r="K960" t="n">
        <x:v>1</x:v>
      </x:c>
      <x:c r="L960" t="n">
        <x:v>25</x:v>
      </x:c>
      <x:c r="M960" t="n">
        <x:v>0</x:v>
      </x:c>
      <x:c r="N960" t="str">
        <x:v>Approved</x:v>
      </x:c>
      <x:c r="O960" t="n">
        <x:v>0</x:v>
      </x:c>
      <x:c r="P960" t="str">
        <x:f>IF(L960&gt;=75,"High",IF(L960&gt;=55,"Medium","Low"))</x:f>
        <x:v>Low</x:v>
      </x:c>
    </x:row>
    <x:row r="961">
      <x:c r="A961" t="n">
        <x:v>960</x:v>
      </x:c>
      <x:c r="B961" t="n">
        <x:v>10071</x:v>
      </x:c>
      <x:c r="C961" s="16" t="n">
        <x:v>46248</x:v>
      </x:c>
      <x:c r="D961" t="str">
        <x:v>08:06:00</x:v>
      </x:c>
      <x:c r="E961" t="str">
        <x:v>Card</x:v>
      </x:c>
      <x:c r="F961" t="str">
        <x:v>Travel</x:v>
      </x:c>
      <x:c r="G961" s="18" t="n">
        <x:v>228.69</x:v>
      </x:c>
      <x:c r="H961" t="n">
        <x:v>0</x:v>
      </x:c>
      <x:c r="I961" t="n">
        <x:v>1</x:v>
      </x:c>
      <x:c r="J961" t="n">
        <x:v>0</x:v>
      </x:c>
      <x:c r="K961" t="n">
        <x:v>0</x:v>
      </x:c>
      <x:c r="L961" t="n">
        <x:v>30</x:v>
      </x:c>
      <x:c r="M961" t="n">
        <x:v>0</x:v>
      </x:c>
      <x:c r="N961" t="str">
        <x:v>Approved</x:v>
      </x:c>
      <x:c r="O961" t="n">
        <x:v>0</x:v>
      </x:c>
      <x:c r="P961" t="str">
        <x:f>IF(L961&gt;=75,"High",IF(L961&gt;=55,"Medium","Low"))</x:f>
        <x:v>Low</x:v>
      </x:c>
    </x:row>
    <x:row r="962">
      <x:c r="A962" t="n">
        <x:v>961</x:v>
      </x:c>
      <x:c r="B962" t="n">
        <x:v>10136</x:v>
      </x:c>
      <x:c r="C962" s="16" t="n">
        <x:v>46187</x:v>
      </x:c>
      <x:c r="D962" t="str">
        <x:v>04:21:00</x:v>
      </x:c>
      <x:c r="E962" t="str">
        <x:v>P2P</x:v>
      </x:c>
      <x:c r="F962" t="str">
        <x:v>Travel</x:v>
      </x:c>
      <x:c r="G962" s="18" t="n">
        <x:v>249.38</x:v>
      </x:c>
      <x:c r="H962" t="n">
        <x:v>0</x:v>
      </x:c>
      <x:c r="I962" t="n">
        <x:v>0</x:v>
      </x:c>
      <x:c r="J962" t="n">
        <x:v>0</x:v>
      </x:c>
      <x:c r="K962" t="n">
        <x:v>1</x:v>
      </x:c>
      <x:c r="L962" t="n">
        <x:v>25</x:v>
      </x:c>
      <x:c r="M962" t="n">
        <x:v>0</x:v>
      </x:c>
      <x:c r="N962" t="str">
        <x:v>Declined</x:v>
      </x:c>
      <x:c r="O962" t="n">
        <x:v>0</x:v>
      </x:c>
      <x:c r="P962" t="str">
        <x:f>IF(L962&gt;=75,"High",IF(L962&gt;=55,"Medium","Low"))</x:f>
        <x:v>Low</x:v>
      </x:c>
    </x:row>
    <x:row r="963">
      <x:c r="A963" t="n">
        <x:v>962</x:v>
      </x:c>
      <x:c r="B963" t="n">
        <x:v>10010</x:v>
      </x:c>
      <x:c r="C963" s="16" t="n">
        <x:v>46252</x:v>
      </x:c>
      <x:c r="D963" t="str">
        <x:v>03:07:00</x:v>
      </x:c>
      <x:c r="E963" t="str">
        <x:v>Card</x:v>
      </x:c>
      <x:c r="F963" t="str">
        <x:v>Retail</x:v>
      </x:c>
      <x:c r="G963" s="18" t="n">
        <x:v>158.8</x:v>
      </x:c>
      <x:c r="H963" t="n">
        <x:v>0</x:v>
      </x:c>
      <x:c r="I963" t="n">
        <x:v>0</x:v>
      </x:c>
      <x:c r="J963" t="n">
        <x:v>0</x:v>
      </x:c>
      <x:c r="K963" t="n">
        <x:v>1</x:v>
      </x:c>
      <x:c r="L963" t="n">
        <x:v>25</x:v>
      </x:c>
      <x:c r="M963" t="n">
        <x:v>0</x:v>
      </x:c>
      <x:c r="N963" t="str">
        <x:v>Approved</x:v>
      </x:c>
      <x:c r="O963" t="n">
        <x:v>0</x:v>
      </x:c>
      <x:c r="P963" t="str">
        <x:f>IF(L963&gt;=75,"High",IF(L963&gt;=55,"Medium","Low"))</x:f>
        <x:v>Low</x:v>
      </x:c>
    </x:row>
    <x:row r="964">
      <x:c r="A964" t="n">
        <x:v>963</x:v>
      </x:c>
      <x:c r="B964" t="n">
        <x:v>10124</x:v>
      </x:c>
      <x:c r="C964" s="16" t="n">
        <x:v>46257</x:v>
      </x:c>
      <x:c r="D964" t="str">
        <x:v>21:07:00</x:v>
      </x:c>
      <x:c r="E964" t="str">
        <x:v>Card</x:v>
      </x:c>
      <x:c r="F964" t="str">
        <x:v>Retail</x:v>
      </x:c>
      <x:c r="G964" s="18" t="n">
        <x:v>49.76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10</x:v>
      </x:c>
      <x:c r="M964" t="n">
        <x:v>0</x:v>
      </x:c>
      <x:c r="N964" t="str">
        <x:v>Approved</x:v>
      </x:c>
      <x:c r="O964" t="n">
        <x:v>0</x:v>
      </x:c>
      <x:c r="P964" t="str">
        <x:f>IF(L964&gt;=75,"High",IF(L964&gt;=55,"Medium","Low"))</x:f>
        <x:v>Low</x:v>
      </x:c>
    </x:row>
    <x:row r="965">
      <x:c r="A965" t="n">
        <x:v>964</x:v>
      </x:c>
      <x:c r="B965" t="n">
        <x:v>10107</x:v>
      </x:c>
      <x:c r="C965" s="16" t="n">
        <x:v>46119</x:v>
      </x:c>
      <x:c r="D965" t="str">
        <x:v>07:31:00</x:v>
      </x:c>
      <x:c r="E965" t="str">
        <x:v>Bank Transfer</x:v>
      </x:c>
      <x:c r="F965" t="str">
        <x:v>Dining</x:v>
      </x:c>
      <x:c r="G965" s="18" t="n">
        <x:v>69.56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10</x:v>
      </x:c>
      <x:c r="M965" t="n">
        <x:v>0</x:v>
      </x:c>
      <x:c r="N965" t="str">
        <x:v>Approved</x:v>
      </x:c>
      <x:c r="O965" t="n">
        <x:v>0</x:v>
      </x:c>
      <x:c r="P965" t="str">
        <x:f>IF(L965&gt;=75,"High",IF(L965&gt;=55,"Medium","Low"))</x:f>
        <x:v>Low</x:v>
      </x:c>
    </x:row>
    <x:row r="966">
      <x:c r="A966" t="n">
        <x:v>965</x:v>
      </x:c>
      <x:c r="B966" t="n">
        <x:v>10359</x:v>
      </x:c>
      <x:c r="C966" s="16" t="n">
        <x:v>46203</x:v>
      </x:c>
      <x:c r="D966" t="str">
        <x:v>21:09:00</x:v>
      </x:c>
      <x:c r="E966" t="str">
        <x:v>Card</x:v>
      </x:c>
      <x:c r="F966" t="str">
        <x:v>Retail</x:v>
      </x:c>
      <x:c r="G966" s="18" t="n">
        <x:v>371.23</x:v>
      </x:c>
      <x:c r="H966" t="n">
        <x:v>0</x:v>
      </x:c>
      <x:c r="I966" t="n">
        <x:v>1</x:v>
      </x:c>
      <x:c r="J966" t="n">
        <x:v>0</x:v>
      </x:c>
      <x:c r="K966" t="n">
        <x:v>0</x:v>
      </x:c>
      <x:c r="L966" t="n">
        <x:v>30</x:v>
      </x:c>
      <x:c r="M966" t="n">
        <x:v>0</x:v>
      </x:c>
      <x:c r="N966" t="str">
        <x:v>Approved</x:v>
      </x:c>
      <x:c r="O966" t="n">
        <x:v>0</x:v>
      </x:c>
      <x:c r="P966" t="str">
        <x:f>IF(L966&gt;=75,"High",IF(L966&gt;=55,"Medium","Low"))</x:f>
        <x:v>Low</x:v>
      </x:c>
    </x:row>
    <x:row r="967">
      <x:c r="A967" t="n">
        <x:v>966</x:v>
      </x:c>
      <x:c r="B967" t="n">
        <x:v>10289</x:v>
      </x:c>
      <x:c r="C967" s="16" t="n">
        <x:v>46120</x:v>
      </x:c>
      <x:c r="D967" t="str">
        <x:v>06:44:00</x:v>
      </x:c>
      <x:c r="E967" t="str">
        <x:v>Bank Transfer</x:v>
      </x:c>
      <x:c r="F967" t="str">
        <x:v>Transfer</x:v>
      </x:c>
      <x:c r="G967" s="18" t="n">
        <x:v>17.55</x:v>
      </x:c>
      <x:c r="H967" t="n">
        <x:v>1</x:v>
      </x:c>
      <x:c r="I967" t="n">
        <x:v>0</x:v>
      </x:c>
      <x:c r="J967" t="n">
        <x:v>0</x:v>
      </x:c>
      <x:c r="K967" t="n">
        <x:v>0</x:v>
      </x:c>
      <x:c r="L967" t="n">
        <x:v>36</x:v>
      </x:c>
      <x:c r="M967" t="n">
        <x:v>0</x:v>
      </x:c>
      <x:c r="N967" t="str">
        <x:v>Approved</x:v>
      </x:c>
      <x:c r="O967" t="n">
        <x:v>0</x:v>
      </x:c>
      <x:c r="P967" t="str">
        <x:f>IF(L967&gt;=75,"High",IF(L967&gt;=55,"Medium","Low"))</x:f>
        <x:v>Low</x:v>
      </x:c>
    </x:row>
    <x:row r="968">
      <x:c r="A968" t="n">
        <x:v>967</x:v>
      </x:c>
      <x:c r="B968" t="n">
        <x:v>10138</x:v>
      </x:c>
      <x:c r="C968" s="16" t="n">
        <x:v>46256</x:v>
      </x:c>
      <x:c r="D968" t="str">
        <x:v>05:04:00</x:v>
      </x:c>
      <x:c r="E968" t="str">
        <x:v>P2P</x:v>
      </x:c>
      <x:c r="F968" t="str">
        <x:v>Utilities</x:v>
      </x:c>
      <x:c r="G968" s="18" t="n">
        <x:v>1301.1</x:v>
      </x:c>
      <x:c r="H968" t="n">
        <x:v>0</x:v>
      </x:c>
      <x:c r="I968" t="n">
        <x:v>0</x:v>
      </x:c>
      <x:c r="J968" t="n">
        <x:v>1</x:v>
      </x:c>
      <x:c r="K968" t="n">
        <x:v>0</x:v>
      </x:c>
      <x:c r="L968" t="n">
        <x:v>44</x:v>
      </x:c>
      <x:c r="M968" t="n">
        <x:v>0</x:v>
      </x:c>
      <x:c r="N968" t="str">
        <x:v>Approved</x:v>
      </x:c>
      <x:c r="O968" t="n">
        <x:v>0</x:v>
      </x:c>
      <x:c r="P968" t="str">
        <x:f>IF(L968&gt;=75,"High",IF(L968&gt;=55,"Medium","Low"))</x:f>
        <x:v>Low</x:v>
      </x:c>
    </x:row>
    <x:row r="969">
      <x:c r="A969" t="n">
        <x:v>968</x:v>
      </x:c>
      <x:c r="B969" t="n">
        <x:v>10171</x:v>
      </x:c>
      <x:c r="C969" s="16" t="n">
        <x:v>46295</x:v>
      </x:c>
      <x:c r="D969" t="str">
        <x:v>13:42:00</x:v>
      </x:c>
      <x:c r="E969" t="str">
        <x:v>Bank Transfer</x:v>
      </x:c>
      <x:c r="F969" t="str">
        <x:v>Retail</x:v>
      </x:c>
      <x:c r="G969" s="18" t="n">
        <x:v>47.93</x:v>
      </x:c>
      <x:c r="H969" t="n">
        <x:v>1</x:v>
      </x:c>
      <x:c r="I969" t="n">
        <x:v>0</x:v>
      </x:c>
      <x:c r="J969" t="n">
        <x:v>0</x:v>
      </x:c>
      <x:c r="K969" t="n">
        <x:v>0</x:v>
      </x:c>
      <x:c r="L969" t="n">
        <x:v>36</x:v>
      </x:c>
      <x:c r="M969" t="n">
        <x:v>0</x:v>
      </x:c>
      <x:c r="N969" t="str">
        <x:v>Approved</x:v>
      </x:c>
      <x:c r="O969" t="n">
        <x:v>0</x:v>
      </x:c>
      <x:c r="P969" t="str">
        <x:f>IF(L969&gt;=75,"High",IF(L969&gt;=55,"Medium","Low"))</x:f>
        <x:v>Low</x:v>
      </x:c>
    </x:row>
    <x:row r="970">
      <x:c r="A970" t="n">
        <x:v>969</x:v>
      </x:c>
      <x:c r="B970" t="n">
        <x:v>10163</x:v>
      </x:c>
      <x:c r="C970" s="16" t="n">
        <x:v>46198</x:v>
      </x:c>
      <x:c r="D970" t="str">
        <x:v>04:17:00</x:v>
      </x:c>
      <x:c r="E970" t="str">
        <x:v>Card</x:v>
      </x:c>
      <x:c r="F970" t="str">
        <x:v>Transfer</x:v>
      </x:c>
      <x:c r="G970" s="18" t="n">
        <x:v>40.51</x:v>
      </x:c>
      <x:c r="H970" t="n">
        <x:v>1</x:v>
      </x:c>
      <x:c r="I970" t="n">
        <x:v>0</x:v>
      </x:c>
      <x:c r="J970" t="n">
        <x:v>0</x:v>
      </x:c>
      <x:c r="K970" t="n">
        <x:v>1</x:v>
      </x:c>
      <x:c r="L970" t="n">
        <x:v>51</x:v>
      </x:c>
      <x:c r="M970" t="n">
        <x:v>0</x:v>
      </x:c>
      <x:c r="N970" t="str">
        <x:v>Declined</x:v>
      </x:c>
      <x:c r="O970" t="n">
        <x:v>0</x:v>
      </x:c>
      <x:c r="P970" t="str">
        <x:f>IF(L970&gt;=75,"High",IF(L970&gt;=55,"Medium","Low"))</x:f>
        <x:v>Low</x:v>
      </x:c>
    </x:row>
    <x:row r="971">
      <x:c r="A971" t="n">
        <x:v>970</x:v>
      </x:c>
      <x:c r="B971" t="n">
        <x:v>10324</x:v>
      </x:c>
      <x:c r="C971" s="16" t="n">
        <x:v>46197</x:v>
      </x:c>
      <x:c r="D971" t="str">
        <x:v>06:39:00</x:v>
      </x:c>
      <x:c r="E971" t="str">
        <x:v>Card</x:v>
      </x:c>
      <x:c r="F971" t="str">
        <x:v>Dining</x:v>
      </x:c>
      <x:c r="G971" s="18" t="n">
        <x:v>35.73</x:v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n">
        <x:v>10</x:v>
      </x:c>
      <x:c r="M971" t="n">
        <x:v>0</x:v>
      </x:c>
      <x:c r="N971" t="str">
        <x:v>Declined</x:v>
      </x:c>
      <x:c r="O971" t="n">
        <x:v>0</x:v>
      </x:c>
      <x:c r="P971" t="str">
        <x:f>IF(L971&gt;=75,"High",IF(L971&gt;=55,"Medium","Low"))</x:f>
        <x:v>Low</x:v>
      </x:c>
    </x:row>
    <x:row r="972">
      <x:c r="A972" t="n">
        <x:v>971</x:v>
      </x:c>
      <x:c r="B972" t="n">
        <x:v>10310</x:v>
      </x:c>
      <x:c r="C972" s="16" t="n">
        <x:v>46174</x:v>
      </x:c>
      <x:c r="D972" t="str">
        <x:v>08:52:00</x:v>
      </x:c>
      <x:c r="E972" t="str">
        <x:v>Card</x:v>
      </x:c>
      <x:c r="F972" t="str">
        <x:v>Utilities</x:v>
      </x:c>
      <x:c r="G972" s="18" t="n">
        <x:v>41.19</x:v>
      </x:c>
      <x:c r="H972" t="n">
        <x:v>0</x:v>
      </x:c>
      <x:c r="I972" t="n">
        <x:v>1</x:v>
      </x:c>
      <x:c r="J972" t="n">
        <x:v>0</x:v>
      </x:c>
      <x:c r="K972" t="n">
        <x:v>0</x:v>
      </x:c>
      <x:c r="L972" t="n">
        <x:v>30</x:v>
      </x:c>
      <x:c r="M972" t="n">
        <x:v>0</x:v>
      </x:c>
      <x:c r="N972" t="str">
        <x:v>Approved</x:v>
      </x:c>
      <x:c r="O972" t="n">
        <x:v>0</x:v>
      </x:c>
      <x:c r="P972" t="str">
        <x:f>IF(L972&gt;=75,"High",IF(L972&gt;=55,"Medium","Low"))</x:f>
        <x:v>Low</x:v>
      </x:c>
    </x:row>
    <x:row r="973">
      <x:c r="A973" t="n">
        <x:v>972</x:v>
      </x:c>
      <x:c r="B973" t="n">
        <x:v>10272</x:v>
      </x:c>
      <x:c r="C973" s="16" t="n">
        <x:v>46166</x:v>
      </x:c>
      <x:c r="D973" t="str">
        <x:v>06:56:00</x:v>
      </x:c>
      <x:c r="E973" t="str">
        <x:v>Card</x:v>
      </x:c>
      <x:c r="F973" t="str">
        <x:v>Travel</x:v>
      </x:c>
      <x:c r="G973" s="18" t="n">
        <x:v>61.67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10</x:v>
      </x:c>
      <x:c r="M973" t="n">
        <x:v>0</x:v>
      </x:c>
      <x:c r="N973" t="str">
        <x:v>Approved</x:v>
      </x:c>
      <x:c r="O973" t="n">
        <x:v>0</x:v>
      </x:c>
      <x:c r="P973" t="str">
        <x:f>IF(L973&gt;=75,"High",IF(L973&gt;=55,"Medium","Low"))</x:f>
        <x:v>Low</x:v>
      </x:c>
    </x:row>
    <x:row r="974">
      <x:c r="A974" t="n">
        <x:v>973</x:v>
      </x:c>
      <x:c r="B974" t="n">
        <x:v>10198</x:v>
      </x:c>
      <x:c r="C974" s="16" t="n">
        <x:v>46187</x:v>
      </x:c>
      <x:c r="D974" t="str">
        <x:v>21:24:00</x:v>
      </x:c>
      <x:c r="E974" t="str">
        <x:v>P2P</x:v>
      </x:c>
      <x:c r="F974" t="str">
        <x:v>Subscriptions</x:v>
      </x:c>
      <x:c r="G974" s="18" t="n">
        <x:v>53.55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10</x:v>
      </x:c>
      <x:c r="M974" t="n">
        <x:v>0</x:v>
      </x:c>
      <x:c r="N974" t="str">
        <x:v>Approved</x:v>
      </x:c>
      <x:c r="O974" t="n">
        <x:v>0</x:v>
      </x:c>
      <x:c r="P974" t="str">
        <x:f>IF(L974&gt;=75,"High",IF(L974&gt;=55,"Medium","Low"))</x:f>
        <x:v>Low</x:v>
      </x:c>
    </x:row>
    <x:row r="975">
      <x:c r="A975" t="n">
        <x:v>974</x:v>
      </x:c>
      <x:c r="B975" t="n">
        <x:v>10263</x:v>
      </x:c>
      <x:c r="C975" s="16" t="n">
        <x:v>46286</x:v>
      </x:c>
      <x:c r="D975" t="str">
        <x:v>18:43:00</x:v>
      </x:c>
      <x:c r="E975" t="str">
        <x:v>Card</x:v>
      </x:c>
      <x:c r="F975" t="str">
        <x:v>Dining</x:v>
      </x:c>
      <x:c r="G975" s="18" t="n">
        <x:v>101.74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10</x:v>
      </x:c>
      <x:c r="M975" t="n">
        <x:v>0</x:v>
      </x:c>
      <x:c r="N975" t="str">
        <x:v>Declined</x:v>
      </x:c>
      <x:c r="O975" t="n">
        <x:v>0</x:v>
      </x:c>
      <x:c r="P975" t="str">
        <x:f>IF(L975&gt;=75,"High",IF(L975&gt;=55,"Medium","Low"))</x:f>
        <x:v>Low</x:v>
      </x:c>
    </x:row>
    <x:row r="976">
      <x:c r="A976" t="n">
        <x:v>975</x:v>
      </x:c>
      <x:c r="B976" t="n">
        <x:v>10200</x:v>
      </x:c>
      <x:c r="C976" s="16" t="n">
        <x:v>46246</x:v>
      </x:c>
      <x:c r="D976" t="str">
        <x:v>18:18:00</x:v>
      </x:c>
      <x:c r="E976" t="str">
        <x:v>Card</x:v>
      </x:c>
      <x:c r="F976" t="str">
        <x:v>Travel</x:v>
      </x:c>
      <x:c r="G976" s="18" t="n">
        <x:v>26.02</x:v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n">
        <x:v>10</x:v>
      </x:c>
      <x:c r="M976" t="n">
        <x:v>0</x:v>
      </x:c>
      <x:c r="N976" t="str">
        <x:v>Approved</x:v>
      </x:c>
      <x:c r="O976" t="n">
        <x:v>0</x:v>
      </x:c>
      <x:c r="P976" t="str">
        <x:f>IF(L976&gt;=75,"High",IF(L976&gt;=55,"Medium","Low"))</x:f>
        <x:v>Low</x:v>
      </x:c>
    </x:row>
    <x:row r="977">
      <x:c r="A977" t="n">
        <x:v>976</x:v>
      </x:c>
      <x:c r="B977" t="n">
        <x:v>10300</x:v>
      </x:c>
      <x:c r="C977" s="16" t="n">
        <x:v>46143</x:v>
      </x:c>
      <x:c r="D977" t="str">
        <x:v>01:52:00</x:v>
      </x:c>
      <x:c r="E977" t="str">
        <x:v>P2P</x:v>
      </x:c>
      <x:c r="F977" t="str">
        <x:v>Transfer</x:v>
      </x:c>
      <x:c r="G977" s="18" t="n">
        <x:v>819.01</x:v>
      </x:c>
      <x:c r="H977" t="n">
        <x:v>0</x:v>
      </x:c>
      <x:c r="I977" t="n">
        <x:v>0</x:v>
      </x:c>
      <x:c r="J977" t="n">
        <x:v>1</x:v>
      </x:c>
      <x:c r="K977" t="n">
        <x:v>1</x:v>
      </x:c>
      <x:c r="L977" t="n">
        <x:v>59</x:v>
      </x:c>
      <x:c r="M977" t="n">
        <x:v>1</x:v>
      </x:c>
      <x:c r="N977" t="str">
        <x:v>Approved</x:v>
      </x:c>
      <x:c r="O977" t="n">
        <x:v>0</x:v>
      </x:c>
      <x:c r="P977" t="str">
        <x:f>IF(L977&gt;=75,"High",IF(L977&gt;=55,"Medium","Low"))</x:f>
        <x:v>Medium</x:v>
      </x:c>
    </x:row>
    <x:row r="978">
      <x:c r="A978" t="n">
        <x:v>977</x:v>
      </x:c>
      <x:c r="B978" t="n">
        <x:v>10308</x:v>
      </x:c>
      <x:c r="C978" s="16" t="n">
        <x:v>46279</x:v>
      </x:c>
      <x:c r="D978" t="str">
        <x:v>03:14:00</x:v>
      </x:c>
      <x:c r="E978" t="str">
        <x:v>Card</x:v>
      </x:c>
      <x:c r="F978" t="str">
        <x:v>Electronics</x:v>
      </x:c>
      <x:c r="G978" s="18" t="n">
        <x:v>67.2</x:v>
      </x:c>
      <x:c r="H978" t="n">
        <x:v>0</x:v>
      </x:c>
      <x:c r="I978" t="n">
        <x:v>1</x:v>
      </x:c>
      <x:c r="J978" t="n">
        <x:v>0</x:v>
      </x:c>
      <x:c r="K978" t="n">
        <x:v>1</x:v>
      </x:c>
      <x:c r="L978" t="n">
        <x:v>45</x:v>
      </x:c>
      <x:c r="M978" t="n">
        <x:v>0</x:v>
      </x:c>
      <x:c r="N978" t="str">
        <x:v>Approved</x:v>
      </x:c>
      <x:c r="O978" t="n">
        <x:v>0</x:v>
      </x:c>
      <x:c r="P978" t="str">
        <x:f>IF(L978&gt;=75,"High",IF(L978&gt;=55,"Medium","Low"))</x:f>
        <x:v>Low</x:v>
      </x:c>
    </x:row>
    <x:row r="979">
      <x:c r="A979" t="n">
        <x:v>978</x:v>
      </x:c>
      <x:c r="B979" t="n">
        <x:v>10124</x:v>
      </x:c>
      <x:c r="C979" s="16" t="n">
        <x:v>46169</x:v>
      </x:c>
      <x:c r="D979" t="str">
        <x:v>19:04:00</x:v>
      </x:c>
      <x:c r="E979" t="str">
        <x:v>Card</x:v>
      </x:c>
      <x:c r="F979" t="str">
        <x:v>Dining</x:v>
      </x:c>
      <x:c r="G979" s="18" t="n">
        <x:v>79.22</x:v>
      </x:c>
      <x:c r="H979" t="n">
        <x:v>0</x:v>
      </x:c>
      <x:c r="I979" t="n">
        <x:v>0</x:v>
      </x:c>
      <x:c r="J979" t="n">
        <x:v>0</x:v>
      </x:c>
      <x:c r="K979" t="n">
        <x:v>0</x:v>
      </x:c>
      <x:c r="L979" t="n">
        <x:v>10</x:v>
      </x:c>
      <x:c r="M979" t="n">
        <x:v>0</x:v>
      </x:c>
      <x:c r="N979" t="str">
        <x:v>Approved</x:v>
      </x:c>
      <x:c r="O979" t="n">
        <x:v>0</x:v>
      </x:c>
      <x:c r="P979" t="str">
        <x:f>IF(L979&gt;=75,"High",IF(L979&gt;=55,"Medium","Low"))</x:f>
        <x:v>Low</x:v>
      </x:c>
    </x:row>
    <x:row r="980">
      <x:c r="A980" t="n">
        <x:v>979</x:v>
      </x:c>
      <x:c r="B980" t="n">
        <x:v>10146</x:v>
      </x:c>
      <x:c r="C980" s="16" t="n">
        <x:v>46197</x:v>
      </x:c>
      <x:c r="D980" t="str">
        <x:v>19:41:00</x:v>
      </x:c>
      <x:c r="E980" t="str">
        <x:v>Bank Transfer</x:v>
      </x:c>
      <x:c r="F980" t="str">
        <x:v>Travel</x:v>
      </x:c>
      <x:c r="G980" s="18" t="n">
        <x:v>21.44</x:v>
      </x:c>
      <x:c r="H980" t="n">
        <x:v>1</x:v>
      </x:c>
      <x:c r="I980" t="n">
        <x:v>0</x:v>
      </x:c>
      <x:c r="J980" t="n">
        <x:v>0</x:v>
      </x:c>
      <x:c r="K980" t="n">
        <x:v>0</x:v>
      </x:c>
      <x:c r="L980" t="n">
        <x:v>36</x:v>
      </x:c>
      <x:c r="M980" t="n">
        <x:v>0</x:v>
      </x:c>
      <x:c r="N980" t="str">
        <x:v>Approved</x:v>
      </x:c>
      <x:c r="O980" t="n">
        <x:v>0</x:v>
      </x:c>
      <x:c r="P980" t="str">
        <x:f>IF(L980&gt;=75,"High",IF(L980&gt;=55,"Medium","Low"))</x:f>
        <x:v>Low</x:v>
      </x:c>
    </x:row>
    <x:row r="981">
      <x:c r="A981" t="n">
        <x:v>980</x:v>
      </x:c>
      <x:c r="B981" t="n">
        <x:v>10223</x:v>
      </x:c>
      <x:c r="C981" s="16" t="n">
        <x:v>46236</x:v>
      </x:c>
      <x:c r="D981" t="str">
        <x:v>04:09:00</x:v>
      </x:c>
      <x:c r="E981" t="str">
        <x:v>Card</x:v>
      </x:c>
      <x:c r="F981" t="str">
        <x:v>Travel</x:v>
      </x:c>
      <x:c r="G981" s="18" t="n">
        <x:v>133.23</x:v>
      </x:c>
      <x:c r="H981" t="n">
        <x:v>0</x:v>
      </x:c>
      <x:c r="I981" t="n">
        <x:v>0</x:v>
      </x:c>
      <x:c r="J981" t="n">
        <x:v>0</x:v>
      </x:c>
      <x:c r="K981" t="n">
        <x:v>1</x:v>
      </x:c>
      <x:c r="L981" t="n">
        <x:v>25</x:v>
      </x:c>
      <x:c r="M981" t="n">
        <x:v>0</x:v>
      </x:c>
      <x:c r="N981" t="str">
        <x:v>Approved</x:v>
      </x:c>
      <x:c r="O981" t="n">
        <x:v>0</x:v>
      </x:c>
      <x:c r="P981" t="str">
        <x:f>IF(L981&gt;=75,"High",IF(L981&gt;=55,"Medium","Low"))</x:f>
        <x:v>Low</x:v>
      </x:c>
    </x:row>
    <x:row r="982">
      <x:c r="A982" t="n">
        <x:v>981</x:v>
      </x:c>
      <x:c r="B982" t="n">
        <x:v>10045</x:v>
      </x:c>
      <x:c r="C982" s="16" t="n">
        <x:v>46182</x:v>
      </x:c>
      <x:c r="D982" t="str">
        <x:v>01:15:00</x:v>
      </x:c>
      <x:c r="E982" t="str">
        <x:v>Bank Transfer</x:v>
      </x:c>
      <x:c r="F982" t="str">
        <x:v>Subscriptions</x:v>
      </x:c>
      <x:c r="G982" s="18" t="n">
        <x:v>204.83</x:v>
      </x:c>
      <x:c r="H982" t="n">
        <x:v>0</x:v>
      </x:c>
      <x:c r="I982" t="n">
        <x:v>0</x:v>
      </x:c>
      <x:c r="J982" t="n">
        <x:v>0</x:v>
      </x:c>
      <x:c r="K982" t="n">
        <x:v>1</x:v>
      </x:c>
      <x:c r="L982" t="n">
        <x:v>25</x:v>
      </x:c>
      <x:c r="M982" t="n">
        <x:v>0</x:v>
      </x:c>
      <x:c r="N982" t="str">
        <x:v>Approved</x:v>
      </x:c>
      <x:c r="O982" t="n">
        <x:v>0</x:v>
      </x:c>
      <x:c r="P982" t="str">
        <x:f>IF(L982&gt;=75,"High",IF(L982&gt;=55,"Medium","Low"))</x:f>
        <x:v>Low</x:v>
      </x:c>
    </x:row>
    <x:row r="983">
      <x:c r="A983" t="n">
        <x:v>982</x:v>
      </x:c>
      <x:c r="B983" t="n">
        <x:v>10267</x:v>
      </x:c>
      <x:c r="C983" s="16" t="n">
        <x:v>46200</x:v>
      </x:c>
      <x:c r="D983" t="str">
        <x:v>05:03:00</x:v>
      </x:c>
      <x:c r="E983" t="str">
        <x:v>Card</x:v>
      </x:c>
      <x:c r="F983" t="str">
        <x:v>Utilities</x:v>
      </x:c>
      <x:c r="G983" s="18" t="n">
        <x:v>73.75</x:v>
      </x:c>
      <x:c r="H983" t="n">
        <x:v>0</x:v>
      </x:c>
      <x:c r="I983" t="n">
        <x:v>0</x:v>
      </x:c>
      <x:c r="J983" t="n">
        <x:v>0</x:v>
      </x:c>
      <x:c r="K983" t="n">
        <x:v>0</x:v>
      </x:c>
      <x:c r="L983" t="n">
        <x:v>10</x:v>
      </x:c>
      <x:c r="M983" t="n">
        <x:v>0</x:v>
      </x:c>
      <x:c r="N983" t="str">
        <x:v>Approved</x:v>
      </x:c>
      <x:c r="O983" t="n">
        <x:v>0</x:v>
      </x:c>
      <x:c r="P983" t="str">
        <x:f>IF(L983&gt;=75,"High",IF(L983&gt;=55,"Medium","Low"))</x:f>
        <x:v>Low</x:v>
      </x:c>
    </x:row>
    <x:row r="984">
      <x:c r="A984" t="n">
        <x:v>983</x:v>
      </x:c>
      <x:c r="B984" t="n">
        <x:v>10134</x:v>
      </x:c>
      <x:c r="C984" s="16" t="n">
        <x:v>46239</x:v>
      </x:c>
      <x:c r="D984" t="str">
        <x:v>09:29:00</x:v>
      </x:c>
      <x:c r="E984" t="str">
        <x:v>Card</x:v>
      </x:c>
      <x:c r="F984" t="str">
        <x:v>Utilities</x:v>
      </x:c>
      <x:c r="G984" s="18" t="n">
        <x:v>16.26</x:v>
      </x:c>
      <x:c r="H984" t="n">
        <x:v>0</x:v>
      </x:c>
      <x:c r="I984" t="n">
        <x:v>0</x:v>
      </x:c>
      <x:c r="J984" t="n">
        <x:v>0</x:v>
      </x:c>
      <x:c r="K984" t="n">
        <x:v>0</x:v>
      </x:c>
      <x:c r="L984" t="n">
        <x:v>10</x:v>
      </x:c>
      <x:c r="M984" t="n">
        <x:v>0</x:v>
      </x:c>
      <x:c r="N984" t="str">
        <x:v>Approved</x:v>
      </x:c>
      <x:c r="O984" t="n">
        <x:v>0</x:v>
      </x:c>
      <x:c r="P984" t="str">
        <x:f>IF(L984&gt;=75,"High",IF(L984&gt;=55,"Medium","Low"))</x:f>
        <x:v>Low</x:v>
      </x:c>
    </x:row>
    <x:row r="985">
      <x:c r="A985" t="n">
        <x:v>984</x:v>
      </x:c>
      <x:c r="B985" t="n">
        <x:v>10325</x:v>
      </x:c>
      <x:c r="C985" s="16" t="n">
        <x:v>46137</x:v>
      </x:c>
      <x:c r="D985" t="str">
        <x:v>21:28:00</x:v>
      </x:c>
      <x:c r="E985" t="str">
        <x:v>Bank Transfer</x:v>
      </x:c>
      <x:c r="F985" t="str">
        <x:v>Subscriptions</x:v>
      </x:c>
      <x:c r="G985" s="18" t="n">
        <x:v>62.56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10</x:v>
      </x:c>
      <x:c r="M985" t="n">
        <x:v>0</x:v>
      </x:c>
      <x:c r="N985" t="str">
        <x:v>Approved</x:v>
      </x:c>
      <x:c r="O985" t="n">
        <x:v>0</x:v>
      </x:c>
      <x:c r="P985" t="str">
        <x:f>IF(L985&gt;=75,"High",IF(L985&gt;=55,"Medium","Low"))</x:f>
        <x:v>Low</x:v>
      </x:c>
    </x:row>
    <x:row r="986">
      <x:c r="A986" t="n">
        <x:v>985</x:v>
      </x:c>
      <x:c r="B986" t="n">
        <x:v>10289</x:v>
      </x:c>
      <x:c r="C986" s="16" t="n">
        <x:v>46173</x:v>
      </x:c>
      <x:c r="D986" t="str">
        <x:v>11:53:00</x:v>
      </x:c>
      <x:c r="E986" t="str">
        <x:v>Card</x:v>
      </x:c>
      <x:c r="F986" t="str">
        <x:v>Retail</x:v>
      </x:c>
      <x:c r="G986" s="18" t="n">
        <x:v>118.5</x:v>
      </x:c>
      <x:c r="H986" t="n">
        <x:v>0</x:v>
      </x:c>
      <x:c r="I986" t="n">
        <x:v>1</x:v>
      </x:c>
      <x:c r="J986" t="n">
        <x:v>0</x:v>
      </x:c>
      <x:c r="K986" t="n">
        <x:v>0</x:v>
      </x:c>
      <x:c r="L986" t="n">
        <x:v>30</x:v>
      </x:c>
      <x:c r="M986" t="n">
        <x:v>0</x:v>
      </x:c>
      <x:c r="N986" t="str">
        <x:v>Approved</x:v>
      </x:c>
      <x:c r="O986" t="n">
        <x:v>0</x:v>
      </x:c>
      <x:c r="P986" t="str">
        <x:f>IF(L986&gt;=75,"High",IF(L986&gt;=55,"Medium","Low"))</x:f>
        <x:v>Low</x:v>
      </x:c>
    </x:row>
    <x:row r="987">
      <x:c r="A987" t="n">
        <x:v>986</x:v>
      </x:c>
      <x:c r="B987" t="n">
        <x:v>10212</x:v>
      </x:c>
      <x:c r="C987" s="16" t="n">
        <x:v>46295</x:v>
      </x:c>
      <x:c r="D987" t="str">
        <x:v>12:37:00</x:v>
      </x:c>
      <x:c r="E987" t="str">
        <x:v>Card</x:v>
      </x:c>
      <x:c r="F987" t="str">
        <x:v>Utilities</x:v>
      </x:c>
      <x:c r="G987" s="18" t="n">
        <x:v>200.48</x:v>
      </x:c>
      <x:c r="H987" t="n">
        <x:v>0</x:v>
      </x:c>
      <x:c r="I987" t="n">
        <x:v>0</x:v>
      </x:c>
      <x:c r="J987" t="n">
        <x:v>0</x:v>
      </x:c>
      <x:c r="K987" t="n">
        <x:v>0</x:v>
      </x:c>
      <x:c r="L987" t="n">
        <x:v>10</x:v>
      </x:c>
      <x:c r="M987" t="n">
        <x:v>0</x:v>
      </x:c>
      <x:c r="N987" t="str">
        <x:v>Approved</x:v>
      </x:c>
      <x:c r="O987" t="n">
        <x:v>0</x:v>
      </x:c>
      <x:c r="P987" t="str">
        <x:f>IF(L987&gt;=75,"High",IF(L987&gt;=55,"Medium","Low"))</x:f>
        <x:v>Low</x:v>
      </x:c>
    </x:row>
    <x:row r="988">
      <x:c r="A988" t="n">
        <x:v>987</x:v>
      </x:c>
      <x:c r="B988" t="n">
        <x:v>10097</x:v>
      </x:c>
      <x:c r="C988" s="16" t="n">
        <x:v>46174</x:v>
      </x:c>
      <x:c r="D988" t="str">
        <x:v>13:50:00</x:v>
      </x:c>
      <x:c r="E988" t="str">
        <x:v>Card</x:v>
      </x:c>
      <x:c r="F988" t="str">
        <x:v>Electronics</x:v>
      </x:c>
      <x:c r="G988" s="18" t="n">
        <x:v>377.79</x:v>
      </x:c>
      <x:c r="H988" t="n">
        <x:v>0</x:v>
      </x:c>
      <x:c r="I988" t="n">
        <x:v>0</x:v>
      </x:c>
      <x:c r="J988" t="n">
        <x:v>0</x:v>
      </x:c>
      <x:c r="K988" t="n">
        <x:v>0</x:v>
      </x:c>
      <x:c r="L988" t="n">
        <x:v>10</x:v>
      </x:c>
      <x:c r="M988" t="n">
        <x:v>0</x:v>
      </x:c>
      <x:c r="N988" t="str">
        <x:v>Declined</x:v>
      </x:c>
      <x:c r="O988" t="n">
        <x:v>0</x:v>
      </x:c>
      <x:c r="P988" t="str">
        <x:f>IF(L988&gt;=75,"High",IF(L988&gt;=55,"Medium","Low"))</x:f>
        <x:v>Low</x:v>
      </x:c>
    </x:row>
    <x:row r="989">
      <x:c r="A989" t="n">
        <x:v>988</x:v>
      </x:c>
      <x:c r="B989" t="n">
        <x:v>10121</x:v>
      </x:c>
      <x:c r="C989" s="16" t="n">
        <x:v>46160</x:v>
      </x:c>
      <x:c r="D989" t="str">
        <x:v>12:25:00</x:v>
      </x:c>
      <x:c r="E989" t="str">
        <x:v>Bank Transfer</x:v>
      </x:c>
      <x:c r="F989" t="str">
        <x:v>Electronics</x:v>
      </x:c>
      <x:c r="G989" s="18" t="n">
        <x:v>97.78</x:v>
      </x:c>
      <x:c r="H989" t="n">
        <x:v>0</x:v>
      </x:c>
      <x:c r="I989" t="n">
        <x:v>0</x:v>
      </x:c>
      <x:c r="J989" t="n">
        <x:v>0</x:v>
      </x:c>
      <x:c r="K989" t="n">
        <x:v>0</x:v>
      </x:c>
      <x:c r="L989" t="n">
        <x:v>10</x:v>
      </x:c>
      <x:c r="M989" t="n">
        <x:v>0</x:v>
      </x:c>
      <x:c r="N989" t="str">
        <x:v>Approved</x:v>
      </x:c>
      <x:c r="O989" t="n">
        <x:v>0</x:v>
      </x:c>
      <x:c r="P989" t="str">
        <x:f>IF(L989&gt;=75,"High",IF(L989&gt;=55,"Medium","Low"))</x:f>
        <x:v>Low</x:v>
      </x:c>
    </x:row>
    <x:row r="990">
      <x:c r="A990" t="n">
        <x:v>989</x:v>
      </x:c>
      <x:c r="B990" t="n">
        <x:v>10209</x:v>
      </x:c>
      <x:c r="C990" s="16" t="n">
        <x:v>46117</x:v>
      </x:c>
      <x:c r="D990" t="str">
        <x:v>00:24:00</x:v>
      </x:c>
      <x:c r="E990" t="str">
        <x:v>Card</x:v>
      </x:c>
      <x:c r="F990" t="str">
        <x:v>Travel</x:v>
      </x:c>
      <x:c r="G990" s="18" t="n">
        <x:v>144.21</x:v>
      </x:c>
      <x:c r="H990" t="n">
        <x:v>0</x:v>
      </x:c>
      <x:c r="I990" t="n">
        <x:v>0</x:v>
      </x:c>
      <x:c r="J990" t="n">
        <x:v>0</x:v>
      </x:c>
      <x:c r="K990" t="n">
        <x:v>1</x:v>
      </x:c>
      <x:c r="L990" t="n">
        <x:v>25</x:v>
      </x:c>
      <x:c r="M990" t="n">
        <x:v>0</x:v>
      </x:c>
      <x:c r="N990" t="str">
        <x:v>Declined</x:v>
      </x:c>
      <x:c r="O990" t="n">
        <x:v>0</x:v>
      </x:c>
      <x:c r="P990" t="str">
        <x:f>IF(L990&gt;=75,"High",IF(L990&gt;=55,"Medium","Low"))</x:f>
        <x:v>Low</x:v>
      </x:c>
    </x:row>
    <x:row r="991">
      <x:c r="A991" t="n">
        <x:v>990</x:v>
      </x:c>
      <x:c r="B991" t="n">
        <x:v>10134</x:v>
      </x:c>
      <x:c r="C991" s="16" t="n">
        <x:v>46275</x:v>
      </x:c>
      <x:c r="D991" t="str">
        <x:v>14:56:00</x:v>
      </x:c>
      <x:c r="E991" t="str">
        <x:v>Card</x:v>
      </x:c>
      <x:c r="F991" t="str">
        <x:v>Travel</x:v>
      </x:c>
      <x:c r="G991" s="18" t="n">
        <x:v>415.69</x:v>
      </x:c>
      <x:c r="H991" t="n">
        <x:v>1</x:v>
      </x:c>
      <x:c r="I991" t="n">
        <x:v>1</x:v>
      </x:c>
      <x:c r="J991" t="n">
        <x:v>0</x:v>
      </x:c>
      <x:c r="K991" t="n">
        <x:v>0</x:v>
      </x:c>
      <x:c r="L991" t="n">
        <x:v>56</x:v>
      </x:c>
      <x:c r="M991" t="n">
        <x:v>1</x:v>
      </x:c>
      <x:c r="N991" t="str">
        <x:v>Approved</x:v>
      </x:c>
      <x:c r="O991" t="n">
        <x:v>0</x:v>
      </x:c>
      <x:c r="P991" t="str">
        <x:f>IF(L991&gt;=75,"High",IF(L991&gt;=55,"Medium","Low"))</x:f>
        <x:v>Medium</x:v>
      </x:c>
    </x:row>
    <x:row r="992">
      <x:c r="A992" t="n">
        <x:v>991</x:v>
      </x:c>
      <x:c r="B992" t="n">
        <x:v>10175</x:v>
      </x:c>
      <x:c r="C992" s="16" t="n">
        <x:v>46184</x:v>
      </x:c>
      <x:c r="D992" t="str">
        <x:v>04:33:00</x:v>
      </x:c>
      <x:c r="E992" t="str">
        <x:v>Card</x:v>
      </x:c>
      <x:c r="F992" t="str">
        <x:v>Utilities</x:v>
      </x:c>
      <x:c r="G992" s="18" t="n">
        <x:v>26.89</x:v>
      </x:c>
      <x:c r="H992" t="n">
        <x:v>0</x:v>
      </x:c>
      <x:c r="I992" t="n">
        <x:v>0</x:v>
      </x:c>
      <x:c r="J992" t="n">
        <x:v>0</x:v>
      </x:c>
      <x:c r="K992" t="n">
        <x:v>1</x:v>
      </x:c>
      <x:c r="L992" t="n">
        <x:v>25</x:v>
      </x:c>
      <x:c r="M992" t="n">
        <x:v>0</x:v>
      </x:c>
      <x:c r="N992" t="str">
        <x:v>Declined</x:v>
      </x:c>
      <x:c r="O992" t="n">
        <x:v>0</x:v>
      </x:c>
      <x:c r="P992" t="str">
        <x:f>IF(L992&gt;=75,"High",IF(L992&gt;=55,"Medium","Low"))</x:f>
        <x:v>Low</x:v>
      </x:c>
    </x:row>
    <x:row r="993">
      <x:c r="A993" t="n">
        <x:v>992</x:v>
      </x:c>
      <x:c r="B993" t="n">
        <x:v>10259</x:v>
      </x:c>
      <x:c r="C993" s="16" t="n">
        <x:v>46219</x:v>
      </x:c>
      <x:c r="D993" t="str">
        <x:v>23:16:00</x:v>
      </x:c>
      <x:c r="E993" t="str">
        <x:v>P2P</x:v>
      </x:c>
      <x:c r="F993" t="str">
        <x:v>Subscriptions</x:v>
      </x:c>
      <x:c r="G993" s="18" t="n">
        <x:v>265.12</x:v>
      </x:c>
      <x:c r="H993" t="n">
        <x:v>0</x:v>
      </x:c>
      <x:c r="I993" t="n">
        <x:v>0</x:v>
      </x:c>
      <x:c r="J993" t="n">
        <x:v>0</x:v>
      </x:c>
      <x:c r="K993" t="n">
        <x:v>0</x:v>
      </x:c>
      <x:c r="L993" t="n">
        <x:v>10</x:v>
      </x:c>
      <x:c r="M993" t="n">
        <x:v>0</x:v>
      </x:c>
      <x:c r="N993" t="str">
        <x:v>Approved</x:v>
      </x:c>
      <x:c r="O993" t="n">
        <x:v>0</x:v>
      </x:c>
      <x:c r="P993" t="str">
        <x:f>IF(L993&gt;=75,"High",IF(L993&gt;=55,"Medium","Low"))</x:f>
        <x:v>Low</x:v>
      </x:c>
    </x:row>
    <x:row r="994">
      <x:c r="A994" t="n">
        <x:v>993</x:v>
      </x:c>
      <x:c r="B994" t="n">
        <x:v>10254</x:v>
      </x:c>
      <x:c r="C994" s="16" t="n">
        <x:v>46260</x:v>
      </x:c>
      <x:c r="D994" t="str">
        <x:v>07:26:00</x:v>
      </x:c>
      <x:c r="E994" t="str">
        <x:v>Card</x:v>
      </x:c>
      <x:c r="F994" t="str">
        <x:v>Travel</x:v>
      </x:c>
      <x:c r="G994" s="18" t="n">
        <x:v>39.38</x:v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n">
        <x:v>10</x:v>
      </x:c>
      <x:c r="M994" t="n">
        <x:v>0</x:v>
      </x:c>
      <x:c r="N994" t="str">
        <x:v>Approved</x:v>
      </x:c>
      <x:c r="O994" t="n">
        <x:v>0</x:v>
      </x:c>
      <x:c r="P994" t="str">
        <x:f>IF(L994&gt;=75,"High",IF(L994&gt;=55,"Medium","Low"))</x:f>
        <x:v>Low</x:v>
      </x:c>
    </x:row>
    <x:row r="995">
      <x:c r="A995" t="n">
        <x:v>994</x:v>
      </x:c>
      <x:c r="B995" t="n">
        <x:v>10155</x:v>
      </x:c>
      <x:c r="C995" s="16" t="n">
        <x:v>46268</x:v>
      </x:c>
      <x:c r="D995" t="str">
        <x:v>14:25:00</x:v>
      </x:c>
      <x:c r="E995" t="str">
        <x:v>Card</x:v>
      </x:c>
      <x:c r="F995" t="str">
        <x:v>Utilities</x:v>
      </x:c>
      <x:c r="G995" s="18" t="n">
        <x:v>33.19</x:v>
      </x:c>
      <x:c r="H995" t="n">
        <x:v>0</x:v>
      </x:c>
      <x:c r="I995" t="n">
        <x:v>0</x:v>
      </x:c>
      <x:c r="J995" t="n">
        <x:v>0</x:v>
      </x:c>
      <x:c r="K995" t="n">
        <x:v>0</x:v>
      </x:c>
      <x:c r="L995" t="n">
        <x:v>10</x:v>
      </x:c>
      <x:c r="M995" t="n">
        <x:v>0</x:v>
      </x:c>
      <x:c r="N995" t="str">
        <x:v>Approved</x:v>
      </x:c>
      <x:c r="O995" t="n">
        <x:v>0</x:v>
      </x:c>
      <x:c r="P995" t="str">
        <x:f>IF(L995&gt;=75,"High",IF(L995&gt;=55,"Medium","Low"))</x:f>
        <x:v>Low</x:v>
      </x:c>
    </x:row>
    <x:row r="996">
      <x:c r="A996" t="n">
        <x:v>995</x:v>
      </x:c>
      <x:c r="B996" t="n">
        <x:v>10097</x:v>
      </x:c>
      <x:c r="C996" s="16" t="n">
        <x:v>46266</x:v>
      </x:c>
      <x:c r="D996" t="str">
        <x:v>18:39:00</x:v>
      </x:c>
      <x:c r="E996" t="str">
        <x:v>P2P</x:v>
      </x:c>
      <x:c r="F996" t="str">
        <x:v>Electronics</x:v>
      </x:c>
      <x:c r="G996" s="18" t="n">
        <x:v>131.05</x:v>
      </x:c>
      <x:c r="H996" t="n">
        <x:v>0</x:v>
      </x:c>
      <x:c r="I996" t="n">
        <x:v>0</x:v>
      </x:c>
      <x:c r="J996" t="n">
        <x:v>0</x:v>
      </x:c>
      <x:c r="K996" t="n">
        <x:v>0</x:v>
      </x:c>
      <x:c r="L996" t="n">
        <x:v>10</x:v>
      </x:c>
      <x:c r="M996" t="n">
        <x:v>0</x:v>
      </x:c>
      <x:c r="N996" t="str">
        <x:v>Approved</x:v>
      </x:c>
      <x:c r="O996" t="n">
        <x:v>0</x:v>
      </x:c>
      <x:c r="P996" t="str">
        <x:f>IF(L996&gt;=75,"High",IF(L996&gt;=55,"Medium","Low"))</x:f>
        <x:v>Low</x:v>
      </x:c>
    </x:row>
    <x:row r="997">
      <x:c r="A997" t="n">
        <x:v>996</x:v>
      </x:c>
      <x:c r="B997" t="n">
        <x:v>10317</x:v>
      </x:c>
      <x:c r="C997" s="16" t="n">
        <x:v>46190</x:v>
      </x:c>
      <x:c r="D997" t="str">
        <x:v>11:17:00</x:v>
      </x:c>
      <x:c r="E997" t="str">
        <x:v>Bank Transfer</x:v>
      </x:c>
      <x:c r="F997" t="str">
        <x:v>Retail</x:v>
      </x:c>
      <x:c r="G997" s="18" t="n">
        <x:v>93.27</x:v>
      </x:c>
      <x:c r="H997" t="n">
        <x:v>0</x:v>
      </x:c>
      <x:c r="I997" t="n">
        <x:v>0</x:v>
      </x:c>
      <x:c r="J997" t="n">
        <x:v>0</x:v>
      </x:c>
      <x:c r="K997" t="n">
        <x:v>0</x:v>
      </x:c>
      <x:c r="L997" t="n">
        <x:v>10</x:v>
      </x:c>
      <x:c r="M997" t="n">
        <x:v>0</x:v>
      </x:c>
      <x:c r="N997" t="str">
        <x:v>Approved</x:v>
      </x:c>
      <x:c r="O997" t="n">
        <x:v>0</x:v>
      </x:c>
      <x:c r="P997" t="str">
        <x:f>IF(L997&gt;=75,"High",IF(L997&gt;=55,"Medium","Low"))</x:f>
        <x:v>Low</x:v>
      </x:c>
    </x:row>
    <x:row r="998">
      <x:c r="A998" t="n">
        <x:v>997</x:v>
      </x:c>
      <x:c r="B998" t="n">
        <x:v>10054</x:v>
      </x:c>
      <x:c r="C998" s="16" t="n">
        <x:v>46142</x:v>
      </x:c>
      <x:c r="D998" t="str">
        <x:v>15:23:00</x:v>
      </x:c>
      <x:c r="E998" t="str">
        <x:v>Card</x:v>
      </x:c>
      <x:c r="F998" t="str">
        <x:v>Retail</x:v>
      </x:c>
      <x:c r="G998" s="18" t="n">
        <x:v>51.34</x:v>
      </x:c>
      <x:c r="H998" t="n">
        <x:v>1</x:v>
      </x:c>
      <x:c r="I998" t="n">
        <x:v>0</x:v>
      </x:c>
      <x:c r="J998" t="n">
        <x:v>0</x:v>
      </x:c>
      <x:c r="K998" t="n">
        <x:v>0</x:v>
      </x:c>
      <x:c r="L998" t="n">
        <x:v>36</x:v>
      </x:c>
      <x:c r="M998" t="n">
        <x:v>0</x:v>
      </x:c>
      <x:c r="N998" t="str">
        <x:v>Approved</x:v>
      </x:c>
      <x:c r="O998" t="n">
        <x:v>0</x:v>
      </x:c>
      <x:c r="P998" t="str">
        <x:f>IF(L998&gt;=75,"High",IF(L998&gt;=55,"Medium","Low"))</x:f>
        <x:v>Low</x:v>
      </x:c>
    </x:row>
    <x:row r="999">
      <x:c r="A999" t="n">
        <x:v>998</x:v>
      </x:c>
      <x:c r="B999" t="n">
        <x:v>10264</x:v>
      </x:c>
      <x:c r="C999" s="16" t="n">
        <x:v>46120</x:v>
      </x:c>
      <x:c r="D999" t="str">
        <x:v>06:51:00</x:v>
      </x:c>
      <x:c r="E999" t="str">
        <x:v>Card</x:v>
      </x:c>
      <x:c r="F999" t="str">
        <x:v>Electronics</x:v>
      </x:c>
      <x:c r="G999" s="18" t="n">
        <x:v>75.81</x:v>
      </x:c>
      <x:c r="H999" t="n">
        <x:v>0</x:v>
      </x:c>
      <x:c r="I999" t="n">
        <x:v>0</x:v>
      </x:c>
      <x:c r="J999" t="n">
        <x:v>0</x:v>
      </x:c>
      <x:c r="K999" t="n">
        <x:v>0</x:v>
      </x:c>
      <x:c r="L999" t="n">
        <x:v>10</x:v>
      </x:c>
      <x:c r="M999" t="n">
        <x:v>0</x:v>
      </x:c>
      <x:c r="N999" t="str">
        <x:v>Approved</x:v>
      </x:c>
      <x:c r="O999" t="n">
        <x:v>0</x:v>
      </x:c>
      <x:c r="P999" t="str">
        <x:f>IF(L999&gt;=75,"High",IF(L999&gt;=55,"Medium","Low"))</x:f>
        <x:v>Low</x:v>
      </x:c>
    </x:row>
    <x:row r="1000">
      <x:c r="A1000" t="n">
        <x:v>999</x:v>
      </x:c>
      <x:c r="B1000" t="n">
        <x:v>10081</x:v>
      </x:c>
      <x:c r="C1000" s="16" t="n">
        <x:v>46264</x:v>
      </x:c>
      <x:c r="D1000" t="str">
        <x:v>18:55:00</x:v>
      </x:c>
      <x:c r="E1000" t="str">
        <x:v>Card</x:v>
      </x:c>
      <x:c r="F1000" t="str">
        <x:v>Subscriptions</x:v>
      </x:c>
      <x:c r="G1000" s="18" t="n">
        <x:v>212.92</x:v>
      </x:c>
      <x:c r="H1000" t="n">
        <x:v>0</x:v>
      </x:c>
      <x:c r="I1000" t="n">
        <x:v>0</x:v>
      </x:c>
      <x:c r="J1000" t="n">
        <x:v>0</x:v>
      </x:c>
      <x:c r="K1000" t="n">
        <x:v>0</x:v>
      </x:c>
      <x:c r="L1000" t="n">
        <x:v>10</x:v>
      </x:c>
      <x:c r="M1000" t="n">
        <x:v>0</x:v>
      </x:c>
      <x:c r="N1000" t="str">
        <x:v>Approved</x:v>
      </x:c>
      <x:c r="O1000" t="n">
        <x:v>0</x:v>
      </x:c>
      <x:c r="P1000" t="str">
        <x:f>IF(L1000&gt;=75,"High",IF(L1000&gt;=55,"Medium","Low"))</x:f>
        <x:v>Low</x:v>
      </x:c>
    </x:row>
    <x:row r="1001">
      <x:c r="A1001" t="n">
        <x:v>1000</x:v>
      </x:c>
      <x:c r="B1001" t="n">
        <x:v>10080</x:v>
      </x:c>
      <x:c r="C1001" s="16" t="n">
        <x:v>46262</x:v>
      </x:c>
      <x:c r="D1001" t="str">
        <x:v>20:40:00</x:v>
      </x:c>
      <x:c r="E1001" t="str">
        <x:v>P2P</x:v>
      </x:c>
      <x:c r="F1001" t="str">
        <x:v>Retail</x:v>
      </x:c>
      <x:c r="G1001" s="18" t="n">
        <x:v>116.93</x:v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n">
        <x:v>10</x:v>
      </x:c>
      <x:c r="M1001" t="n">
        <x:v>0</x:v>
      </x:c>
      <x:c r="N1001" t="str">
        <x:v>Approved</x:v>
      </x:c>
      <x:c r="O1001" t="n">
        <x:v>0</x:v>
      </x:c>
      <x:c r="P1001" t="str">
        <x:f>IF(L1001&gt;=75,"High",IF(L1001&gt;=55,"Medium","Low"))</x:f>
        <x:v>Low</x:v>
      </x:c>
    </x:row>
    <x:row r="1002">
      <x:c r="A1002" t="n">
        <x:v>1001</x:v>
      </x:c>
      <x:c r="B1002" t="n">
        <x:v>10173</x:v>
      </x:c>
      <x:c r="C1002" s="16" t="n">
        <x:v>46252</x:v>
      </x:c>
      <x:c r="D1002" t="str">
        <x:v>16:41:00</x:v>
      </x:c>
      <x:c r="E1002" t="str">
        <x:v>P2P</x:v>
      </x:c>
      <x:c r="F1002" t="str">
        <x:v>Transfer</x:v>
      </x:c>
      <x:c r="G1002" s="18" t="n">
        <x:v>129.57</x:v>
      </x:c>
      <x:c r="H1002" t="n">
        <x:v>0</x:v>
      </x:c>
      <x:c r="I1002" t="n">
        <x:v>1</x:v>
      </x:c>
      <x:c r="J1002" t="n">
        <x:v>0</x:v>
      </x:c>
      <x:c r="K1002" t="n">
        <x:v>0</x:v>
      </x:c>
      <x:c r="L1002" t="n">
        <x:v>30</x:v>
      </x:c>
      <x:c r="M1002" t="n">
        <x:v>0</x:v>
      </x:c>
      <x:c r="N1002" t="str">
        <x:v>Approved</x:v>
      </x:c>
      <x:c r="O1002" t="n">
        <x:v>0</x:v>
      </x:c>
      <x:c r="P1002" t="str">
        <x:f>IF(L1002&gt;=75,"High",IF(L1002&gt;=55,"Medium","Low"))</x:f>
        <x:v>Low</x:v>
      </x:c>
    </x:row>
    <x:row r="1003">
      <x:c r="A1003" t="n">
        <x:v>1002</x:v>
      </x:c>
      <x:c r="B1003" t="n">
        <x:v>10105</x:v>
      </x:c>
      <x:c r="C1003" s="16" t="n">
        <x:v>46284</x:v>
      </x:c>
      <x:c r="D1003" t="str">
        <x:v>21:56:00</x:v>
      </x:c>
      <x:c r="E1003" t="str">
        <x:v>Card</x:v>
      </x:c>
      <x:c r="F1003" t="str">
        <x:v>Retail</x:v>
      </x:c>
      <x:c r="G1003" s="18" t="n">
        <x:v>82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10</x:v>
      </x:c>
      <x:c r="M1003" t="n">
        <x:v>0</x:v>
      </x:c>
      <x:c r="N1003" t="str">
        <x:v>Approved</x:v>
      </x:c>
      <x:c r="O1003" t="n">
        <x:v>0</x:v>
      </x:c>
      <x:c r="P1003" t="str">
        <x:f>IF(L1003&gt;=75,"High",IF(L1003&gt;=55,"Medium","Low"))</x:f>
        <x:v>Low</x:v>
      </x:c>
    </x:row>
    <x:row r="1004">
      <x:c r="A1004" t="n">
        <x:v>1003</x:v>
      </x:c>
      <x:c r="B1004" t="n">
        <x:v>10174</x:v>
      </x:c>
      <x:c r="C1004" s="16" t="n">
        <x:v>46237</x:v>
      </x:c>
      <x:c r="D1004" t="str">
        <x:v>21:41:00</x:v>
      </x:c>
      <x:c r="E1004" t="str">
        <x:v>Card</x:v>
      </x:c>
      <x:c r="F1004" t="str">
        <x:v>Electronics</x:v>
      </x:c>
      <x:c r="G1004" s="18" t="n">
        <x:v>157.56</x:v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n">
        <x:v>10</x:v>
      </x:c>
      <x:c r="M1004" t="n">
        <x:v>0</x:v>
      </x:c>
      <x:c r="N1004" t="str">
        <x:v>Approved</x:v>
      </x:c>
      <x:c r="O1004" t="n">
        <x:v>0</x:v>
      </x:c>
      <x:c r="P1004" t="str">
        <x:f>IF(L1004&gt;=75,"High",IF(L1004&gt;=55,"Medium","Low"))</x:f>
        <x:v>Low</x:v>
      </x:c>
    </x:row>
    <x:row r="1005">
      <x:c r="A1005" t="n">
        <x:v>1004</x:v>
      </x:c>
      <x:c r="B1005" t="n">
        <x:v>10091</x:v>
      </x:c>
      <x:c r="C1005" s="16" t="n">
        <x:v>46169</x:v>
      </x:c>
      <x:c r="D1005" t="str">
        <x:v>07:20:00</x:v>
      </x:c>
      <x:c r="E1005" t="str">
        <x:v>Card</x:v>
      </x:c>
      <x:c r="F1005" t="str">
        <x:v>Dining</x:v>
      </x:c>
      <x:c r="G1005" s="18" t="n">
        <x:v>484.28</x:v>
      </x:c>
      <x:c r="H1005" t="n">
        <x:v>0</x:v>
      </x:c>
      <x:c r="I1005" t="n">
        <x:v>1</x:v>
      </x:c>
      <x:c r="J1005" t="n">
        <x:v>0</x:v>
      </x:c>
      <x:c r="K1005" t="n">
        <x:v>0</x:v>
      </x:c>
      <x:c r="L1005" t="n">
        <x:v>30</x:v>
      </x:c>
      <x:c r="M1005" t="n">
        <x:v>0</x:v>
      </x:c>
      <x:c r="N1005" t="str">
        <x:v>Approved</x:v>
      </x:c>
      <x:c r="O1005" t="n">
        <x:v>0</x:v>
      </x:c>
      <x:c r="P1005" t="str">
        <x:f>IF(L1005&gt;=75,"High",IF(L1005&gt;=55,"Medium","Low"))</x:f>
        <x:v>Low</x:v>
      </x:c>
    </x:row>
    <x:row r="1006">
      <x:c r="A1006" t="n">
        <x:v>1005</x:v>
      </x:c>
      <x:c r="B1006" t="n">
        <x:v>10183</x:v>
      </x:c>
      <x:c r="C1006" s="16" t="n">
        <x:v>46231</x:v>
      </x:c>
      <x:c r="D1006" t="str">
        <x:v>18:13:00</x:v>
      </x:c>
      <x:c r="E1006" t="str">
        <x:v>Card</x:v>
      </x:c>
      <x:c r="F1006" t="str">
        <x:v>Travel</x:v>
      </x:c>
      <x:c r="G1006" s="18" t="n">
        <x:v>251.51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10</x:v>
      </x:c>
      <x:c r="M1006" t="n">
        <x:v>0</x:v>
      </x:c>
      <x:c r="N1006" t="str">
        <x:v>Approved</x:v>
      </x:c>
      <x:c r="O1006" t="n">
        <x:v>0</x:v>
      </x:c>
      <x:c r="P1006" t="str">
        <x:f>IF(L1006&gt;=75,"High",IF(L1006&gt;=55,"Medium","Low"))</x:f>
        <x:v>Low</x:v>
      </x:c>
    </x:row>
    <x:row r="1007">
      <x:c r="A1007" t="n">
        <x:v>1006</x:v>
      </x:c>
      <x:c r="B1007" t="n">
        <x:v>10319</x:v>
      </x:c>
      <x:c r="C1007" s="16" t="n">
        <x:v>46186</x:v>
      </x:c>
      <x:c r="D1007" t="str">
        <x:v>13:37:00</x:v>
      </x:c>
      <x:c r="E1007" t="str">
        <x:v>P2P</x:v>
      </x:c>
      <x:c r="F1007" t="str">
        <x:v>Retail</x:v>
      </x:c>
      <x:c r="G1007" s="18" t="n">
        <x:v>68.02</x:v>
      </x:c>
      <x:c r="H1007" t="n">
        <x:v>0</x:v>
      </x:c>
      <x:c r="I1007" t="n">
        <x:v>0</x:v>
      </x:c>
      <x:c r="J1007" t="n">
        <x:v>0</x:v>
      </x:c>
      <x:c r="K1007" t="n">
        <x:v>0</x:v>
      </x:c>
      <x:c r="L1007" t="n">
        <x:v>10</x:v>
      </x:c>
      <x:c r="M1007" t="n">
        <x:v>0</x:v>
      </x:c>
      <x:c r="N1007" t="str">
        <x:v>Approved</x:v>
      </x:c>
      <x:c r="O1007" t="n">
        <x:v>0</x:v>
      </x:c>
      <x:c r="P1007" t="str">
        <x:f>IF(L1007&gt;=75,"High",IF(L1007&gt;=55,"Medium","Low"))</x:f>
        <x:v>Low</x:v>
      </x:c>
    </x:row>
    <x:row r="1008">
      <x:c r="A1008" t="n">
        <x:v>1007</x:v>
      </x:c>
      <x:c r="B1008" t="n">
        <x:v>10270</x:v>
      </x:c>
      <x:c r="C1008" s="16" t="n">
        <x:v>46208</x:v>
      </x:c>
      <x:c r="D1008" t="str">
        <x:v>10:16:00</x:v>
      </x:c>
      <x:c r="E1008" t="str">
        <x:v>Card</x:v>
      </x:c>
      <x:c r="F1008" t="str">
        <x:v>Electronics</x:v>
      </x:c>
      <x:c r="G1008" s="18" t="n">
        <x:v>108.23</x:v>
      </x:c>
      <x:c r="H1008" t="n">
        <x:v>0</x:v>
      </x:c>
      <x:c r="I1008" t="n">
        <x:v>0</x:v>
      </x:c>
      <x:c r="J1008" t="n">
        <x:v>0</x:v>
      </x:c>
      <x:c r="K1008" t="n">
        <x:v>0</x:v>
      </x:c>
      <x:c r="L1008" t="n">
        <x:v>10</x:v>
      </x:c>
      <x:c r="M1008" t="n">
        <x:v>0</x:v>
      </x:c>
      <x:c r="N1008" t="str">
        <x:v>Approved</x:v>
      </x:c>
      <x:c r="O1008" t="n">
        <x:v>0</x:v>
      </x:c>
      <x:c r="P1008" t="str">
        <x:f>IF(L1008&gt;=75,"High",IF(L1008&gt;=55,"Medium","Low"))</x:f>
        <x:v>Low</x:v>
      </x:c>
    </x:row>
    <x:row r="1009">
      <x:c r="A1009" t="n">
        <x:v>1008</x:v>
      </x:c>
      <x:c r="B1009" t="n">
        <x:v>10131</x:v>
      </x:c>
      <x:c r="C1009" s="16" t="n">
        <x:v>46243</x:v>
      </x:c>
      <x:c r="D1009" t="str">
        <x:v>02:27:00</x:v>
      </x:c>
      <x:c r="E1009" t="str">
        <x:v>Card</x:v>
      </x:c>
      <x:c r="F1009" t="str">
        <x:v>Subscriptions</x:v>
      </x:c>
      <x:c r="G1009" s="18" t="n">
        <x:v>522</x:v>
      </x:c>
      <x:c r="H1009" t="n">
        <x:v>0</x:v>
      </x:c>
      <x:c r="I1009" t="n">
        <x:v>0</x:v>
      </x:c>
      <x:c r="J1009" t="n">
        <x:v>0</x:v>
      </x:c>
      <x:c r="K1009" t="n">
        <x:v>1</x:v>
      </x:c>
      <x:c r="L1009" t="n">
        <x:v>25</x:v>
      </x:c>
      <x:c r="M1009" t="n">
        <x:v>0</x:v>
      </x:c>
      <x:c r="N1009" t="str">
        <x:v>Declined</x:v>
      </x:c>
      <x:c r="O1009" t="n">
        <x:v>0</x:v>
      </x:c>
      <x:c r="P1009" t="str">
        <x:f>IF(L1009&gt;=75,"High",IF(L1009&gt;=55,"Medium","Low"))</x:f>
        <x:v>Low</x:v>
      </x:c>
    </x:row>
    <x:row r="1010">
      <x:c r="A1010" t="n">
        <x:v>1009</x:v>
      </x:c>
      <x:c r="B1010" t="n">
        <x:v>10012</x:v>
      </x:c>
      <x:c r="C1010" s="16" t="n">
        <x:v>46212</x:v>
      </x:c>
      <x:c r="D1010" t="str">
        <x:v>16:39:00</x:v>
      </x:c>
      <x:c r="E1010" t="str">
        <x:v>Card</x:v>
      </x:c>
      <x:c r="F1010" t="str">
        <x:v>Subscriptions</x:v>
      </x:c>
      <x:c r="G1010" s="18" t="n">
        <x:v>167.73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10</x:v>
      </x:c>
      <x:c r="M1010" t="n">
        <x:v>0</x:v>
      </x:c>
      <x:c r="N1010" t="str">
        <x:v>Approved</x:v>
      </x:c>
      <x:c r="O1010" t="n">
        <x:v>0</x:v>
      </x:c>
      <x:c r="P1010" t="str">
        <x:f>IF(L1010&gt;=75,"High",IF(L1010&gt;=55,"Medium","Low"))</x:f>
        <x:v>Low</x:v>
      </x:c>
    </x:row>
    <x:row r="1011">
      <x:c r="A1011" t="n">
        <x:v>1010</x:v>
      </x:c>
      <x:c r="B1011" t="n">
        <x:v>10215</x:v>
      </x:c>
      <x:c r="C1011" s="16" t="n">
        <x:v>46164</x:v>
      </x:c>
      <x:c r="D1011" t="str">
        <x:v>02:26:00</x:v>
      </x:c>
      <x:c r="E1011" t="str">
        <x:v>Bank Transfer</x:v>
      </x:c>
      <x:c r="F1011" t="str">
        <x:v>Retail</x:v>
      </x:c>
      <x:c r="G1011" s="18" t="n">
        <x:v>44.4</x:v>
      </x:c>
      <x:c r="H1011" t="n">
        <x:v>1</x:v>
      </x:c>
      <x:c r="I1011" t="n">
        <x:v>0</x:v>
      </x:c>
      <x:c r="J1011" t="n">
        <x:v>0</x:v>
      </x:c>
      <x:c r="K1011" t="n">
        <x:v>1</x:v>
      </x:c>
      <x:c r="L1011" t="n">
        <x:v>51</x:v>
      </x:c>
      <x:c r="M1011" t="n">
        <x:v>0</x:v>
      </x:c>
      <x:c r="N1011" t="str">
        <x:v>Approved</x:v>
      </x:c>
      <x:c r="O1011" t="n">
        <x:v>0</x:v>
      </x:c>
      <x:c r="P1011" t="str">
        <x:f>IF(L1011&gt;=75,"High",IF(L1011&gt;=55,"Medium","Low"))</x:f>
        <x:v>Low</x:v>
      </x:c>
    </x:row>
    <x:row r="1012">
      <x:c r="A1012" t="n">
        <x:v>1011</x:v>
      </x:c>
      <x:c r="B1012" t="n">
        <x:v>10083</x:v>
      </x:c>
      <x:c r="C1012" s="16" t="n">
        <x:v>46256</x:v>
      </x:c>
      <x:c r="D1012" t="str">
        <x:v>00:24:00</x:v>
      </x:c>
      <x:c r="E1012" t="str">
        <x:v>Card</x:v>
      </x:c>
      <x:c r="F1012" t="str">
        <x:v>Dining</x:v>
      </x:c>
      <x:c r="G1012" s="18" t="n">
        <x:v>40.26</x:v>
      </x:c>
      <x:c r="H1012" t="n">
        <x:v>0</x:v>
      </x:c>
      <x:c r="I1012" t="n">
        <x:v>1</x:v>
      </x:c>
      <x:c r="J1012" t="n">
        <x:v>0</x:v>
      </x:c>
      <x:c r="K1012" t="n">
        <x:v>1</x:v>
      </x:c>
      <x:c r="L1012" t="n">
        <x:v>45</x:v>
      </x:c>
      <x:c r="M1012" t="n">
        <x:v>0</x:v>
      </x:c>
      <x:c r="N1012" t="str">
        <x:v>Approved</x:v>
      </x:c>
      <x:c r="O1012" t="n">
        <x:v>0</x:v>
      </x:c>
      <x:c r="P1012" t="str">
        <x:f>IF(L1012&gt;=75,"High",IF(L1012&gt;=55,"Medium","Low"))</x:f>
        <x:v>Low</x:v>
      </x:c>
    </x:row>
    <x:row r="1013">
      <x:c r="A1013" t="n">
        <x:v>1012</x:v>
      </x:c>
      <x:c r="B1013" t="n">
        <x:v>10109</x:v>
      </x:c>
      <x:c r="C1013" s="16" t="n">
        <x:v>46139</x:v>
      </x:c>
      <x:c r="D1013" t="str">
        <x:v>14:38:00</x:v>
      </x:c>
      <x:c r="E1013" t="str">
        <x:v>P2P</x:v>
      </x:c>
      <x:c r="F1013" t="str">
        <x:v>Transfer</x:v>
      </x:c>
      <x:c r="G1013" s="18" t="n">
        <x:v>73.97</x:v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n">
        <x:v>10</x:v>
      </x:c>
      <x:c r="M1013" t="n">
        <x:v>0</x:v>
      </x:c>
      <x:c r="N1013" t="str">
        <x:v>Approved</x:v>
      </x:c>
      <x:c r="O1013" t="n">
        <x:v>0</x:v>
      </x:c>
      <x:c r="P1013" t="str">
        <x:f>IF(L1013&gt;=75,"High",IF(L1013&gt;=55,"Medium","Low"))</x:f>
        <x:v>Low</x:v>
      </x:c>
    </x:row>
    <x:row r="1014">
      <x:c r="A1014" t="n">
        <x:v>1013</x:v>
      </x:c>
      <x:c r="B1014" t="n">
        <x:v>10023</x:v>
      </x:c>
      <x:c r="C1014" s="16" t="n">
        <x:v>46203</x:v>
      </x:c>
      <x:c r="D1014" t="str">
        <x:v>02:14:00</x:v>
      </x:c>
      <x:c r="E1014" t="str">
        <x:v>P2P</x:v>
      </x:c>
      <x:c r="F1014" t="str">
        <x:v>Dining</x:v>
      </x:c>
      <x:c r="G1014" s="18" t="n">
        <x:v>342.6</x:v>
      </x:c>
      <x:c r="H1014" t="n">
        <x:v>0</x:v>
      </x:c>
      <x:c r="I1014" t="n">
        <x:v>0</x:v>
      </x:c>
      <x:c r="J1014" t="n">
        <x:v>0</x:v>
      </x:c>
      <x:c r="K1014" t="n">
        <x:v>1</x:v>
      </x:c>
      <x:c r="L1014" t="n">
        <x:v>25</x:v>
      </x:c>
      <x:c r="M1014" t="n">
        <x:v>0</x:v>
      </x:c>
      <x:c r="N1014" t="str">
        <x:v>Approved</x:v>
      </x:c>
      <x:c r="O1014" t="n">
        <x:v>0</x:v>
      </x:c>
      <x:c r="P1014" t="str">
        <x:f>IF(L1014&gt;=75,"High",IF(L1014&gt;=55,"Medium","Low"))</x:f>
        <x:v>Low</x:v>
      </x:c>
    </x:row>
    <x:row r="1015">
      <x:c r="A1015" t="n">
        <x:v>1014</x:v>
      </x:c>
      <x:c r="B1015" t="n">
        <x:v>10117</x:v>
      </x:c>
      <x:c r="C1015" s="16" t="n">
        <x:v>46222</x:v>
      </x:c>
      <x:c r="D1015" t="str">
        <x:v>21:28:00</x:v>
      </x:c>
      <x:c r="E1015" t="str">
        <x:v>Bank Transfer</x:v>
      </x:c>
      <x:c r="F1015" t="str">
        <x:v>Transfer</x:v>
      </x:c>
      <x:c r="G1015" s="18" t="n">
        <x:v>97.77</x:v>
      </x:c>
      <x:c r="H1015" t="n">
        <x:v>0</x:v>
      </x:c>
      <x:c r="I1015" t="n">
        <x:v>1</x:v>
      </x:c>
      <x:c r="J1015" t="n">
        <x:v>0</x:v>
      </x:c>
      <x:c r="K1015" t="n">
        <x:v>0</x:v>
      </x:c>
      <x:c r="L1015" t="n">
        <x:v>30</x:v>
      </x:c>
      <x:c r="M1015" t="n">
        <x:v>0</x:v>
      </x:c>
      <x:c r="N1015" t="str">
        <x:v>Approved</x:v>
      </x:c>
      <x:c r="O1015" t="n">
        <x:v>0</x:v>
      </x:c>
      <x:c r="P1015" t="str">
        <x:f>IF(L1015&gt;=75,"High",IF(L1015&gt;=55,"Medium","Low"))</x:f>
        <x:v>Low</x:v>
      </x:c>
    </x:row>
    <x:row r="1016">
      <x:c r="A1016" t="n">
        <x:v>1015</x:v>
      </x:c>
      <x:c r="B1016" t="n">
        <x:v>10262</x:v>
      </x:c>
      <x:c r="C1016" s="16" t="n">
        <x:v>46202</x:v>
      </x:c>
      <x:c r="D1016" t="str">
        <x:v>10:30:00</x:v>
      </x:c>
      <x:c r="E1016" t="str">
        <x:v>Card</x:v>
      </x:c>
      <x:c r="F1016" t="str">
        <x:v>Dining</x:v>
      </x:c>
      <x:c r="G1016" s="18" t="n">
        <x:v>69.28</x:v>
      </x:c>
      <x:c r="H1016" t="n">
        <x:v>0</x:v>
      </x:c>
      <x:c r="I1016" t="n">
        <x:v>1</x:v>
      </x:c>
      <x:c r="J1016" t="n">
        <x:v>0</x:v>
      </x:c>
      <x:c r="K1016" t="n">
        <x:v>0</x:v>
      </x:c>
      <x:c r="L1016" t="n">
        <x:v>30</x:v>
      </x:c>
      <x:c r="M1016" t="n">
        <x:v>0</x:v>
      </x:c>
      <x:c r="N1016" t="str">
        <x:v>Approved</x:v>
      </x:c>
      <x:c r="O1016" t="n">
        <x:v>0</x:v>
      </x:c>
      <x:c r="P1016" t="str">
        <x:f>IF(L1016&gt;=75,"High",IF(L1016&gt;=55,"Medium","Low"))</x:f>
        <x:v>Low</x:v>
      </x:c>
    </x:row>
    <x:row r="1017">
      <x:c r="A1017" t="n">
        <x:v>1016</x:v>
      </x:c>
      <x:c r="B1017" t="n">
        <x:v>10179</x:v>
      </x:c>
      <x:c r="C1017" s="16" t="n">
        <x:v>46295</x:v>
      </x:c>
      <x:c r="D1017" t="str">
        <x:v>14:01:00</x:v>
      </x:c>
      <x:c r="E1017" t="str">
        <x:v>Bank Transfer</x:v>
      </x:c>
      <x:c r="F1017" t="str">
        <x:v>Dining</x:v>
      </x:c>
      <x:c r="G1017" s="18" t="n">
        <x:v>73.58</x:v>
      </x:c>
      <x:c r="H1017" t="n">
        <x:v>0</x:v>
      </x:c>
      <x:c r="I1017" t="n">
        <x:v>1</x:v>
      </x:c>
      <x:c r="J1017" t="n">
        <x:v>0</x:v>
      </x:c>
      <x:c r="K1017" t="n">
        <x:v>0</x:v>
      </x:c>
      <x:c r="L1017" t="n">
        <x:v>30</x:v>
      </x:c>
      <x:c r="M1017" t="n">
        <x:v>0</x:v>
      </x:c>
      <x:c r="N1017" t="str">
        <x:v>Approved</x:v>
      </x:c>
      <x:c r="O1017" t="n">
        <x:v>0</x:v>
      </x:c>
      <x:c r="P1017" t="str">
        <x:f>IF(L1017&gt;=75,"High",IF(L1017&gt;=55,"Medium","Low"))</x:f>
        <x:v>Low</x:v>
      </x:c>
    </x:row>
    <x:row r="1018">
      <x:c r="A1018" t="n">
        <x:v>1017</x:v>
      </x:c>
      <x:c r="B1018" t="n">
        <x:v>10088</x:v>
      </x:c>
      <x:c r="C1018" s="16" t="n">
        <x:v>46256</x:v>
      </x:c>
      <x:c r="D1018" t="str">
        <x:v>00:31:00</x:v>
      </x:c>
      <x:c r="E1018" t="str">
        <x:v>Bank Transfer</x:v>
      </x:c>
      <x:c r="F1018" t="str">
        <x:v>Utilities</x:v>
      </x:c>
      <x:c r="G1018" s="18" t="n">
        <x:v>84.44</x:v>
      </x:c>
      <x:c r="H1018" t="n">
        <x:v>0</x:v>
      </x:c>
      <x:c r="I1018" t="n">
        <x:v>0</x:v>
      </x:c>
      <x:c r="J1018" t="n">
        <x:v>0</x:v>
      </x:c>
      <x:c r="K1018" t="n">
        <x:v>1</x:v>
      </x:c>
      <x:c r="L1018" t="n">
        <x:v>25</x:v>
      </x:c>
      <x:c r="M1018" t="n">
        <x:v>0</x:v>
      </x:c>
      <x:c r="N1018" t="str">
        <x:v>Approved</x:v>
      </x:c>
      <x:c r="O1018" t="n">
        <x:v>0</x:v>
      </x:c>
      <x:c r="P1018" t="str">
        <x:f>IF(L1018&gt;=75,"High",IF(L1018&gt;=55,"Medium","Low"))</x:f>
        <x:v>Low</x:v>
      </x:c>
    </x:row>
    <x:row r="1019">
      <x:c r="A1019" t="n">
        <x:v>1018</x:v>
      </x:c>
      <x:c r="B1019" t="n">
        <x:v>10148</x:v>
      </x:c>
      <x:c r="C1019" s="16" t="n">
        <x:v>46236</x:v>
      </x:c>
      <x:c r="D1019" t="str">
        <x:v>15:49:00</x:v>
      </x:c>
      <x:c r="E1019" t="str">
        <x:v>Card</x:v>
      </x:c>
      <x:c r="F1019" t="str">
        <x:v>Electronics</x:v>
      </x:c>
      <x:c r="G1019" s="18" t="n">
        <x:v>29.27</x:v>
      </x:c>
      <x:c r="H1019" t="n">
        <x:v>0</x:v>
      </x:c>
      <x:c r="I1019" t="n">
        <x:v>0</x:v>
      </x:c>
      <x:c r="J1019" t="n">
        <x:v>0</x:v>
      </x:c>
      <x:c r="K1019" t="n">
        <x:v>0</x:v>
      </x:c>
      <x:c r="L1019" t="n">
        <x:v>10</x:v>
      </x:c>
      <x:c r="M1019" t="n">
        <x:v>0</x:v>
      </x:c>
      <x:c r="N1019" t="str">
        <x:v>Approved</x:v>
      </x:c>
      <x:c r="O1019" t="n">
        <x:v>0</x:v>
      </x:c>
      <x:c r="P1019" t="str">
        <x:f>IF(L1019&gt;=75,"High",IF(L1019&gt;=55,"Medium","Low"))</x:f>
        <x:v>Low</x:v>
      </x:c>
    </x:row>
    <x:row r="1020">
      <x:c r="A1020" t="n">
        <x:v>1019</x:v>
      </x:c>
      <x:c r="B1020" t="n">
        <x:v>10305</x:v>
      </x:c>
      <x:c r="C1020" s="16" t="n">
        <x:v>46250</x:v>
      </x:c>
      <x:c r="D1020" t="str">
        <x:v>13:46:00</x:v>
      </x:c>
      <x:c r="E1020" t="str">
        <x:v>P2P</x:v>
      </x:c>
      <x:c r="F1020" t="str">
        <x:v>Dining</x:v>
      </x:c>
      <x:c r="G1020" s="18" t="n">
        <x:v>145.56</x:v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n">
        <x:v>10</x:v>
      </x:c>
      <x:c r="M1020" t="n">
        <x:v>0</x:v>
      </x:c>
      <x:c r="N1020" t="str">
        <x:v>Approved</x:v>
      </x:c>
      <x:c r="O1020" t="n">
        <x:v>0</x:v>
      </x:c>
      <x:c r="P1020" t="str">
        <x:f>IF(L1020&gt;=75,"High",IF(L1020&gt;=55,"Medium","Low"))</x:f>
        <x:v>Low</x:v>
      </x:c>
    </x:row>
    <x:row r="1021">
      <x:c r="A1021" t="n">
        <x:v>1020</x:v>
      </x:c>
      <x:c r="B1021" t="n">
        <x:v>10223</x:v>
      </x:c>
      <x:c r="C1021" s="16" t="n">
        <x:v>46281</x:v>
      </x:c>
      <x:c r="D1021" t="str">
        <x:v>22:24:00</x:v>
      </x:c>
      <x:c r="E1021" t="str">
        <x:v>Card</x:v>
      </x:c>
      <x:c r="F1021" t="str">
        <x:v>Electronics</x:v>
      </x:c>
      <x:c r="G1021" s="18" t="n">
        <x:v>224.1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10</x:v>
      </x:c>
      <x:c r="M1021" t="n">
        <x:v>0</x:v>
      </x:c>
      <x:c r="N1021" t="str">
        <x:v>Approved</x:v>
      </x:c>
      <x:c r="O1021" t="n">
        <x:v>0</x:v>
      </x:c>
      <x:c r="P1021" t="str">
        <x:f>IF(L1021&gt;=75,"High",IF(L1021&gt;=55,"Medium","Low"))</x:f>
        <x:v>Low</x:v>
      </x:c>
    </x:row>
    <x:row r="1022">
      <x:c r="A1022" t="n">
        <x:v>1021</x:v>
      </x:c>
      <x:c r="B1022" t="n">
        <x:v>10133</x:v>
      </x:c>
      <x:c r="C1022" s="16" t="n">
        <x:v>46292</x:v>
      </x:c>
      <x:c r="D1022" t="str">
        <x:v>17:32:00</x:v>
      </x:c>
      <x:c r="E1022" t="str">
        <x:v>P2P</x:v>
      </x:c>
      <x:c r="F1022" t="str">
        <x:v>Transfer</x:v>
      </x:c>
      <x:c r="G1022" s="18" t="n">
        <x:v>8.66</x:v>
      </x:c>
      <x:c r="H1022" t="n">
        <x:v>0</x:v>
      </x:c>
      <x:c r="I1022" t="n">
        <x:v>0</x:v>
      </x:c>
      <x:c r="J1022" t="n">
        <x:v>0</x:v>
      </x:c>
      <x:c r="K1022" t="n">
        <x:v>0</x:v>
      </x:c>
      <x:c r="L1022" t="n">
        <x:v>10</x:v>
      </x:c>
      <x:c r="M1022" t="n">
        <x:v>0</x:v>
      </x:c>
      <x:c r="N1022" t="str">
        <x:v>Approved</x:v>
      </x:c>
      <x:c r="O1022" t="n">
        <x:v>0</x:v>
      </x:c>
      <x:c r="P1022" t="str">
        <x:f>IF(L1022&gt;=75,"High",IF(L1022&gt;=55,"Medium","Low"))</x:f>
        <x:v>Low</x:v>
      </x:c>
    </x:row>
    <x:row r="1023">
      <x:c r="A1023" t="n">
        <x:v>1022</x:v>
      </x:c>
      <x:c r="B1023" t="n">
        <x:v>10147</x:v>
      </x:c>
      <x:c r="C1023" s="16" t="n">
        <x:v>46183</x:v>
      </x:c>
      <x:c r="D1023" t="str">
        <x:v>00:53:00</x:v>
      </x:c>
      <x:c r="E1023" t="str">
        <x:v>Card</x:v>
      </x:c>
      <x:c r="F1023" t="str">
        <x:v>Retail</x:v>
      </x:c>
      <x:c r="G1023" s="18" t="n">
        <x:v>259.39</x:v>
      </x:c>
      <x:c r="H1023" t="n">
        <x:v>0</x:v>
      </x:c>
      <x:c r="I1023" t="n">
        <x:v>0</x:v>
      </x:c>
      <x:c r="J1023" t="n">
        <x:v>0</x:v>
      </x:c>
      <x:c r="K1023" t="n">
        <x:v>1</x:v>
      </x:c>
      <x:c r="L1023" t="n">
        <x:v>25</x:v>
      </x:c>
      <x:c r="M1023" t="n">
        <x:v>0</x:v>
      </x:c>
      <x:c r="N1023" t="str">
        <x:v>Approved</x:v>
      </x:c>
      <x:c r="O1023" t="n">
        <x:v>0</x:v>
      </x:c>
      <x:c r="P1023" t="str">
        <x:f>IF(L1023&gt;=75,"High",IF(L1023&gt;=55,"Medium","Low"))</x:f>
        <x:v>Low</x:v>
      </x:c>
    </x:row>
    <x:row r="1024">
      <x:c r="A1024" t="n">
        <x:v>1023</x:v>
      </x:c>
      <x:c r="B1024" t="n">
        <x:v>10216</x:v>
      </x:c>
      <x:c r="C1024" s="16" t="n">
        <x:v>46174</x:v>
      </x:c>
      <x:c r="D1024" t="str">
        <x:v>23:51:00</x:v>
      </x:c>
      <x:c r="E1024" t="str">
        <x:v>Card</x:v>
      </x:c>
      <x:c r="F1024" t="str">
        <x:v>Transfer</x:v>
      </x:c>
      <x:c r="G1024" s="18" t="n">
        <x:v>72.14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10</x:v>
      </x:c>
      <x:c r="M1024" t="n">
        <x:v>0</x:v>
      </x:c>
      <x:c r="N1024" t="str">
        <x:v>Approved</x:v>
      </x:c>
      <x:c r="O1024" t="n">
        <x:v>0</x:v>
      </x:c>
      <x:c r="P1024" t="str">
        <x:f>IF(L1024&gt;=75,"High",IF(L1024&gt;=55,"Medium","Low"))</x:f>
        <x:v>Low</x:v>
      </x:c>
    </x:row>
    <x:row r="1025">
      <x:c r="A1025" t="n">
        <x:v>1024</x:v>
      </x:c>
      <x:c r="B1025" t="n">
        <x:v>10230</x:v>
      </x:c>
      <x:c r="C1025" s="16" t="n">
        <x:v>46164</x:v>
      </x:c>
      <x:c r="D1025" t="str">
        <x:v>01:13:00</x:v>
      </x:c>
      <x:c r="E1025" t="str">
        <x:v>Card</x:v>
      </x:c>
      <x:c r="F1025" t="str">
        <x:v>Retail</x:v>
      </x:c>
      <x:c r="G1025" s="18" t="n">
        <x:v>100.6</x:v>
      </x:c>
      <x:c r="H1025" t="n">
        <x:v>0</x:v>
      </x:c>
      <x:c r="I1025" t="n">
        <x:v>0</x:v>
      </x:c>
      <x:c r="J1025" t="n">
        <x:v>0</x:v>
      </x:c>
      <x:c r="K1025" t="n">
        <x:v>1</x:v>
      </x:c>
      <x:c r="L1025" t="n">
        <x:v>25</x:v>
      </x:c>
      <x:c r="M1025" t="n">
        <x:v>0</x:v>
      </x:c>
      <x:c r="N1025" t="str">
        <x:v>Approved</x:v>
      </x:c>
      <x:c r="O1025" t="n">
        <x:v>0</x:v>
      </x:c>
      <x:c r="P1025" t="str">
        <x:f>IF(L1025&gt;=75,"High",IF(L1025&gt;=55,"Medium","Low"))</x:f>
        <x:v>Low</x:v>
      </x:c>
    </x:row>
    <x:row r="1026">
      <x:c r="A1026" t="n">
        <x:v>1025</x:v>
      </x:c>
      <x:c r="B1026" t="n">
        <x:v>10079</x:v>
      </x:c>
      <x:c r="C1026" s="16" t="n">
        <x:v>46232</x:v>
      </x:c>
      <x:c r="D1026" t="str">
        <x:v>02:42:00</x:v>
      </x:c>
      <x:c r="E1026" t="str">
        <x:v>Card</x:v>
      </x:c>
      <x:c r="F1026" t="str">
        <x:v>Subscriptions</x:v>
      </x:c>
      <x:c r="G1026" s="18" t="n">
        <x:v>730.1</x:v>
      </x:c>
      <x:c r="H1026" t="n">
        <x:v>0</x:v>
      </x:c>
      <x:c r="I1026" t="n">
        <x:v>0</x:v>
      </x:c>
      <x:c r="J1026" t="n">
        <x:v>1</x:v>
      </x:c>
      <x:c r="K1026" t="n">
        <x:v>1</x:v>
      </x:c>
      <x:c r="L1026" t="n">
        <x:v>59</x:v>
      </x:c>
      <x:c r="M1026" t="n">
        <x:v>1</x:v>
      </x:c>
      <x:c r="N1026" t="str">
        <x:v>Approved</x:v>
      </x:c>
      <x:c r="O1026" t="n">
        <x:v>0</x:v>
      </x:c>
      <x:c r="P1026" t="str">
        <x:f>IF(L1026&gt;=75,"High",IF(L1026&gt;=55,"Medium","Low"))</x:f>
        <x:v>Medium</x:v>
      </x:c>
    </x:row>
    <x:row r="1027">
      <x:c r="A1027" t="n">
        <x:v>1026</x:v>
      </x:c>
      <x:c r="B1027" t="n">
        <x:v>10261</x:v>
      </x:c>
      <x:c r="C1027" s="16" t="n">
        <x:v>46209</x:v>
      </x:c>
      <x:c r="D1027" t="str">
        <x:v>05:11:00</x:v>
      </x:c>
      <x:c r="E1027" t="str">
        <x:v>Card</x:v>
      </x:c>
      <x:c r="F1027" t="str">
        <x:v>Subscriptions</x:v>
      </x:c>
      <x:c r="G1027" s="18" t="n">
        <x:v>136.01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10</x:v>
      </x:c>
      <x:c r="M1027" t="n">
        <x:v>0</x:v>
      </x:c>
      <x:c r="N1027" t="str">
        <x:v>Approved</x:v>
      </x:c>
      <x:c r="O1027" t="n">
        <x:v>0</x:v>
      </x:c>
      <x:c r="P1027" t="str">
        <x:f>IF(L1027&gt;=75,"High",IF(L1027&gt;=55,"Medium","Low"))</x:f>
        <x:v>Low</x:v>
      </x:c>
    </x:row>
    <x:row r="1028">
      <x:c r="A1028" t="n">
        <x:v>1027</x:v>
      </x:c>
      <x:c r="B1028" t="n">
        <x:v>10166</x:v>
      </x:c>
      <x:c r="C1028" s="16" t="n">
        <x:v>46266</x:v>
      </x:c>
      <x:c r="D1028" t="str">
        <x:v>13:18:00</x:v>
      </x:c>
      <x:c r="E1028" t="str">
        <x:v>Bank Transfer</x:v>
      </x:c>
      <x:c r="F1028" t="str">
        <x:v>Transfer</x:v>
      </x:c>
      <x:c r="G1028" s="18" t="n">
        <x:v>257.61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10</x:v>
      </x:c>
      <x:c r="M1028" t="n">
        <x:v>0</x:v>
      </x:c>
      <x:c r="N1028" t="str">
        <x:v>Approved</x:v>
      </x:c>
      <x:c r="O1028" t="n">
        <x:v>0</x:v>
      </x:c>
      <x:c r="P1028" t="str">
        <x:f>IF(L1028&gt;=75,"High",IF(L1028&gt;=55,"Medium","Low"))</x:f>
        <x:v>Low</x:v>
      </x:c>
    </x:row>
    <x:row r="1029">
      <x:c r="A1029" t="n">
        <x:v>1028</x:v>
      </x:c>
      <x:c r="B1029" t="n">
        <x:v>10297</x:v>
      </x:c>
      <x:c r="C1029" s="16" t="n">
        <x:v>46256</x:v>
      </x:c>
      <x:c r="D1029" t="str">
        <x:v>08:36:00</x:v>
      </x:c>
      <x:c r="E1029" t="str">
        <x:v>Bank Transfer</x:v>
      </x:c>
      <x:c r="F1029" t="str">
        <x:v>Travel</x:v>
      </x:c>
      <x:c r="G1029" s="18" t="n">
        <x:v>100.88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10</x:v>
      </x:c>
      <x:c r="M1029" t="n">
        <x:v>0</x:v>
      </x:c>
      <x:c r="N1029" t="str">
        <x:v>Approved</x:v>
      </x:c>
      <x:c r="O1029" t="n">
        <x:v>0</x:v>
      </x:c>
      <x:c r="P1029" t="str">
        <x:f>IF(L1029&gt;=75,"High",IF(L1029&gt;=55,"Medium","Low"))</x:f>
        <x:v>Low</x:v>
      </x:c>
    </x:row>
    <x:row r="1030">
      <x:c r="A1030" t="n">
        <x:v>1029</x:v>
      </x:c>
      <x:c r="B1030" t="n">
        <x:v>10162</x:v>
      </x:c>
      <x:c r="C1030" s="16" t="n">
        <x:v>46133</x:v>
      </x:c>
      <x:c r="D1030" t="str">
        <x:v>19:46:00</x:v>
      </x:c>
      <x:c r="E1030" t="str">
        <x:v>P2P</x:v>
      </x:c>
      <x:c r="F1030" t="str">
        <x:v>Transfer</x:v>
      </x:c>
      <x:c r="G1030" s="18" t="n">
        <x:v>77.09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10</x:v>
      </x:c>
      <x:c r="M1030" t="n">
        <x:v>0</x:v>
      </x:c>
      <x:c r="N1030" t="str">
        <x:v>Approved</x:v>
      </x:c>
      <x:c r="O1030" t="n">
        <x:v>0</x:v>
      </x:c>
      <x:c r="P1030" t="str">
        <x:f>IF(L1030&gt;=75,"High",IF(L1030&gt;=55,"Medium","Low"))</x:f>
        <x:v>Low</x:v>
      </x:c>
    </x:row>
    <x:row r="1031">
      <x:c r="A1031" t="n">
        <x:v>1030</x:v>
      </x:c>
      <x:c r="B1031" t="n">
        <x:v>10337</x:v>
      </x:c>
      <x:c r="C1031" s="16" t="n">
        <x:v>46221</x:v>
      </x:c>
      <x:c r="D1031" t="str">
        <x:v>20:59:00</x:v>
      </x:c>
      <x:c r="E1031" t="str">
        <x:v>Card</x:v>
      </x:c>
      <x:c r="F1031" t="str">
        <x:v>Dining</x:v>
      </x:c>
      <x:c r="G1031" s="18" t="n">
        <x:v>149.72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10</x:v>
      </x:c>
      <x:c r="M1031" t="n">
        <x:v>0</x:v>
      </x:c>
      <x:c r="N1031" t="str">
        <x:v>Approved</x:v>
      </x:c>
      <x:c r="O1031" t="n">
        <x:v>0</x:v>
      </x:c>
      <x:c r="P1031" t="str">
        <x:f>IF(L1031&gt;=75,"High",IF(L1031&gt;=55,"Medium","Low"))</x:f>
        <x:v>Low</x:v>
      </x:c>
    </x:row>
    <x:row r="1032">
      <x:c r="A1032" t="n">
        <x:v>1031</x:v>
      </x:c>
      <x:c r="B1032" t="n">
        <x:v>10260</x:v>
      </x:c>
      <x:c r="C1032" s="16" t="n">
        <x:v>46256</x:v>
      </x:c>
      <x:c r="D1032" t="str">
        <x:v>06:31:00</x:v>
      </x:c>
      <x:c r="E1032" t="str">
        <x:v>Bank Transfer</x:v>
      </x:c>
      <x:c r="F1032" t="str">
        <x:v>Utilities</x:v>
      </x:c>
      <x:c r="G1032" s="18" t="n">
        <x:v>118.16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10</x:v>
      </x:c>
      <x:c r="M1032" t="n">
        <x:v>0</x:v>
      </x:c>
      <x:c r="N1032" t="str">
        <x:v>Approved</x:v>
      </x:c>
      <x:c r="O1032" t="n">
        <x:v>0</x:v>
      </x:c>
      <x:c r="P1032" t="str">
        <x:f>IF(L1032&gt;=75,"High",IF(L1032&gt;=55,"Medium","Low"))</x:f>
        <x:v>Low</x:v>
      </x:c>
    </x:row>
    <x:row r="1033">
      <x:c r="A1033" t="n">
        <x:v>1032</x:v>
      </x:c>
      <x:c r="B1033" t="n">
        <x:v>10188</x:v>
      </x:c>
      <x:c r="C1033" s="16" t="n">
        <x:v>46220</x:v>
      </x:c>
      <x:c r="D1033" t="str">
        <x:v>04:53:00</x:v>
      </x:c>
      <x:c r="E1033" t="str">
        <x:v>Card</x:v>
      </x:c>
      <x:c r="F1033" t="str">
        <x:v>Utilities</x:v>
      </x:c>
      <x:c r="G1033" s="18" t="n">
        <x:v>33.81</x:v>
      </x:c>
      <x:c r="H1033" t="n">
        <x:v>0</x:v>
      </x:c>
      <x:c r="I1033" t="n">
        <x:v>0</x:v>
      </x:c>
      <x:c r="J1033" t="n">
        <x:v>0</x:v>
      </x:c>
      <x:c r="K1033" t="n">
        <x:v>1</x:v>
      </x:c>
      <x:c r="L1033" t="n">
        <x:v>25</x:v>
      </x:c>
      <x:c r="M1033" t="n">
        <x:v>0</x:v>
      </x:c>
      <x:c r="N1033" t="str">
        <x:v>Approved</x:v>
      </x:c>
      <x:c r="O1033" t="n">
        <x:v>0</x:v>
      </x:c>
      <x:c r="P1033" t="str">
        <x:f>IF(L1033&gt;=75,"High",IF(L1033&gt;=55,"Medium","Low"))</x:f>
        <x:v>Low</x:v>
      </x:c>
    </x:row>
    <x:row r="1034">
      <x:c r="A1034" t="n">
        <x:v>1033</x:v>
      </x:c>
      <x:c r="B1034" t="n">
        <x:v>10288</x:v>
      </x:c>
      <x:c r="C1034" s="16" t="n">
        <x:v>46235</x:v>
      </x:c>
      <x:c r="D1034" t="str">
        <x:v>08:45:00</x:v>
      </x:c>
      <x:c r="E1034" t="str">
        <x:v>Card</x:v>
      </x:c>
      <x:c r="F1034" t="str">
        <x:v>Utilities</x:v>
      </x:c>
      <x:c r="G1034" s="18" t="n">
        <x:v>160.71</x:v>
      </x:c>
      <x:c r="H1034" t="n">
        <x:v>0</x:v>
      </x:c>
      <x:c r="I1034" t="n">
        <x:v>1</x:v>
      </x:c>
      <x:c r="J1034" t="n">
        <x:v>0</x:v>
      </x:c>
      <x:c r="K1034" t="n">
        <x:v>0</x:v>
      </x:c>
      <x:c r="L1034" t="n">
        <x:v>30</x:v>
      </x:c>
      <x:c r="M1034" t="n">
        <x:v>0</x:v>
      </x:c>
      <x:c r="N1034" t="str">
        <x:v>Approved</x:v>
      </x:c>
      <x:c r="O1034" t="n">
        <x:v>0</x:v>
      </x:c>
      <x:c r="P1034" t="str">
        <x:f>IF(L1034&gt;=75,"High",IF(L1034&gt;=55,"Medium","Low"))</x:f>
        <x:v>Low</x:v>
      </x:c>
    </x:row>
    <x:row r="1035">
      <x:c r="A1035" t="n">
        <x:v>1034</x:v>
      </x:c>
      <x:c r="B1035" t="n">
        <x:v>10185</x:v>
      </x:c>
      <x:c r="C1035" s="16" t="n">
        <x:v>46116</x:v>
      </x:c>
      <x:c r="D1035" t="str">
        <x:v>08:53:00</x:v>
      </x:c>
      <x:c r="E1035" t="str">
        <x:v>P2P</x:v>
      </x:c>
      <x:c r="F1035" t="str">
        <x:v>Subscriptions</x:v>
      </x:c>
      <x:c r="G1035" s="18" t="n">
        <x:v>57.36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10</x:v>
      </x:c>
      <x:c r="M1035" t="n">
        <x:v>0</x:v>
      </x:c>
      <x:c r="N1035" t="str">
        <x:v>Declined</x:v>
      </x:c>
      <x:c r="O1035" t="n">
        <x:v>0</x:v>
      </x:c>
      <x:c r="P1035" t="str">
        <x:f>IF(L1035&gt;=75,"High",IF(L1035&gt;=55,"Medium","Low"))</x:f>
        <x:v>Low</x:v>
      </x:c>
    </x:row>
    <x:row r="1036">
      <x:c r="A1036" t="n">
        <x:v>1035</x:v>
      </x:c>
      <x:c r="B1036" t="n">
        <x:v>10183</x:v>
      </x:c>
      <x:c r="C1036" s="16" t="n">
        <x:v>46273</x:v>
      </x:c>
      <x:c r="D1036" t="str">
        <x:v>00:56:00</x:v>
      </x:c>
      <x:c r="E1036" t="str">
        <x:v>Card</x:v>
      </x:c>
      <x:c r="F1036" t="str">
        <x:v>Subscriptions</x:v>
      </x:c>
      <x:c r="G1036" s="18" t="n">
        <x:v>58.31</x:v>
      </x:c>
      <x:c r="H1036" t="n">
        <x:v>0</x:v>
      </x:c>
      <x:c r="I1036" t="n">
        <x:v>0</x:v>
      </x:c>
      <x:c r="J1036" t="n">
        <x:v>0</x:v>
      </x:c>
      <x:c r="K1036" t="n">
        <x:v>1</x:v>
      </x:c>
      <x:c r="L1036" t="n">
        <x:v>25</x:v>
      </x:c>
      <x:c r="M1036" t="n">
        <x:v>0</x:v>
      </x:c>
      <x:c r="N1036" t="str">
        <x:v>Approved</x:v>
      </x:c>
      <x:c r="O1036" t="n">
        <x:v>0</x:v>
      </x:c>
      <x:c r="P1036" t="str">
        <x:f>IF(L1036&gt;=75,"High",IF(L1036&gt;=55,"Medium","Low"))</x:f>
        <x:v>Low</x:v>
      </x:c>
    </x:row>
    <x:row r="1037">
      <x:c r="A1037" t="n">
        <x:v>1036</x:v>
      </x:c>
      <x:c r="B1037" t="n">
        <x:v>10293</x:v>
      </x:c>
      <x:c r="C1037" s="16" t="n">
        <x:v>46260</x:v>
      </x:c>
      <x:c r="D1037" t="str">
        <x:v>07:49:00</x:v>
      </x:c>
      <x:c r="E1037" t="str">
        <x:v>Bank Transfer</x:v>
      </x:c>
      <x:c r="F1037" t="str">
        <x:v>Retail</x:v>
      </x:c>
      <x:c r="G1037" s="18" t="n">
        <x:v>50.1</x:v>
      </x:c>
      <x:c r="H1037" t="n">
        <x:v>1</x:v>
      </x:c>
      <x:c r="I1037" t="n">
        <x:v>0</x:v>
      </x:c>
      <x:c r="J1037" t="n">
        <x:v>0</x:v>
      </x:c>
      <x:c r="K1037" t="n">
        <x:v>0</x:v>
      </x:c>
      <x:c r="L1037" t="n">
        <x:v>36</x:v>
      </x:c>
      <x:c r="M1037" t="n">
        <x:v>0</x:v>
      </x:c>
      <x:c r="N1037" t="str">
        <x:v>Approved</x:v>
      </x:c>
      <x:c r="O1037" t="n">
        <x:v>0</x:v>
      </x:c>
      <x:c r="P1037" t="str">
        <x:f>IF(L1037&gt;=75,"High",IF(L1037&gt;=55,"Medium","Low"))</x:f>
        <x:v>Low</x:v>
      </x:c>
    </x:row>
    <x:row r="1038">
      <x:c r="A1038" t="n">
        <x:v>1037</x:v>
      </x:c>
      <x:c r="B1038" t="n">
        <x:v>10032</x:v>
      </x:c>
      <x:c r="C1038" s="16" t="n">
        <x:v>46133</x:v>
      </x:c>
      <x:c r="D1038" t="str">
        <x:v>15:16:00</x:v>
      </x:c>
      <x:c r="E1038" t="str">
        <x:v>P2P</x:v>
      </x:c>
      <x:c r="F1038" t="str">
        <x:v>Utilities</x:v>
      </x:c>
      <x:c r="G1038" s="18" t="n">
        <x:v>155.82</x:v>
      </x:c>
      <x:c r="H1038" t="n">
        <x:v>0</x:v>
      </x:c>
      <x:c r="I1038" t="n">
        <x:v>1</x:v>
      </x:c>
      <x:c r="J1038" t="n">
        <x:v>0</x:v>
      </x:c>
      <x:c r="K1038" t="n">
        <x:v>0</x:v>
      </x:c>
      <x:c r="L1038" t="n">
        <x:v>30</x:v>
      </x:c>
      <x:c r="M1038" t="n">
        <x:v>0</x:v>
      </x:c>
      <x:c r="N1038" t="str">
        <x:v>Approved</x:v>
      </x:c>
      <x:c r="O1038" t="n">
        <x:v>0</x:v>
      </x:c>
      <x:c r="P1038" t="str">
        <x:f>IF(L1038&gt;=75,"High",IF(L1038&gt;=55,"Medium","Low"))</x:f>
        <x:v>Low</x:v>
      </x:c>
    </x:row>
    <x:row r="1039">
      <x:c r="A1039" t="n">
        <x:v>1038</x:v>
      </x:c>
      <x:c r="B1039" t="n">
        <x:v>10007</x:v>
      </x:c>
      <x:c r="C1039" s="16" t="n">
        <x:v>46224</x:v>
      </x:c>
      <x:c r="D1039" t="str">
        <x:v>15:11:00</x:v>
      </x:c>
      <x:c r="E1039" t="str">
        <x:v>P2P</x:v>
      </x:c>
      <x:c r="F1039" t="str">
        <x:v>Retail</x:v>
      </x:c>
      <x:c r="G1039" s="18" t="n">
        <x:v>15.04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10</x:v>
      </x:c>
      <x:c r="M1039" t="n">
        <x:v>0</x:v>
      </x:c>
      <x:c r="N1039" t="str">
        <x:v>Approved</x:v>
      </x:c>
      <x:c r="O1039" t="n">
        <x:v>0</x:v>
      </x:c>
      <x:c r="P1039" t="str">
        <x:f>IF(L1039&gt;=75,"High",IF(L1039&gt;=55,"Medium","Low"))</x:f>
        <x:v>Low</x:v>
      </x:c>
    </x:row>
    <x:row r="1040">
      <x:c r="A1040" t="n">
        <x:v>1039</x:v>
      </x:c>
      <x:c r="B1040" t="n">
        <x:v>10270</x:v>
      </x:c>
      <x:c r="C1040" s="16" t="n">
        <x:v>46126</x:v>
      </x:c>
      <x:c r="D1040" t="str">
        <x:v>08:22:00</x:v>
      </x:c>
      <x:c r="E1040" t="str">
        <x:v>Card</x:v>
      </x:c>
      <x:c r="F1040" t="str">
        <x:v>Retail</x:v>
      </x:c>
      <x:c r="G1040" s="18" t="n">
        <x:v>37.95</x:v>
      </x:c>
      <x:c r="H1040" t="n">
        <x:v>0</x:v>
      </x:c>
      <x:c r="I1040" t="n">
        <x:v>1</x:v>
      </x:c>
      <x:c r="J1040" t="n">
        <x:v>0</x:v>
      </x:c>
      <x:c r="K1040" t="n">
        <x:v>0</x:v>
      </x:c>
      <x:c r="L1040" t="n">
        <x:v>30</x:v>
      </x:c>
      <x:c r="M1040" t="n">
        <x:v>0</x:v>
      </x:c>
      <x:c r="N1040" t="str">
        <x:v>Approved</x:v>
      </x:c>
      <x:c r="O1040" t="n">
        <x:v>0</x:v>
      </x:c>
      <x:c r="P1040" t="str">
        <x:f>IF(L1040&gt;=75,"High",IF(L1040&gt;=55,"Medium","Low"))</x:f>
        <x:v>Low</x:v>
      </x:c>
    </x:row>
    <x:row r="1041">
      <x:c r="A1041" t="n">
        <x:v>1040</x:v>
      </x:c>
      <x:c r="B1041" t="n">
        <x:v>10002</x:v>
      </x:c>
      <x:c r="C1041" s="16" t="n">
        <x:v>46116</x:v>
      </x:c>
      <x:c r="D1041" t="str">
        <x:v>06:52:00</x:v>
      </x:c>
      <x:c r="E1041" t="str">
        <x:v>Card</x:v>
      </x:c>
      <x:c r="F1041" t="str">
        <x:v>Retail</x:v>
      </x:c>
      <x:c r="G1041" s="18" t="n">
        <x:v>35.05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10</x:v>
      </x:c>
      <x:c r="M1041" t="n">
        <x:v>0</x:v>
      </x:c>
      <x:c r="N1041" t="str">
        <x:v>Approved</x:v>
      </x:c>
      <x:c r="O1041" t="n">
        <x:v>0</x:v>
      </x:c>
      <x:c r="P1041" t="str">
        <x:f>IF(L1041&gt;=75,"High",IF(L1041&gt;=55,"Medium","Low"))</x:f>
        <x:v>Low</x:v>
      </x:c>
    </x:row>
    <x:row r="1042">
      <x:c r="A1042" t="n">
        <x:v>1041</x:v>
      </x:c>
      <x:c r="B1042" t="n">
        <x:v>10309</x:v>
      </x:c>
      <x:c r="C1042" s="16" t="n">
        <x:v>46223</x:v>
      </x:c>
      <x:c r="D1042" t="str">
        <x:v>22:30:00</x:v>
      </x:c>
      <x:c r="E1042" t="str">
        <x:v>Card</x:v>
      </x:c>
      <x:c r="F1042" t="str">
        <x:v>Subscriptions</x:v>
      </x:c>
      <x:c r="G1042" s="18" t="n">
        <x:v>210.32</x:v>
      </x:c>
      <x:c r="H1042" t="n">
        <x:v>1</x:v>
      </x:c>
      <x:c r="I1042" t="n">
        <x:v>0</x:v>
      </x:c>
      <x:c r="J1042" t="n">
        <x:v>0</x:v>
      </x:c>
      <x:c r="K1042" t="n">
        <x:v>0</x:v>
      </x:c>
      <x:c r="L1042" t="n">
        <x:v>36</x:v>
      </x:c>
      <x:c r="M1042" t="n">
        <x:v>0</x:v>
      </x:c>
      <x:c r="N1042" t="str">
        <x:v>Approved</x:v>
      </x:c>
      <x:c r="O1042" t="n">
        <x:v>0</x:v>
      </x:c>
      <x:c r="P1042" t="str">
        <x:f>IF(L1042&gt;=75,"High",IF(L1042&gt;=55,"Medium","Low"))</x:f>
        <x:v>Low</x:v>
      </x:c>
    </x:row>
    <x:row r="1043">
      <x:c r="A1043" t="n">
        <x:v>1042</x:v>
      </x:c>
      <x:c r="B1043" t="n">
        <x:v>10042</x:v>
      </x:c>
      <x:c r="C1043" s="16" t="n">
        <x:v>46233</x:v>
      </x:c>
      <x:c r="D1043" t="str">
        <x:v>12:16:00</x:v>
      </x:c>
      <x:c r="E1043" t="str">
        <x:v>Bank Transfer</x:v>
      </x:c>
      <x:c r="F1043" t="str">
        <x:v>Retail</x:v>
      </x:c>
      <x:c r="G1043" s="18" t="n">
        <x:v>70.11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10</x:v>
      </x:c>
      <x:c r="M1043" t="n">
        <x:v>0</x:v>
      </x:c>
      <x:c r="N1043" t="str">
        <x:v>Approved</x:v>
      </x:c>
      <x:c r="O1043" t="n">
        <x:v>0</x:v>
      </x:c>
      <x:c r="P1043" t="str">
        <x:f>IF(L1043&gt;=75,"High",IF(L1043&gt;=55,"Medium","Low"))</x:f>
        <x:v>Low</x:v>
      </x:c>
    </x:row>
    <x:row r="1044">
      <x:c r="A1044" t="n">
        <x:v>1043</x:v>
      </x:c>
      <x:c r="B1044" t="n">
        <x:v>10037</x:v>
      </x:c>
      <x:c r="C1044" s="16" t="n">
        <x:v>46115</x:v>
      </x:c>
      <x:c r="D1044" t="str">
        <x:v>21:01:00</x:v>
      </x:c>
      <x:c r="E1044" t="str">
        <x:v>Card</x:v>
      </x:c>
      <x:c r="F1044" t="str">
        <x:v>Utilities</x:v>
      </x:c>
      <x:c r="G1044" s="18" t="n">
        <x:v>15.29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10</x:v>
      </x:c>
      <x:c r="M1044" t="n">
        <x:v>0</x:v>
      </x:c>
      <x:c r="N1044" t="str">
        <x:v>Approved</x:v>
      </x:c>
      <x:c r="O1044" t="n">
        <x:v>0</x:v>
      </x:c>
      <x:c r="P1044" t="str">
        <x:f>IF(L1044&gt;=75,"High",IF(L1044&gt;=55,"Medium","Low"))</x:f>
        <x:v>Low</x:v>
      </x:c>
    </x:row>
    <x:row r="1045">
      <x:c r="A1045" t="n">
        <x:v>1044</x:v>
      </x:c>
      <x:c r="B1045" t="n">
        <x:v>10107</x:v>
      </x:c>
      <x:c r="C1045" s="16" t="n">
        <x:v>46214</x:v>
      </x:c>
      <x:c r="D1045" t="str">
        <x:v>14:03:00</x:v>
      </x:c>
      <x:c r="E1045" t="str">
        <x:v>Card</x:v>
      </x:c>
      <x:c r="F1045" t="str">
        <x:v>Utilities</x:v>
      </x:c>
      <x:c r="G1045" s="18" t="n">
        <x:v>230.39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10</x:v>
      </x:c>
      <x:c r="M1045" t="n">
        <x:v>0</x:v>
      </x:c>
      <x:c r="N1045" t="str">
        <x:v>Approved</x:v>
      </x:c>
      <x:c r="O1045" t="n">
        <x:v>0</x:v>
      </x:c>
      <x:c r="P1045" t="str">
        <x:f>IF(L1045&gt;=75,"High",IF(L1045&gt;=55,"Medium","Low"))</x:f>
        <x:v>Low</x:v>
      </x:c>
    </x:row>
    <x:row r="1046">
      <x:c r="A1046" t="n">
        <x:v>1045</x:v>
      </x:c>
      <x:c r="B1046" t="n">
        <x:v>10160</x:v>
      </x:c>
      <x:c r="C1046" s="16" t="n">
        <x:v>46286</x:v>
      </x:c>
      <x:c r="D1046" t="str">
        <x:v>18:05:00</x:v>
      </x:c>
      <x:c r="E1046" t="str">
        <x:v>Bank Transfer</x:v>
      </x:c>
      <x:c r="F1046" t="str">
        <x:v>Utilities</x:v>
      </x:c>
      <x:c r="G1046" s="18" t="n">
        <x:v>189.69</x:v>
      </x:c>
      <x:c r="H1046" t="n">
        <x:v>1</x:v>
      </x:c>
      <x:c r="I1046" t="n">
        <x:v>1</x:v>
      </x:c>
      <x:c r="J1046" t="n">
        <x:v>0</x:v>
      </x:c>
      <x:c r="K1046" t="n">
        <x:v>0</x:v>
      </x:c>
      <x:c r="L1046" t="n">
        <x:v>56</x:v>
      </x:c>
      <x:c r="M1046" t="n">
        <x:v>1</x:v>
      </x:c>
      <x:c r="N1046" t="str">
        <x:v>Approved</x:v>
      </x:c>
      <x:c r="O1046" t="n">
        <x:v>0</x:v>
      </x:c>
      <x:c r="P1046" t="str">
        <x:f>IF(L1046&gt;=75,"High",IF(L1046&gt;=55,"Medium","Low"))</x:f>
        <x:v>Medium</x:v>
      </x:c>
    </x:row>
    <x:row r="1047">
      <x:c r="A1047" t="n">
        <x:v>1046</x:v>
      </x:c>
      <x:c r="B1047" t="n">
        <x:v>10135</x:v>
      </x:c>
      <x:c r="C1047" s="16" t="n">
        <x:v>46132</x:v>
      </x:c>
      <x:c r="D1047" t="str">
        <x:v>11:17:00</x:v>
      </x:c>
      <x:c r="E1047" t="str">
        <x:v>Card</x:v>
      </x:c>
      <x:c r="F1047" t="str">
        <x:v>Utilities</x:v>
      </x:c>
      <x:c r="G1047" s="18" t="n">
        <x:v>385.09</x:v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n">
        <x:v>10</x:v>
      </x:c>
      <x:c r="M1047" t="n">
        <x:v>0</x:v>
      </x:c>
      <x:c r="N1047" t="str">
        <x:v>Approved</x:v>
      </x:c>
      <x:c r="O1047" t="n">
        <x:v>0</x:v>
      </x:c>
      <x:c r="P1047" t="str">
        <x:f>IF(L1047&gt;=75,"High",IF(L1047&gt;=55,"Medium","Low"))</x:f>
        <x:v>Low</x:v>
      </x:c>
    </x:row>
    <x:row r="1048">
      <x:c r="A1048" t="n">
        <x:v>1047</x:v>
      </x:c>
      <x:c r="B1048" t="n">
        <x:v>10141</x:v>
      </x:c>
      <x:c r="C1048" s="16" t="n">
        <x:v>46115</x:v>
      </x:c>
      <x:c r="D1048" t="str">
        <x:v>19:26:00</x:v>
      </x:c>
      <x:c r="E1048" t="str">
        <x:v>Bank Transfer</x:v>
      </x:c>
      <x:c r="F1048" t="str">
        <x:v>Utilities</x:v>
      </x:c>
      <x:c r="G1048" s="18" t="n">
        <x:v>86.83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10</x:v>
      </x:c>
      <x:c r="M1048" t="n">
        <x:v>0</x:v>
      </x:c>
      <x:c r="N1048" t="str">
        <x:v>Approved</x:v>
      </x:c>
      <x:c r="O1048" t="n">
        <x:v>0</x:v>
      </x:c>
      <x:c r="P1048" t="str">
        <x:f>IF(L1048&gt;=75,"High",IF(L1048&gt;=55,"Medium","Low"))</x:f>
        <x:v>Low</x:v>
      </x:c>
    </x:row>
    <x:row r="1049">
      <x:c r="A1049" t="n">
        <x:v>1048</x:v>
      </x:c>
      <x:c r="B1049" t="n">
        <x:v>10114</x:v>
      </x:c>
      <x:c r="C1049" s="16" t="n">
        <x:v>46274</x:v>
      </x:c>
      <x:c r="D1049" t="str">
        <x:v>17:31:00</x:v>
      </x:c>
      <x:c r="E1049" t="str">
        <x:v>Card</x:v>
      </x:c>
      <x:c r="F1049" t="str">
        <x:v>Subscriptions</x:v>
      </x:c>
      <x:c r="G1049" s="18" t="n">
        <x:v>302.32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10</x:v>
      </x:c>
      <x:c r="M1049" t="n">
        <x:v>0</x:v>
      </x:c>
      <x:c r="N1049" t="str">
        <x:v>Declined</x:v>
      </x:c>
      <x:c r="O1049" t="n">
        <x:v>0</x:v>
      </x:c>
      <x:c r="P1049" t="str">
        <x:f>IF(L1049&gt;=75,"High",IF(L1049&gt;=55,"Medium","Low"))</x:f>
        <x:v>Low</x:v>
      </x:c>
    </x:row>
    <x:row r="1050">
      <x:c r="A1050" t="n">
        <x:v>1049</x:v>
      </x:c>
      <x:c r="B1050" t="n">
        <x:v>10254</x:v>
      </x:c>
      <x:c r="C1050" s="16" t="n">
        <x:v>46258</x:v>
      </x:c>
      <x:c r="D1050" t="str">
        <x:v>12:15:00</x:v>
      </x:c>
      <x:c r="E1050" t="str">
        <x:v>Card</x:v>
      </x:c>
      <x:c r="F1050" t="str">
        <x:v>Subscriptions</x:v>
      </x:c>
      <x:c r="G1050" s="18" t="n">
        <x:v>14.68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10</x:v>
      </x:c>
      <x:c r="M1050" t="n">
        <x:v>0</x:v>
      </x:c>
      <x:c r="N1050" t="str">
        <x:v>Declined</x:v>
      </x:c>
      <x:c r="O1050" t="n">
        <x:v>0</x:v>
      </x:c>
      <x:c r="P1050" t="str">
        <x:f>IF(L1050&gt;=75,"High",IF(L1050&gt;=55,"Medium","Low"))</x:f>
        <x:v>Low</x:v>
      </x:c>
    </x:row>
    <x:row r="1051">
      <x:c r="A1051" t="n">
        <x:v>1050</x:v>
      </x:c>
      <x:c r="B1051" t="n">
        <x:v>10151</x:v>
      </x:c>
      <x:c r="C1051" s="16" t="n">
        <x:v>46180</x:v>
      </x:c>
      <x:c r="D1051" t="str">
        <x:v>09:46:00</x:v>
      </x:c>
      <x:c r="E1051" t="str">
        <x:v>Card</x:v>
      </x:c>
      <x:c r="F1051" t="str">
        <x:v>Travel</x:v>
      </x:c>
      <x:c r="G1051" s="18" t="n">
        <x:v>50.51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10</x:v>
      </x:c>
      <x:c r="M1051" t="n">
        <x:v>0</x:v>
      </x:c>
      <x:c r="N1051" t="str">
        <x:v>Approved</x:v>
      </x:c>
      <x:c r="O1051" t="n">
        <x:v>0</x:v>
      </x:c>
      <x:c r="P1051" t="str">
        <x:f>IF(L1051&gt;=75,"High",IF(L1051&gt;=55,"Medium","Low"))</x:f>
        <x:v>Low</x:v>
      </x:c>
    </x:row>
    <x:row r="1052">
      <x:c r="A1052" t="n">
        <x:v>1051</x:v>
      </x:c>
      <x:c r="B1052" t="n">
        <x:v>10294</x:v>
      </x:c>
      <x:c r="C1052" s="16" t="n">
        <x:v>46123</x:v>
      </x:c>
      <x:c r="D1052" t="str">
        <x:v>03:15:00</x:v>
      </x:c>
      <x:c r="E1052" t="str">
        <x:v>Bank Transfer</x:v>
      </x:c>
      <x:c r="F1052" t="str">
        <x:v>Retail</x:v>
      </x:c>
      <x:c r="G1052" s="18" t="n">
        <x:v>260.28</x:v>
      </x:c>
      <x:c r="H1052" t="n">
        <x:v>0</x:v>
      </x:c>
      <x:c r="I1052" t="n">
        <x:v>0</x:v>
      </x:c>
      <x:c r="J1052" t="n">
        <x:v>0</x:v>
      </x:c>
      <x:c r="K1052" t="n">
        <x:v>1</x:v>
      </x:c>
      <x:c r="L1052" t="n">
        <x:v>25</x:v>
      </x:c>
      <x:c r="M1052" t="n">
        <x:v>0</x:v>
      </x:c>
      <x:c r="N1052" t="str">
        <x:v>Declined</x:v>
      </x:c>
      <x:c r="O1052" t="n">
        <x:v>0</x:v>
      </x:c>
      <x:c r="P1052" t="str">
        <x:f>IF(L1052&gt;=75,"High",IF(L1052&gt;=55,"Medium","Low"))</x:f>
        <x:v>Low</x:v>
      </x:c>
    </x:row>
    <x:row r="1053">
      <x:c r="A1053" t="n">
        <x:v>1052</x:v>
      </x:c>
      <x:c r="B1053" t="n">
        <x:v>10203</x:v>
      </x:c>
      <x:c r="C1053" s="16" t="n">
        <x:v>46278</x:v>
      </x:c>
      <x:c r="D1053" t="str">
        <x:v>18:23:00</x:v>
      </x:c>
      <x:c r="E1053" t="str">
        <x:v>Card</x:v>
      </x:c>
      <x:c r="F1053" t="str">
        <x:v>Dining</x:v>
      </x:c>
      <x:c r="G1053" s="18" t="n">
        <x:v>24.32</x:v>
      </x:c>
      <x:c r="H1053" t="n">
        <x:v>0</x:v>
      </x:c>
      <x:c r="I1053" t="n">
        <x:v>1</x:v>
      </x:c>
      <x:c r="J1053" t="n">
        <x:v>0</x:v>
      </x:c>
      <x:c r="K1053" t="n">
        <x:v>0</x:v>
      </x:c>
      <x:c r="L1053" t="n">
        <x:v>30</x:v>
      </x:c>
      <x:c r="M1053" t="n">
        <x:v>0</x:v>
      </x:c>
      <x:c r="N1053" t="str">
        <x:v>Approved</x:v>
      </x:c>
      <x:c r="O1053" t="n">
        <x:v>0</x:v>
      </x:c>
      <x:c r="P1053" t="str">
        <x:f>IF(L1053&gt;=75,"High",IF(L1053&gt;=55,"Medium","Low"))</x:f>
        <x:v>Low</x:v>
      </x:c>
    </x:row>
    <x:row r="1054">
      <x:c r="A1054" t="n">
        <x:v>1053</x:v>
      </x:c>
      <x:c r="B1054" t="n">
        <x:v>10149</x:v>
      </x:c>
      <x:c r="C1054" s="16" t="n">
        <x:v>46156</x:v>
      </x:c>
      <x:c r="D1054" t="str">
        <x:v>04:59:00</x:v>
      </x:c>
      <x:c r="E1054" t="str">
        <x:v>Card</x:v>
      </x:c>
      <x:c r="F1054" t="str">
        <x:v>Electronics</x:v>
      </x:c>
      <x:c r="G1054" s="18" t="n">
        <x:v>35.54</x:v>
      </x:c>
      <x:c r="H1054" t="n">
        <x:v>0</x:v>
      </x:c>
      <x:c r="I1054" t="n">
        <x:v>0</x:v>
      </x:c>
      <x:c r="J1054" t="n">
        <x:v>0</x:v>
      </x:c>
      <x:c r="K1054" t="n">
        <x:v>1</x:v>
      </x:c>
      <x:c r="L1054" t="n">
        <x:v>25</x:v>
      </x:c>
      <x:c r="M1054" t="n">
        <x:v>0</x:v>
      </x:c>
      <x:c r="N1054" t="str">
        <x:v>Approved</x:v>
      </x:c>
      <x:c r="O1054" t="n">
        <x:v>0</x:v>
      </x:c>
      <x:c r="P1054" t="str">
        <x:f>IF(L1054&gt;=75,"High",IF(L1054&gt;=55,"Medium","Low"))</x:f>
        <x:v>Low</x:v>
      </x:c>
    </x:row>
    <x:row r="1055">
      <x:c r="A1055" t="n">
        <x:v>1054</x:v>
      </x:c>
      <x:c r="B1055" t="n">
        <x:v>10247</x:v>
      </x:c>
      <x:c r="C1055" s="16" t="n">
        <x:v>46115</x:v>
      </x:c>
      <x:c r="D1055" t="str">
        <x:v>13:32:00</x:v>
      </x:c>
      <x:c r="E1055" t="str">
        <x:v>Card</x:v>
      </x:c>
      <x:c r="F1055" t="str">
        <x:v>Subscriptions</x:v>
      </x:c>
      <x:c r="G1055" s="18" t="n">
        <x:v>207.35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10</x:v>
      </x:c>
      <x:c r="M1055" t="n">
        <x:v>0</x:v>
      </x:c>
      <x:c r="N1055" t="str">
        <x:v>Approved</x:v>
      </x:c>
      <x:c r="O1055" t="n">
        <x:v>0</x:v>
      </x:c>
      <x:c r="P1055" t="str">
        <x:f>IF(L1055&gt;=75,"High",IF(L1055&gt;=55,"Medium","Low"))</x:f>
        <x:v>Low</x:v>
      </x:c>
    </x:row>
    <x:row r="1056">
      <x:c r="A1056" t="n">
        <x:v>1055</x:v>
      </x:c>
      <x:c r="B1056" t="n">
        <x:v>10053</x:v>
      </x:c>
      <x:c r="C1056" s="16" t="n">
        <x:v>46288</x:v>
      </x:c>
      <x:c r="D1056" t="str">
        <x:v>15:44:00</x:v>
      </x:c>
      <x:c r="E1056" t="str">
        <x:v>Bank Transfer</x:v>
      </x:c>
      <x:c r="F1056" t="str">
        <x:v>Travel</x:v>
      </x:c>
      <x:c r="G1056" s="18" t="n">
        <x:v>353.94</x:v>
      </x:c>
      <x:c r="H1056" t="n">
        <x:v>1</x:v>
      </x:c>
      <x:c r="I1056" t="n">
        <x:v>0</x:v>
      </x:c>
      <x:c r="J1056" t="n">
        <x:v>0</x:v>
      </x:c>
      <x:c r="K1056" t="n">
        <x:v>0</x:v>
      </x:c>
      <x:c r="L1056" t="n">
        <x:v>36</x:v>
      </x:c>
      <x:c r="M1056" t="n">
        <x:v>0</x:v>
      </x:c>
      <x:c r="N1056" t="str">
        <x:v>Approved</x:v>
      </x:c>
      <x:c r="O1056" t="n">
        <x:v>0</x:v>
      </x:c>
      <x:c r="P1056" t="str">
        <x:f>IF(L1056&gt;=75,"High",IF(L1056&gt;=55,"Medium","Low"))</x:f>
        <x:v>Low</x:v>
      </x:c>
    </x:row>
    <x:row r="1057">
      <x:c r="A1057" t="n">
        <x:v>1056</x:v>
      </x:c>
      <x:c r="B1057" t="n">
        <x:v>10174</x:v>
      </x:c>
      <x:c r="C1057" s="16" t="n">
        <x:v>46255</x:v>
      </x:c>
      <x:c r="D1057" t="str">
        <x:v>01:38:00</x:v>
      </x:c>
      <x:c r="E1057" t="str">
        <x:v>Card</x:v>
      </x:c>
      <x:c r="F1057" t="str">
        <x:v>Utilities</x:v>
      </x:c>
      <x:c r="G1057" s="18" t="n">
        <x:v>108.44</x:v>
      </x:c>
      <x:c r="H1057" t="n">
        <x:v>0</x:v>
      </x:c>
      <x:c r="I1057" t="n">
        <x:v>0</x:v>
      </x:c>
      <x:c r="J1057" t="n">
        <x:v>0</x:v>
      </x:c>
      <x:c r="K1057" t="n">
        <x:v>1</x:v>
      </x:c>
      <x:c r="L1057" t="n">
        <x:v>25</x:v>
      </x:c>
      <x:c r="M1057" t="n">
        <x:v>0</x:v>
      </x:c>
      <x:c r="N1057" t="str">
        <x:v>Approved</x:v>
      </x:c>
      <x:c r="O1057" t="n">
        <x:v>0</x:v>
      </x:c>
      <x:c r="P1057" t="str">
        <x:f>IF(L1057&gt;=75,"High",IF(L1057&gt;=55,"Medium","Low"))</x:f>
        <x:v>Low</x:v>
      </x:c>
    </x:row>
    <x:row r="1058">
      <x:c r="A1058" t="n">
        <x:v>1057</x:v>
      </x:c>
      <x:c r="B1058" t="n">
        <x:v>10162</x:v>
      </x:c>
      <x:c r="C1058" s="16" t="n">
        <x:v>46192</x:v>
      </x:c>
      <x:c r="D1058" t="str">
        <x:v>01:57:00</x:v>
      </x:c>
      <x:c r="E1058" t="str">
        <x:v>Card</x:v>
      </x:c>
      <x:c r="F1058" t="str">
        <x:v>Subscriptions</x:v>
      </x:c>
      <x:c r="G1058" s="18" t="n">
        <x:v>275.92</x:v>
      </x:c>
      <x:c r="H1058" t="n">
        <x:v>0</x:v>
      </x:c>
      <x:c r="I1058" t="n">
        <x:v>0</x:v>
      </x:c>
      <x:c r="J1058" t="n">
        <x:v>0</x:v>
      </x:c>
      <x:c r="K1058" t="n">
        <x:v>1</x:v>
      </x:c>
      <x:c r="L1058" t="n">
        <x:v>25</x:v>
      </x:c>
      <x:c r="M1058" t="n">
        <x:v>0</x:v>
      </x:c>
      <x:c r="N1058" t="str">
        <x:v>Approved</x:v>
      </x:c>
      <x:c r="O1058" t="n">
        <x:v>0</x:v>
      </x:c>
      <x:c r="P1058" t="str">
        <x:f>IF(L1058&gt;=75,"High",IF(L1058&gt;=55,"Medium","Low"))</x:f>
        <x:v>Low</x:v>
      </x:c>
    </x:row>
    <x:row r="1059">
      <x:c r="A1059" t="n">
        <x:v>1058</x:v>
      </x:c>
      <x:c r="B1059" t="n">
        <x:v>10187</x:v>
      </x:c>
      <x:c r="C1059" s="16" t="n">
        <x:v>46187</x:v>
      </x:c>
      <x:c r="D1059" t="str">
        <x:v>20:52:00</x:v>
      </x:c>
      <x:c r="E1059" t="str">
        <x:v>Bank Transfer</x:v>
      </x:c>
      <x:c r="F1059" t="str">
        <x:v>Subscriptions</x:v>
      </x:c>
      <x:c r="G1059" s="18" t="n">
        <x:v>67.88</x:v>
      </x:c>
      <x:c r="H1059" t="n">
        <x:v>0</x:v>
      </x:c>
      <x:c r="I1059" t="n">
        <x:v>1</x:v>
      </x:c>
      <x:c r="J1059" t="n">
        <x:v>0</x:v>
      </x:c>
      <x:c r="K1059" t="n">
        <x:v>0</x:v>
      </x:c>
      <x:c r="L1059" t="n">
        <x:v>30</x:v>
      </x:c>
      <x:c r="M1059" t="n">
        <x:v>0</x:v>
      </x:c>
      <x:c r="N1059" t="str">
        <x:v>Approved</x:v>
      </x:c>
      <x:c r="O1059" t="n">
        <x:v>0</x:v>
      </x:c>
      <x:c r="P1059" t="str">
        <x:f>IF(L1059&gt;=75,"High",IF(L1059&gt;=55,"Medium","Low"))</x:f>
        <x:v>Low</x:v>
      </x:c>
    </x:row>
    <x:row r="1060">
      <x:c r="A1060" t="n">
        <x:v>1059</x:v>
      </x:c>
      <x:c r="B1060" t="n">
        <x:v>10116</x:v>
      </x:c>
      <x:c r="C1060" s="16" t="n">
        <x:v>46268</x:v>
      </x:c>
      <x:c r="D1060" t="str">
        <x:v>06:04:00</x:v>
      </x:c>
      <x:c r="E1060" t="str">
        <x:v>P2P</x:v>
      </x:c>
      <x:c r="F1060" t="str">
        <x:v>Subscriptions</x:v>
      </x:c>
      <x:c r="G1060" s="18" t="n">
        <x:v>300.33</x:v>
      </x:c>
      <x:c r="H1060" t="n">
        <x:v>0</x:v>
      </x:c>
      <x:c r="I1060" t="n">
        <x:v>0</x:v>
      </x:c>
      <x:c r="J1060" t="n">
        <x:v>0</x:v>
      </x:c>
      <x:c r="K1060" t="n">
        <x:v>0</x:v>
      </x:c>
      <x:c r="L1060" t="n">
        <x:v>10</x:v>
      </x:c>
      <x:c r="M1060" t="n">
        <x:v>0</x:v>
      </x:c>
      <x:c r="N1060" t="str">
        <x:v>Approved</x:v>
      </x:c>
      <x:c r="O1060" t="n">
        <x:v>0</x:v>
      </x:c>
      <x:c r="P1060" t="str">
        <x:f>IF(L1060&gt;=75,"High",IF(L1060&gt;=55,"Medium","Low"))</x:f>
        <x:v>Low</x:v>
      </x:c>
    </x:row>
    <x:row r="1061">
      <x:c r="A1061" t="n">
        <x:v>1060</x:v>
      </x:c>
      <x:c r="B1061" t="n">
        <x:v>10081</x:v>
      </x:c>
      <x:c r="C1061" s="16" t="n">
        <x:v>46171</x:v>
      </x:c>
      <x:c r="D1061" t="str">
        <x:v>19:45:00</x:v>
      </x:c>
      <x:c r="E1061" t="str">
        <x:v>Bank Transfer</x:v>
      </x:c>
      <x:c r="F1061" t="str">
        <x:v>Retail</x:v>
      </x:c>
      <x:c r="G1061" s="18" t="n">
        <x:v>36.92</x:v>
      </x:c>
      <x:c r="H1061" t="n">
        <x:v>1</x:v>
      </x:c>
      <x:c r="I1061" t="n">
        <x:v>0</x:v>
      </x:c>
      <x:c r="J1061" t="n">
        <x:v>0</x:v>
      </x:c>
      <x:c r="K1061" t="n">
        <x:v>0</x:v>
      </x:c>
      <x:c r="L1061" t="n">
        <x:v>36</x:v>
      </x:c>
      <x:c r="M1061" t="n">
        <x:v>0</x:v>
      </x:c>
      <x:c r="N1061" t="str">
        <x:v>Approved</x:v>
      </x:c>
      <x:c r="O1061" t="n">
        <x:v>0</x:v>
      </x:c>
      <x:c r="P1061" t="str">
        <x:f>IF(L1061&gt;=75,"High",IF(L1061&gt;=55,"Medium","Low"))</x:f>
        <x:v>Low</x:v>
      </x:c>
    </x:row>
    <x:row r="1062">
      <x:c r="A1062" t="n">
        <x:v>1061</x:v>
      </x:c>
      <x:c r="B1062" t="n">
        <x:v>10018</x:v>
      </x:c>
      <x:c r="C1062" s="16" t="n">
        <x:v>46210</x:v>
      </x:c>
      <x:c r="D1062" t="str">
        <x:v>12:27:00</x:v>
      </x:c>
      <x:c r="E1062" t="str">
        <x:v>Card</x:v>
      </x:c>
      <x:c r="F1062" t="str">
        <x:v>Retail</x:v>
      </x:c>
      <x:c r="G1062" s="18" t="n">
        <x:v>103.5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10</x:v>
      </x:c>
      <x:c r="M1062" t="n">
        <x:v>0</x:v>
      </x:c>
      <x:c r="N1062" t="str">
        <x:v>Approved</x:v>
      </x:c>
      <x:c r="O1062" t="n">
        <x:v>0</x:v>
      </x:c>
      <x:c r="P1062" t="str">
        <x:f>IF(L1062&gt;=75,"High",IF(L1062&gt;=55,"Medium","Low"))</x:f>
        <x:v>Low</x:v>
      </x:c>
    </x:row>
    <x:row r="1063">
      <x:c r="A1063" t="n">
        <x:v>1062</x:v>
      </x:c>
      <x:c r="B1063" t="n">
        <x:v>10163</x:v>
      </x:c>
      <x:c r="C1063" s="16" t="n">
        <x:v>46166</x:v>
      </x:c>
      <x:c r="D1063" t="str">
        <x:v>06:59:00</x:v>
      </x:c>
      <x:c r="E1063" t="str">
        <x:v>Card</x:v>
      </x:c>
      <x:c r="F1063" t="str">
        <x:v>Utilities</x:v>
      </x:c>
      <x:c r="G1063" s="18" t="n">
        <x:v>48.83</x:v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n">
        <x:v>10</x:v>
      </x:c>
      <x:c r="M1063" t="n">
        <x:v>0</x:v>
      </x:c>
      <x:c r="N1063" t="str">
        <x:v>Approved</x:v>
      </x:c>
      <x:c r="O1063" t="n">
        <x:v>0</x:v>
      </x:c>
      <x:c r="P1063" t="str">
        <x:f>IF(L1063&gt;=75,"High",IF(L1063&gt;=55,"Medium","Low"))</x:f>
        <x:v>Low</x:v>
      </x:c>
    </x:row>
    <x:row r="1064">
      <x:c r="A1064" t="n">
        <x:v>1063</x:v>
      </x:c>
      <x:c r="B1064" t="n">
        <x:v>10141</x:v>
      </x:c>
      <x:c r="C1064" s="16" t="n">
        <x:v>46228</x:v>
      </x:c>
      <x:c r="D1064" t="str">
        <x:v>12:32:00</x:v>
      </x:c>
      <x:c r="E1064" t="str">
        <x:v>Card</x:v>
      </x:c>
      <x:c r="F1064" t="str">
        <x:v>Travel</x:v>
      </x:c>
      <x:c r="G1064" s="18" t="n">
        <x:v>32.91</x:v>
      </x:c>
      <x:c r="H1064" t="n">
        <x:v>0</x:v>
      </x:c>
      <x:c r="I1064" t="n">
        <x:v>0</x:v>
      </x:c>
      <x:c r="J1064" t="n">
        <x:v>0</x:v>
      </x:c>
      <x:c r="K1064" t="n">
        <x:v>0</x:v>
      </x:c>
      <x:c r="L1064" t="n">
        <x:v>10</x:v>
      </x:c>
      <x:c r="M1064" t="n">
        <x:v>0</x:v>
      </x:c>
      <x:c r="N1064" t="str">
        <x:v>Approved</x:v>
      </x:c>
      <x:c r="O1064" t="n">
        <x:v>0</x:v>
      </x:c>
      <x:c r="P1064" t="str">
        <x:f>IF(L1064&gt;=75,"High",IF(L1064&gt;=55,"Medium","Low"))</x:f>
        <x:v>Low</x:v>
      </x:c>
    </x:row>
    <x:row r="1065">
      <x:c r="A1065" t="n">
        <x:v>1064</x:v>
      </x:c>
      <x:c r="B1065" t="n">
        <x:v>10277</x:v>
      </x:c>
      <x:c r="C1065" s="16" t="n">
        <x:v>46195</x:v>
      </x:c>
      <x:c r="D1065" t="str">
        <x:v>22:26:00</x:v>
      </x:c>
      <x:c r="E1065" t="str">
        <x:v>Card</x:v>
      </x:c>
      <x:c r="F1065" t="str">
        <x:v>Retail</x:v>
      </x:c>
      <x:c r="G1065" s="18" t="n">
        <x:v>271.64</x:v>
      </x:c>
      <x:c r="H1065" t="n">
        <x:v>0</x:v>
      </x:c>
      <x:c r="I1065" t="n">
        <x:v>1</x:v>
      </x:c>
      <x:c r="J1065" t="n">
        <x:v>0</x:v>
      </x:c>
      <x:c r="K1065" t="n">
        <x:v>0</x:v>
      </x:c>
      <x:c r="L1065" t="n">
        <x:v>30</x:v>
      </x:c>
      <x:c r="M1065" t="n">
        <x:v>0</x:v>
      </x:c>
      <x:c r="N1065" t="str">
        <x:v>Approved</x:v>
      </x:c>
      <x:c r="O1065" t="n">
        <x:v>0</x:v>
      </x:c>
      <x:c r="P1065" t="str">
        <x:f>IF(L1065&gt;=75,"High",IF(L1065&gt;=55,"Medium","Low"))</x:f>
        <x:v>Low</x:v>
      </x:c>
    </x:row>
    <x:row r="1066">
      <x:c r="A1066" t="n">
        <x:v>1065</x:v>
      </x:c>
      <x:c r="B1066" t="n">
        <x:v>10085</x:v>
      </x:c>
      <x:c r="C1066" s="16" t="n">
        <x:v>46116</x:v>
      </x:c>
      <x:c r="D1066" t="str">
        <x:v>08:49:00</x:v>
      </x:c>
      <x:c r="E1066" t="str">
        <x:v>P2P</x:v>
      </x:c>
      <x:c r="F1066" t="str">
        <x:v>Utilities</x:v>
      </x:c>
      <x:c r="G1066" s="18" t="n">
        <x:v>16.16</x:v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n">
        <x:v>10</x:v>
      </x:c>
      <x:c r="M1066" t="n">
        <x:v>0</x:v>
      </x:c>
      <x:c r="N1066" t="str">
        <x:v>Approved</x:v>
      </x:c>
      <x:c r="O1066" t="n">
        <x:v>0</x:v>
      </x:c>
      <x:c r="P1066" t="str">
        <x:f>IF(L1066&gt;=75,"High",IF(L1066&gt;=55,"Medium","Low"))</x:f>
        <x:v>Low</x:v>
      </x:c>
    </x:row>
    <x:row r="1067">
      <x:c r="A1067" t="n">
        <x:v>1066</x:v>
      </x:c>
      <x:c r="B1067" t="n">
        <x:v>10322</x:v>
      </x:c>
      <x:c r="C1067" s="16" t="n">
        <x:v>46212</x:v>
      </x:c>
      <x:c r="D1067" t="str">
        <x:v>05:24:00</x:v>
      </x:c>
      <x:c r="E1067" t="str">
        <x:v>P2P</x:v>
      </x:c>
      <x:c r="F1067" t="str">
        <x:v>Electronics</x:v>
      </x:c>
      <x:c r="G1067" s="18" t="n">
        <x:v>39.8</x:v>
      </x:c>
      <x:c r="H1067" t="n">
        <x:v>1</x:v>
      </x:c>
      <x:c r="I1067" t="n">
        <x:v>0</x:v>
      </x:c>
      <x:c r="J1067" t="n">
        <x:v>0</x:v>
      </x:c>
      <x:c r="K1067" t="n">
        <x:v>0</x:v>
      </x:c>
      <x:c r="L1067" t="n">
        <x:v>36</x:v>
      </x:c>
      <x:c r="M1067" t="n">
        <x:v>0</x:v>
      </x:c>
      <x:c r="N1067" t="str">
        <x:v>Approved</x:v>
      </x:c>
      <x:c r="O1067" t="n">
        <x:v>0</x:v>
      </x:c>
      <x:c r="P1067" t="str">
        <x:f>IF(L1067&gt;=75,"High",IF(L1067&gt;=55,"Medium","Low"))</x:f>
        <x:v>Low</x:v>
      </x:c>
    </x:row>
    <x:row r="1068">
      <x:c r="A1068" t="n">
        <x:v>1067</x:v>
      </x:c>
      <x:c r="B1068" t="n">
        <x:v>10217</x:v>
      </x:c>
      <x:c r="C1068" s="16" t="n">
        <x:v>46250</x:v>
      </x:c>
      <x:c r="D1068" t="str">
        <x:v>09:13:00</x:v>
      </x:c>
      <x:c r="E1068" t="str">
        <x:v>Card</x:v>
      </x:c>
      <x:c r="F1068" t="str">
        <x:v>Travel</x:v>
      </x:c>
      <x:c r="G1068" s="18" t="n">
        <x:v>114.74</x:v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n">
        <x:v>10</x:v>
      </x:c>
      <x:c r="M1068" t="n">
        <x:v>0</x:v>
      </x:c>
      <x:c r="N1068" t="str">
        <x:v>Declined</x:v>
      </x:c>
      <x:c r="O1068" t="n">
        <x:v>0</x:v>
      </x:c>
      <x:c r="P1068" t="str">
        <x:f>IF(L1068&gt;=75,"High",IF(L1068&gt;=55,"Medium","Low"))</x:f>
        <x:v>Low</x:v>
      </x:c>
    </x:row>
    <x:row r="1069">
      <x:c r="A1069" t="n">
        <x:v>1068</x:v>
      </x:c>
      <x:c r="B1069" t="n">
        <x:v>10356</x:v>
      </x:c>
      <x:c r="C1069" s="16" t="n">
        <x:v>46183</x:v>
      </x:c>
      <x:c r="D1069" t="str">
        <x:v>06:07:00</x:v>
      </x:c>
      <x:c r="E1069" t="str">
        <x:v>Card</x:v>
      </x:c>
      <x:c r="F1069" t="str">
        <x:v>Retail</x:v>
      </x:c>
      <x:c r="G1069" s="18" t="n">
        <x:v>15.53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10</x:v>
      </x:c>
      <x:c r="M1069" t="n">
        <x:v>0</x:v>
      </x:c>
      <x:c r="N1069" t="str">
        <x:v>Approved</x:v>
      </x:c>
      <x:c r="O1069" t="n">
        <x:v>0</x:v>
      </x:c>
      <x:c r="P1069" t="str">
        <x:f>IF(L1069&gt;=75,"High",IF(L1069&gt;=55,"Medium","Low"))</x:f>
        <x:v>Low</x:v>
      </x:c>
    </x:row>
    <x:row r="1070">
      <x:c r="A1070" t="n">
        <x:v>1069</x:v>
      </x:c>
      <x:c r="B1070" t="n">
        <x:v>10247</x:v>
      </x:c>
      <x:c r="C1070" s="16" t="n">
        <x:v>46265</x:v>
      </x:c>
      <x:c r="D1070" t="str">
        <x:v>09:14:00</x:v>
      </x:c>
      <x:c r="E1070" t="str">
        <x:v>Card</x:v>
      </x:c>
      <x:c r="F1070" t="str">
        <x:v>Transfer</x:v>
      </x:c>
      <x:c r="G1070" s="18" t="n">
        <x:v>485.03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10</x:v>
      </x:c>
      <x:c r="M1070" t="n">
        <x:v>0</x:v>
      </x:c>
      <x:c r="N1070" t="str">
        <x:v>Declined</x:v>
      </x:c>
      <x:c r="O1070" t="n">
        <x:v>0</x:v>
      </x:c>
      <x:c r="P1070" t="str">
        <x:f>IF(L1070&gt;=75,"High",IF(L1070&gt;=55,"Medium","Low"))</x:f>
        <x:v>Low</x:v>
      </x:c>
    </x:row>
    <x:row r="1071">
      <x:c r="A1071" t="n">
        <x:v>1070</x:v>
      </x:c>
      <x:c r="B1071" t="n">
        <x:v>10262</x:v>
      </x:c>
      <x:c r="C1071" s="16" t="n">
        <x:v>46138</x:v>
      </x:c>
      <x:c r="D1071" t="str">
        <x:v>19:41:00</x:v>
      </x:c>
      <x:c r="E1071" t="str">
        <x:v>Bank Transfer</x:v>
      </x:c>
      <x:c r="F1071" t="str">
        <x:v>Subscriptions</x:v>
      </x:c>
      <x:c r="G1071" s="18" t="n">
        <x:v>279.88</x:v>
      </x:c>
      <x:c r="H1071" t="n">
        <x:v>0</x:v>
      </x:c>
      <x:c r="I1071" t="n">
        <x:v>0</x:v>
      </x:c>
      <x:c r="J1071" t="n">
        <x:v>0</x:v>
      </x:c>
      <x:c r="K1071" t="n">
        <x:v>0</x:v>
      </x:c>
      <x:c r="L1071" t="n">
        <x:v>10</x:v>
      </x:c>
      <x:c r="M1071" t="n">
        <x:v>0</x:v>
      </x:c>
      <x:c r="N1071" t="str">
        <x:v>Approved</x:v>
      </x:c>
      <x:c r="O1071" t="n">
        <x:v>0</x:v>
      </x:c>
      <x:c r="P1071" t="str">
        <x:f>IF(L1071&gt;=75,"High",IF(L1071&gt;=55,"Medium","Low"))</x:f>
        <x:v>Low</x:v>
      </x:c>
    </x:row>
    <x:row r="1072">
      <x:c r="A1072" t="n">
        <x:v>1071</x:v>
      </x:c>
      <x:c r="B1072" t="n">
        <x:v>10323</x:v>
      </x:c>
      <x:c r="C1072" s="16" t="n">
        <x:v>46177</x:v>
      </x:c>
      <x:c r="D1072" t="str">
        <x:v>02:34:00</x:v>
      </x:c>
      <x:c r="E1072" t="str">
        <x:v>Card</x:v>
      </x:c>
      <x:c r="F1072" t="str">
        <x:v>Subscriptions</x:v>
      </x:c>
      <x:c r="G1072" s="18" t="n">
        <x:v>86.4</x:v>
      </x:c>
      <x:c r="H1072" t="n">
        <x:v>1</x:v>
      </x:c>
      <x:c r="I1072" t="n">
        <x:v>0</x:v>
      </x:c>
      <x:c r="J1072" t="n">
        <x:v>0</x:v>
      </x:c>
      <x:c r="K1072" t="n">
        <x:v>1</x:v>
      </x:c>
      <x:c r="L1072" t="n">
        <x:v>51</x:v>
      </x:c>
      <x:c r="M1072" t="n">
        <x:v>0</x:v>
      </x:c>
      <x:c r="N1072" t="str">
        <x:v>Approved</x:v>
      </x:c>
      <x:c r="O1072" t="n">
        <x:v>0</x:v>
      </x:c>
      <x:c r="P1072" t="str">
        <x:f>IF(L1072&gt;=75,"High",IF(L1072&gt;=55,"Medium","Low"))</x:f>
        <x:v>Low</x:v>
      </x:c>
    </x:row>
    <x:row r="1073">
      <x:c r="A1073" t="n">
        <x:v>1072</x:v>
      </x:c>
      <x:c r="B1073" t="n">
        <x:v>10023</x:v>
      </x:c>
      <x:c r="C1073" s="16" t="n">
        <x:v>46189</x:v>
      </x:c>
      <x:c r="D1073" t="str">
        <x:v>18:38:00</x:v>
      </x:c>
      <x:c r="E1073" t="str">
        <x:v>Card</x:v>
      </x:c>
      <x:c r="F1073" t="str">
        <x:v>Electronics</x:v>
      </x:c>
      <x:c r="G1073" s="18" t="n">
        <x:v>210.67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10</x:v>
      </x:c>
      <x:c r="M1073" t="n">
        <x:v>0</x:v>
      </x:c>
      <x:c r="N1073" t="str">
        <x:v>Approved</x:v>
      </x:c>
      <x:c r="O1073" t="n">
        <x:v>0</x:v>
      </x:c>
      <x:c r="P1073" t="str">
        <x:f>IF(L1073&gt;=75,"High",IF(L1073&gt;=55,"Medium","Low"))</x:f>
        <x:v>Low</x:v>
      </x:c>
    </x:row>
    <x:row r="1074">
      <x:c r="A1074" t="n">
        <x:v>1073</x:v>
      </x:c>
      <x:c r="B1074" t="n">
        <x:v>10208</x:v>
      </x:c>
      <x:c r="C1074" s="16" t="n">
        <x:v>46122</x:v>
      </x:c>
      <x:c r="D1074" t="str">
        <x:v>03:53:00</x:v>
      </x:c>
      <x:c r="E1074" t="str">
        <x:v>P2P</x:v>
      </x:c>
      <x:c r="F1074" t="str">
        <x:v>Retail</x:v>
      </x:c>
      <x:c r="G1074" s="18" t="n">
        <x:v>40.15</x:v>
      </x:c>
      <x:c r="H1074" t="n">
        <x:v>1</x:v>
      </x:c>
      <x:c r="I1074" t="n">
        <x:v>0</x:v>
      </x:c>
      <x:c r="J1074" t="n">
        <x:v>0</x:v>
      </x:c>
      <x:c r="K1074" t="n">
        <x:v>1</x:v>
      </x:c>
      <x:c r="L1074" t="n">
        <x:v>51</x:v>
      </x:c>
      <x:c r="M1074" t="n">
        <x:v>0</x:v>
      </x:c>
      <x:c r="N1074" t="str">
        <x:v>Approved</x:v>
      </x:c>
      <x:c r="O1074" t="n">
        <x:v>0</x:v>
      </x:c>
      <x:c r="P1074" t="str">
        <x:f>IF(L1074&gt;=75,"High",IF(L1074&gt;=55,"Medium","Low"))</x:f>
        <x:v>Low</x:v>
      </x:c>
    </x:row>
    <x:row r="1075">
      <x:c r="A1075" t="n">
        <x:v>1074</x:v>
      </x:c>
      <x:c r="B1075" t="n">
        <x:v>10338</x:v>
      </x:c>
      <x:c r="C1075" s="16" t="n">
        <x:v>46258</x:v>
      </x:c>
      <x:c r="D1075" t="str">
        <x:v>02:22:00</x:v>
      </x:c>
      <x:c r="E1075" t="str">
        <x:v>Card</x:v>
      </x:c>
      <x:c r="F1075" t="str">
        <x:v>Utilities</x:v>
      </x:c>
      <x:c r="G1075" s="18" t="n">
        <x:v>444.72</x:v>
      </x:c>
      <x:c r="H1075" t="n">
        <x:v>0</x:v>
      </x:c>
      <x:c r="I1075" t="n">
        <x:v>0</x:v>
      </x:c>
      <x:c r="J1075" t="n">
        <x:v>0</x:v>
      </x:c>
      <x:c r="K1075" t="n">
        <x:v>1</x:v>
      </x:c>
      <x:c r="L1075" t="n">
        <x:v>25</x:v>
      </x:c>
      <x:c r="M1075" t="n">
        <x:v>0</x:v>
      </x:c>
      <x:c r="N1075" t="str">
        <x:v>Approved</x:v>
      </x:c>
      <x:c r="O1075" t="n">
        <x:v>0</x:v>
      </x:c>
      <x:c r="P1075" t="str">
        <x:f>IF(L1075&gt;=75,"High",IF(L1075&gt;=55,"Medium","Low"))</x:f>
        <x:v>Low</x:v>
      </x:c>
    </x:row>
    <x:row r="1076">
      <x:c r="A1076" t="n">
        <x:v>1075</x:v>
      </x:c>
      <x:c r="B1076" t="n">
        <x:v>10129</x:v>
      </x:c>
      <x:c r="C1076" s="16" t="n">
        <x:v>46195</x:v>
      </x:c>
      <x:c r="D1076" t="str">
        <x:v>22:12:00</x:v>
      </x:c>
      <x:c r="E1076" t="str">
        <x:v>Card</x:v>
      </x:c>
      <x:c r="F1076" t="str">
        <x:v>Transfer</x:v>
      </x:c>
      <x:c r="G1076" s="18" t="n">
        <x:v>273.77</x:v>
      </x:c>
      <x:c r="H1076" t="n">
        <x:v>0</x:v>
      </x:c>
      <x:c r="I1076" t="n">
        <x:v>0</x:v>
      </x:c>
      <x:c r="J1076" t="n">
        <x:v>0</x:v>
      </x:c>
      <x:c r="K1076" t="n">
        <x:v>0</x:v>
      </x:c>
      <x:c r="L1076" t="n">
        <x:v>10</x:v>
      </x:c>
      <x:c r="M1076" t="n">
        <x:v>0</x:v>
      </x:c>
      <x:c r="N1076" t="str">
        <x:v>Approved</x:v>
      </x:c>
      <x:c r="O1076" t="n">
        <x:v>0</x:v>
      </x:c>
      <x:c r="P1076" t="str">
        <x:f>IF(L1076&gt;=75,"High",IF(L1076&gt;=55,"Medium","Low"))</x:f>
        <x:v>Low</x:v>
      </x:c>
    </x:row>
    <x:row r="1077">
      <x:c r="A1077" t="n">
        <x:v>1076</x:v>
      </x:c>
      <x:c r="B1077" t="n">
        <x:v>10276</x:v>
      </x:c>
      <x:c r="C1077" s="16" t="n">
        <x:v>46192</x:v>
      </x:c>
      <x:c r="D1077" t="str">
        <x:v>18:42:00</x:v>
      </x:c>
      <x:c r="E1077" t="str">
        <x:v>Card</x:v>
      </x:c>
      <x:c r="F1077" t="str">
        <x:v>Utilities</x:v>
      </x:c>
      <x:c r="G1077" s="18" t="n">
        <x:v>42.96</x:v>
      </x:c>
      <x:c r="H1077" t="n">
        <x:v>0</x:v>
      </x:c>
      <x:c r="I1077" t="n">
        <x:v>1</x:v>
      </x:c>
      <x:c r="J1077" t="n">
        <x:v>0</x:v>
      </x:c>
      <x:c r="K1077" t="n">
        <x:v>0</x:v>
      </x:c>
      <x:c r="L1077" t="n">
        <x:v>30</x:v>
      </x:c>
      <x:c r="M1077" t="n">
        <x:v>0</x:v>
      </x:c>
      <x:c r="N1077" t="str">
        <x:v>Approved</x:v>
      </x:c>
      <x:c r="O1077" t="n">
        <x:v>0</x:v>
      </x:c>
      <x:c r="P1077" t="str">
        <x:f>IF(L1077&gt;=75,"High",IF(L1077&gt;=55,"Medium","Low"))</x:f>
        <x:v>Low</x:v>
      </x:c>
    </x:row>
    <x:row r="1078">
      <x:c r="A1078" t="n">
        <x:v>1077</x:v>
      </x:c>
      <x:c r="B1078" t="n">
        <x:v>10152</x:v>
      </x:c>
      <x:c r="C1078" s="16" t="n">
        <x:v>46147</x:v>
      </x:c>
      <x:c r="D1078" t="str">
        <x:v>05:24:00</x:v>
      </x:c>
      <x:c r="E1078" t="str">
        <x:v>P2P</x:v>
      </x:c>
      <x:c r="F1078" t="str">
        <x:v>Electronics</x:v>
      </x:c>
      <x:c r="G1078" s="18" t="n">
        <x:v>21.81</x:v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n">
        <x:v>10</x:v>
      </x:c>
      <x:c r="M1078" t="n">
        <x:v>0</x:v>
      </x:c>
      <x:c r="N1078" t="str">
        <x:v>Approved</x:v>
      </x:c>
      <x:c r="O1078" t="n">
        <x:v>0</x:v>
      </x:c>
      <x:c r="P1078" t="str">
        <x:f>IF(L1078&gt;=75,"High",IF(L1078&gt;=55,"Medium","Low"))</x:f>
        <x:v>Low</x:v>
      </x:c>
    </x:row>
    <x:row r="1079">
      <x:c r="A1079" t="n">
        <x:v>1078</x:v>
      </x:c>
      <x:c r="B1079" t="n">
        <x:v>10130</x:v>
      </x:c>
      <x:c r="C1079" s="16" t="n">
        <x:v>46197</x:v>
      </x:c>
      <x:c r="D1079" t="str">
        <x:v>11:04:00</x:v>
      </x:c>
      <x:c r="E1079" t="str">
        <x:v>Bank Transfer</x:v>
      </x:c>
      <x:c r="F1079" t="str">
        <x:v>Electronics</x:v>
      </x:c>
      <x:c r="G1079" s="18" t="n">
        <x:v>16.15</x:v>
      </x:c>
      <x:c r="H1079" t="n">
        <x:v>0</x:v>
      </x:c>
      <x:c r="I1079" t="n">
        <x:v>0</x:v>
      </x:c>
      <x:c r="J1079" t="n">
        <x:v>0</x:v>
      </x:c>
      <x:c r="K1079" t="n">
        <x:v>0</x:v>
      </x:c>
      <x:c r="L1079" t="n">
        <x:v>10</x:v>
      </x:c>
      <x:c r="M1079" t="n">
        <x:v>0</x:v>
      </x:c>
      <x:c r="N1079" t="str">
        <x:v>Approved</x:v>
      </x:c>
      <x:c r="O1079" t="n">
        <x:v>0</x:v>
      </x:c>
      <x:c r="P1079" t="str">
        <x:f>IF(L1079&gt;=75,"High",IF(L1079&gt;=55,"Medium","Low"))</x:f>
        <x:v>Low</x:v>
      </x:c>
    </x:row>
    <x:row r="1080">
      <x:c r="A1080" t="n">
        <x:v>1079</x:v>
      </x:c>
      <x:c r="B1080" t="n">
        <x:v>10282</x:v>
      </x:c>
      <x:c r="C1080" s="16" t="n">
        <x:v>46229</x:v>
      </x:c>
      <x:c r="D1080" t="str">
        <x:v>16:07:00</x:v>
      </x:c>
      <x:c r="E1080" t="str">
        <x:v>P2P</x:v>
      </x:c>
      <x:c r="F1080" t="str">
        <x:v>Transfer</x:v>
      </x:c>
      <x:c r="G1080" s="18" t="n">
        <x:v>156.25</x:v>
      </x:c>
      <x:c r="H1080" t="n">
        <x:v>1</x:v>
      </x:c>
      <x:c r="I1080" t="n">
        <x:v>1</x:v>
      </x:c>
      <x:c r="J1080" t="n">
        <x:v>0</x:v>
      </x:c>
      <x:c r="K1080" t="n">
        <x:v>0</x:v>
      </x:c>
      <x:c r="L1080" t="n">
        <x:v>56</x:v>
      </x:c>
      <x:c r="M1080" t="n">
        <x:v>1</x:v>
      </x:c>
      <x:c r="N1080" t="str">
        <x:v>Approved</x:v>
      </x:c>
      <x:c r="O1080" t="n">
        <x:v>0</x:v>
      </x:c>
      <x:c r="P1080" t="str">
        <x:f>IF(L1080&gt;=75,"High",IF(L1080&gt;=55,"Medium","Low"))</x:f>
        <x:v>Medium</x:v>
      </x:c>
    </x:row>
    <x:row r="1081">
      <x:c r="A1081" t="n">
        <x:v>1080</x:v>
      </x:c>
      <x:c r="B1081" t="n">
        <x:v>10328</x:v>
      </x:c>
      <x:c r="C1081" s="16" t="n">
        <x:v>46183</x:v>
      </x:c>
      <x:c r="D1081" t="str">
        <x:v>13:42:00</x:v>
      </x:c>
      <x:c r="E1081" t="str">
        <x:v>Card</x:v>
      </x:c>
      <x:c r="F1081" t="str">
        <x:v>Travel</x:v>
      </x:c>
      <x:c r="G1081" s="18" t="n">
        <x:v>71.64</x:v>
      </x:c>
      <x:c r="H1081" t="n">
        <x:v>1</x:v>
      </x:c>
      <x:c r="I1081" t="n">
        <x:v>0</x:v>
      </x:c>
      <x:c r="J1081" t="n">
        <x:v>0</x:v>
      </x:c>
      <x:c r="K1081" t="n">
        <x:v>0</x:v>
      </x:c>
      <x:c r="L1081" t="n">
        <x:v>36</x:v>
      </x:c>
      <x:c r="M1081" t="n">
        <x:v>0</x:v>
      </x:c>
      <x:c r="N1081" t="str">
        <x:v>Approved</x:v>
      </x:c>
      <x:c r="O1081" t="n">
        <x:v>0</x:v>
      </x:c>
      <x:c r="P1081" t="str">
        <x:f>IF(L1081&gt;=75,"High",IF(L1081&gt;=55,"Medium","Low"))</x:f>
        <x:v>Low</x:v>
      </x:c>
    </x:row>
    <x:row r="1082">
      <x:c r="A1082" t="n">
        <x:v>1081</x:v>
      </x:c>
      <x:c r="B1082" t="n">
        <x:v>10155</x:v>
      </x:c>
      <x:c r="C1082" s="16" t="n">
        <x:v>46221</x:v>
      </x:c>
      <x:c r="D1082" t="str">
        <x:v>20:29:00</x:v>
      </x:c>
      <x:c r="E1082" t="str">
        <x:v>Card</x:v>
      </x:c>
      <x:c r="F1082" t="str">
        <x:v>Retail</x:v>
      </x:c>
      <x:c r="G1082" s="18" t="n">
        <x:v>36.23</x:v>
      </x:c>
      <x:c r="H1082" t="n">
        <x:v>0</x:v>
      </x:c>
      <x:c r="I1082" t="n">
        <x:v>1</x:v>
      </x:c>
      <x:c r="J1082" t="n">
        <x:v>0</x:v>
      </x:c>
      <x:c r="K1082" t="n">
        <x:v>0</x:v>
      </x:c>
      <x:c r="L1082" t="n">
        <x:v>30</x:v>
      </x:c>
      <x:c r="M1082" t="n">
        <x:v>0</x:v>
      </x:c>
      <x:c r="N1082" t="str">
        <x:v>Approved</x:v>
      </x:c>
      <x:c r="O1082" t="n">
        <x:v>0</x:v>
      </x:c>
      <x:c r="P1082" t="str">
        <x:f>IF(L1082&gt;=75,"High",IF(L1082&gt;=55,"Medium","Low"))</x:f>
        <x:v>Low</x:v>
      </x:c>
    </x:row>
    <x:row r="1083">
      <x:c r="A1083" t="n">
        <x:v>1082</x:v>
      </x:c>
      <x:c r="B1083" t="n">
        <x:v>10256</x:v>
      </x:c>
      <x:c r="C1083" s="16" t="n">
        <x:v>46265</x:v>
      </x:c>
      <x:c r="D1083" t="str">
        <x:v>22:31:00</x:v>
      </x:c>
      <x:c r="E1083" t="str">
        <x:v>P2P</x:v>
      </x:c>
      <x:c r="F1083" t="str">
        <x:v>Utilities</x:v>
      </x:c>
      <x:c r="G1083" s="18" t="n">
        <x:v>81.32</x:v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n">
        <x:v>10</x:v>
      </x:c>
      <x:c r="M1083" t="n">
        <x:v>0</x:v>
      </x:c>
      <x:c r="N1083" t="str">
        <x:v>Approved</x:v>
      </x:c>
      <x:c r="O1083" t="n">
        <x:v>0</x:v>
      </x:c>
      <x:c r="P1083" t="str">
        <x:f>IF(L1083&gt;=75,"High",IF(L1083&gt;=55,"Medium","Low"))</x:f>
        <x:v>Low</x:v>
      </x:c>
    </x:row>
    <x:row r="1084">
      <x:c r="A1084" t="n">
        <x:v>1083</x:v>
      </x:c>
      <x:c r="B1084" t="n">
        <x:v>10311</x:v>
      </x:c>
      <x:c r="C1084" s="16" t="n">
        <x:v>46169</x:v>
      </x:c>
      <x:c r="D1084" t="str">
        <x:v>09:28:00</x:v>
      </x:c>
      <x:c r="E1084" t="str">
        <x:v>P2P</x:v>
      </x:c>
      <x:c r="F1084" t="str">
        <x:v>Retail</x:v>
      </x:c>
      <x:c r="G1084" s="18" t="n">
        <x:v>1158.61</x:v>
      </x:c>
      <x:c r="H1084" t="n">
        <x:v>0</x:v>
      </x:c>
      <x:c r="I1084" t="n">
        <x:v>0</x:v>
      </x:c>
      <x:c r="J1084" t="n">
        <x:v>1</x:v>
      </x:c>
      <x:c r="K1084" t="n">
        <x:v>0</x:v>
      </x:c>
      <x:c r="L1084" t="n">
        <x:v>44</x:v>
      </x:c>
      <x:c r="M1084" t="n">
        <x:v>0</x:v>
      </x:c>
      <x:c r="N1084" t="str">
        <x:v>Declined</x:v>
      </x:c>
      <x:c r="O1084" t="n">
        <x:v>0</x:v>
      </x:c>
      <x:c r="P1084" t="str">
        <x:f>IF(L1084&gt;=75,"High",IF(L1084&gt;=55,"Medium","Low"))</x:f>
        <x:v>Low</x:v>
      </x:c>
    </x:row>
    <x:row r="1085">
      <x:c r="A1085" t="n">
        <x:v>1084</x:v>
      </x:c>
      <x:c r="B1085" t="n">
        <x:v>10314</x:v>
      </x:c>
      <x:c r="C1085" s="16" t="n">
        <x:v>46163</x:v>
      </x:c>
      <x:c r="D1085" t="str">
        <x:v>17:49:00</x:v>
      </x:c>
      <x:c r="E1085" t="str">
        <x:v>Bank Transfer</x:v>
      </x:c>
      <x:c r="F1085" t="str">
        <x:v>Subscriptions</x:v>
      </x:c>
      <x:c r="G1085" s="18" t="n">
        <x:v>144.53</x:v>
      </x:c>
      <x:c r="H1085" t="n">
        <x:v>0</x:v>
      </x:c>
      <x:c r="I1085" t="n">
        <x:v>1</x:v>
      </x:c>
      <x:c r="J1085" t="n">
        <x:v>0</x:v>
      </x:c>
      <x:c r="K1085" t="n">
        <x:v>0</x:v>
      </x:c>
      <x:c r="L1085" t="n">
        <x:v>30</x:v>
      </x:c>
      <x:c r="M1085" t="n">
        <x:v>0</x:v>
      </x:c>
      <x:c r="N1085" t="str">
        <x:v>Approved</x:v>
      </x:c>
      <x:c r="O1085" t="n">
        <x:v>0</x:v>
      </x:c>
      <x:c r="P1085" t="str">
        <x:f>IF(L1085&gt;=75,"High",IF(L1085&gt;=55,"Medium","Low"))</x:f>
        <x:v>Low</x:v>
      </x:c>
    </x:row>
    <x:row r="1086">
      <x:c r="A1086" t="n">
        <x:v>1085</x:v>
      </x:c>
      <x:c r="B1086" t="n">
        <x:v>10165</x:v>
      </x:c>
      <x:c r="C1086" s="16" t="n">
        <x:v>46289</x:v>
      </x:c>
      <x:c r="D1086" t="str">
        <x:v>03:33:00</x:v>
      </x:c>
      <x:c r="E1086" t="str">
        <x:v>P2P</x:v>
      </x:c>
      <x:c r="F1086" t="str">
        <x:v>Dining</x:v>
      </x:c>
      <x:c r="G1086" s="18" t="n">
        <x:v>105.48</x:v>
      </x:c>
      <x:c r="H1086" t="n">
        <x:v>0</x:v>
      </x:c>
      <x:c r="I1086" t="n">
        <x:v>1</x:v>
      </x:c>
      <x:c r="J1086" t="n">
        <x:v>0</x:v>
      </x:c>
      <x:c r="K1086" t="n">
        <x:v>1</x:v>
      </x:c>
      <x:c r="L1086" t="n">
        <x:v>45</x:v>
      </x:c>
      <x:c r="M1086" t="n">
        <x:v>0</x:v>
      </x:c>
      <x:c r="N1086" t="str">
        <x:v>Approved</x:v>
      </x:c>
      <x:c r="O1086" t="n">
        <x:v>0</x:v>
      </x:c>
      <x:c r="P1086" t="str">
        <x:f>IF(L1086&gt;=75,"High",IF(L1086&gt;=55,"Medium","Low"))</x:f>
        <x:v>Low</x:v>
      </x:c>
    </x:row>
    <x:row r="1087">
      <x:c r="A1087" t="n">
        <x:v>1086</x:v>
      </x:c>
      <x:c r="B1087" t="n">
        <x:v>10144</x:v>
      </x:c>
      <x:c r="C1087" s="16" t="n">
        <x:v>46179</x:v>
      </x:c>
      <x:c r="D1087" t="str">
        <x:v>22:36:00</x:v>
      </x:c>
      <x:c r="E1087" t="str">
        <x:v>P2P</x:v>
      </x:c>
      <x:c r="F1087" t="str">
        <x:v>Subscriptions</x:v>
      </x:c>
      <x:c r="G1087" s="18" t="n">
        <x:v>55.04</x:v>
      </x:c>
      <x:c r="H1087" t="n">
        <x:v>0</x:v>
      </x:c>
      <x:c r="I1087" t="n">
        <x:v>0</x:v>
      </x:c>
      <x:c r="J1087" t="n">
        <x:v>0</x:v>
      </x:c>
      <x:c r="K1087" t="n">
        <x:v>0</x:v>
      </x:c>
      <x:c r="L1087" t="n">
        <x:v>10</x:v>
      </x:c>
      <x:c r="M1087" t="n">
        <x:v>0</x:v>
      </x:c>
      <x:c r="N1087" t="str">
        <x:v>Approved</x:v>
      </x:c>
      <x:c r="O1087" t="n">
        <x:v>0</x:v>
      </x:c>
      <x:c r="P1087" t="str">
        <x:f>IF(L1087&gt;=75,"High",IF(L1087&gt;=55,"Medium","Low"))</x:f>
        <x:v>Low</x:v>
      </x:c>
    </x:row>
    <x:row r="1088">
      <x:c r="A1088" t="n">
        <x:v>1087</x:v>
      </x:c>
      <x:c r="B1088" t="n">
        <x:v>10333</x:v>
      </x:c>
      <x:c r="C1088" s="16" t="n">
        <x:v>46285</x:v>
      </x:c>
      <x:c r="D1088" t="str">
        <x:v>00:55:00</x:v>
      </x:c>
      <x:c r="E1088" t="str">
        <x:v>Card</x:v>
      </x:c>
      <x:c r="F1088" t="str">
        <x:v>Dining</x:v>
      </x:c>
      <x:c r="G1088" s="18" t="n">
        <x:v>42.48</x:v>
      </x:c>
      <x:c r="H1088" t="n">
        <x:v>1</x:v>
      </x:c>
      <x:c r="I1088" t="n">
        <x:v>0</x:v>
      </x:c>
      <x:c r="J1088" t="n">
        <x:v>0</x:v>
      </x:c>
      <x:c r="K1088" t="n">
        <x:v>1</x:v>
      </x:c>
      <x:c r="L1088" t="n">
        <x:v>51</x:v>
      </x:c>
      <x:c r="M1088" t="n">
        <x:v>0</x:v>
      </x:c>
      <x:c r="N1088" t="str">
        <x:v>Approved</x:v>
      </x:c>
      <x:c r="O1088" t="n">
        <x:v>0</x:v>
      </x:c>
      <x:c r="P1088" t="str">
        <x:f>IF(L1088&gt;=75,"High",IF(L1088&gt;=55,"Medium","Low"))</x:f>
        <x:v>Low</x:v>
      </x:c>
    </x:row>
    <x:row r="1089">
      <x:c r="A1089" t="n">
        <x:v>1088</x:v>
      </x:c>
      <x:c r="B1089" t="n">
        <x:v>10070</x:v>
      </x:c>
      <x:c r="C1089" s="16" t="n">
        <x:v>46244</x:v>
      </x:c>
      <x:c r="D1089" t="str">
        <x:v>21:36:00</x:v>
      </x:c>
      <x:c r="E1089" t="str">
        <x:v>Card</x:v>
      </x:c>
      <x:c r="F1089" t="str">
        <x:v>Travel</x:v>
      </x:c>
      <x:c r="G1089" s="18" t="n">
        <x:v>18.78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10</x:v>
      </x:c>
      <x:c r="M1089" t="n">
        <x:v>0</x:v>
      </x:c>
      <x:c r="N1089" t="str">
        <x:v>Declined</x:v>
      </x:c>
      <x:c r="O1089" t="n">
        <x:v>1</x:v>
      </x:c>
      <x:c r="P1089" t="str">
        <x:f>IF(L1089&gt;=75,"High",IF(L1089&gt;=55,"Medium","Low"))</x:f>
        <x:v>Low</x:v>
      </x:c>
    </x:row>
    <x:row r="1090">
      <x:c r="A1090" t="n">
        <x:v>1089</x:v>
      </x:c>
      <x:c r="B1090" t="n">
        <x:v>10110</x:v>
      </x:c>
      <x:c r="C1090" s="16" t="n">
        <x:v>46194</x:v>
      </x:c>
      <x:c r="D1090" t="str">
        <x:v>18:36:00</x:v>
      </x:c>
      <x:c r="E1090" t="str">
        <x:v>Card</x:v>
      </x:c>
      <x:c r="F1090" t="str">
        <x:v>Electronics</x:v>
      </x:c>
      <x:c r="G1090" s="18" t="n">
        <x:v>78.12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10</x:v>
      </x:c>
      <x:c r="M1090" t="n">
        <x:v>0</x:v>
      </x:c>
      <x:c r="N1090" t="str">
        <x:v>Approved</x:v>
      </x:c>
      <x:c r="O1090" t="n">
        <x:v>0</x:v>
      </x:c>
      <x:c r="P1090" t="str">
        <x:f>IF(L1090&gt;=75,"High",IF(L1090&gt;=55,"Medium","Low"))</x:f>
        <x:v>Low</x:v>
      </x:c>
    </x:row>
    <x:row r="1091">
      <x:c r="A1091" t="n">
        <x:v>1090</x:v>
      </x:c>
      <x:c r="B1091" t="n">
        <x:v>10054</x:v>
      </x:c>
      <x:c r="C1091" s="16" t="n">
        <x:v>46117</x:v>
      </x:c>
      <x:c r="D1091" t="str">
        <x:v>12:07:00</x:v>
      </x:c>
      <x:c r="E1091" t="str">
        <x:v>Card</x:v>
      </x:c>
      <x:c r="F1091" t="str">
        <x:v>Travel</x:v>
      </x:c>
      <x:c r="G1091" s="18" t="n">
        <x:v>75.46</x:v>
      </x:c>
      <x:c r="H1091" t="n">
        <x:v>0</x:v>
      </x:c>
      <x:c r="I1091" t="n">
        <x:v>0</x:v>
      </x:c>
      <x:c r="J1091" t="n">
        <x:v>0</x:v>
      </x:c>
      <x:c r="K1091" t="n">
        <x:v>0</x:v>
      </x:c>
      <x:c r="L1091" t="n">
        <x:v>10</x:v>
      </x:c>
      <x:c r="M1091" t="n">
        <x:v>0</x:v>
      </x:c>
      <x:c r="N1091" t="str">
        <x:v>Approved</x:v>
      </x:c>
      <x:c r="O1091" t="n">
        <x:v>0</x:v>
      </x:c>
      <x:c r="P1091" t="str">
        <x:f>IF(L1091&gt;=75,"High",IF(L1091&gt;=55,"Medium","Low"))</x:f>
        <x:v>Low</x:v>
      </x:c>
    </x:row>
    <x:row r="1092">
      <x:c r="A1092" t="n">
        <x:v>1091</x:v>
      </x:c>
      <x:c r="B1092" t="n">
        <x:v>10053</x:v>
      </x:c>
      <x:c r="C1092" s="16" t="n">
        <x:v>46139</x:v>
      </x:c>
      <x:c r="D1092" t="str">
        <x:v>19:51:00</x:v>
      </x:c>
      <x:c r="E1092" t="str">
        <x:v>P2P</x:v>
      </x:c>
      <x:c r="F1092" t="str">
        <x:v>Dining</x:v>
      </x:c>
      <x:c r="G1092" s="18" t="n">
        <x:v>118.29</x:v>
      </x:c>
      <x:c r="H1092" t="n">
        <x:v>1</x:v>
      </x:c>
      <x:c r="I1092" t="n">
        <x:v>0</x:v>
      </x:c>
      <x:c r="J1092" t="n">
        <x:v>0</x:v>
      </x:c>
      <x:c r="K1092" t="n">
        <x:v>0</x:v>
      </x:c>
      <x:c r="L1092" t="n">
        <x:v>36</x:v>
      </x:c>
      <x:c r="M1092" t="n">
        <x:v>0</x:v>
      </x:c>
      <x:c r="N1092" t="str">
        <x:v>Approved</x:v>
      </x:c>
      <x:c r="O1092" t="n">
        <x:v>0</x:v>
      </x:c>
      <x:c r="P1092" t="str">
        <x:f>IF(L1092&gt;=75,"High",IF(L1092&gt;=55,"Medium","Low"))</x:f>
        <x:v>Low</x:v>
      </x:c>
    </x:row>
    <x:row r="1093">
      <x:c r="A1093" t="n">
        <x:v>1092</x:v>
      </x:c>
      <x:c r="B1093" t="n">
        <x:v>10148</x:v>
      </x:c>
      <x:c r="C1093" s="16" t="n">
        <x:v>46147</x:v>
      </x:c>
      <x:c r="D1093" t="str">
        <x:v>20:19:00</x:v>
      </x:c>
      <x:c r="E1093" t="str">
        <x:v>Card</x:v>
      </x:c>
      <x:c r="F1093" t="str">
        <x:v>Transfer</x:v>
      </x:c>
      <x:c r="G1093" s="18" t="n">
        <x:v>32.85</x:v>
      </x:c>
      <x:c r="H1093" t="n">
        <x:v>1</x:v>
      </x:c>
      <x:c r="I1093" t="n">
        <x:v>0</x:v>
      </x:c>
      <x:c r="J1093" t="n">
        <x:v>0</x:v>
      </x:c>
      <x:c r="K1093" t="n">
        <x:v>0</x:v>
      </x:c>
      <x:c r="L1093" t="n">
        <x:v>36</x:v>
      </x:c>
      <x:c r="M1093" t="n">
        <x:v>0</x:v>
      </x:c>
      <x:c r="N1093" t="str">
        <x:v>Approved</x:v>
      </x:c>
      <x:c r="O1093" t="n">
        <x:v>0</x:v>
      </x:c>
      <x:c r="P1093" t="str">
        <x:f>IF(L1093&gt;=75,"High",IF(L1093&gt;=55,"Medium","Low"))</x:f>
        <x:v>Low</x:v>
      </x:c>
    </x:row>
    <x:row r="1094">
      <x:c r="A1094" t="n">
        <x:v>1093</x:v>
      </x:c>
      <x:c r="B1094" t="n">
        <x:v>10025</x:v>
      </x:c>
      <x:c r="C1094" s="16" t="n">
        <x:v>46285</x:v>
      </x:c>
      <x:c r="D1094" t="str">
        <x:v>11:39:00</x:v>
      </x:c>
      <x:c r="E1094" t="str">
        <x:v>Card</x:v>
      </x:c>
      <x:c r="F1094" t="str">
        <x:v>Utilities</x:v>
      </x:c>
      <x:c r="G1094" s="18" t="n">
        <x:v>21.92</x:v>
      </x:c>
      <x:c r="H1094" t="n">
        <x:v>0</x:v>
      </x:c>
      <x:c r="I1094" t="n">
        <x:v>1</x:v>
      </x:c>
      <x:c r="J1094" t="n">
        <x:v>0</x:v>
      </x:c>
      <x:c r="K1094" t="n">
        <x:v>0</x:v>
      </x:c>
      <x:c r="L1094" t="n">
        <x:v>30</x:v>
      </x:c>
      <x:c r="M1094" t="n">
        <x:v>0</x:v>
      </x:c>
      <x:c r="N1094" t="str">
        <x:v>Approved</x:v>
      </x:c>
      <x:c r="O1094" t="n">
        <x:v>0</x:v>
      </x:c>
      <x:c r="P1094" t="str">
        <x:f>IF(L1094&gt;=75,"High",IF(L1094&gt;=55,"Medium","Low"))</x:f>
        <x:v>Low</x:v>
      </x:c>
    </x:row>
    <x:row r="1095">
      <x:c r="A1095" t="n">
        <x:v>1094</x:v>
      </x:c>
      <x:c r="B1095" t="n">
        <x:v>10013</x:v>
      </x:c>
      <x:c r="C1095" s="16" t="n">
        <x:v>46237</x:v>
      </x:c>
      <x:c r="D1095" t="str">
        <x:v>09:56:00</x:v>
      </x:c>
      <x:c r="E1095" t="str">
        <x:v>Bank Transfer</x:v>
      </x:c>
      <x:c r="F1095" t="str">
        <x:v>Retail</x:v>
      </x:c>
      <x:c r="G1095" s="18" t="n">
        <x:v>226.07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10</x:v>
      </x:c>
      <x:c r="M1095" t="n">
        <x:v>0</x:v>
      </x:c>
      <x:c r="N1095" t="str">
        <x:v>Approved</x:v>
      </x:c>
      <x:c r="O1095" t="n">
        <x:v>0</x:v>
      </x:c>
      <x:c r="P1095" t="str">
        <x:f>IF(L1095&gt;=75,"High",IF(L1095&gt;=55,"Medium","Low"))</x:f>
        <x:v>Low</x:v>
      </x:c>
    </x:row>
    <x:row r="1096">
      <x:c r="A1096" t="n">
        <x:v>1095</x:v>
      </x:c>
      <x:c r="B1096" t="n">
        <x:v>10202</x:v>
      </x:c>
      <x:c r="C1096" s="16" t="n">
        <x:v>46286</x:v>
      </x:c>
      <x:c r="D1096" t="str">
        <x:v>00:14:00</x:v>
      </x:c>
      <x:c r="E1096" t="str">
        <x:v>Card</x:v>
      </x:c>
      <x:c r="F1096" t="str">
        <x:v>Dining</x:v>
      </x:c>
      <x:c r="G1096" s="18" t="n">
        <x:v>249.81</x:v>
      </x:c>
      <x:c r="H1096" t="n">
        <x:v>0</x:v>
      </x:c>
      <x:c r="I1096" t="n">
        <x:v>0</x:v>
      </x:c>
      <x:c r="J1096" t="n">
        <x:v>0</x:v>
      </x:c>
      <x:c r="K1096" t="n">
        <x:v>1</x:v>
      </x:c>
      <x:c r="L1096" t="n">
        <x:v>25</x:v>
      </x:c>
      <x:c r="M1096" t="n">
        <x:v>0</x:v>
      </x:c>
      <x:c r="N1096" t="str">
        <x:v>Approved</x:v>
      </x:c>
      <x:c r="O1096" t="n">
        <x:v>0</x:v>
      </x:c>
      <x:c r="P1096" t="str">
        <x:f>IF(L1096&gt;=75,"High",IF(L1096&gt;=55,"Medium","Low"))</x:f>
        <x:v>Low</x:v>
      </x:c>
    </x:row>
    <x:row r="1097">
      <x:c r="A1097" t="n">
        <x:v>1096</x:v>
      </x:c>
      <x:c r="B1097" t="n">
        <x:v>10176</x:v>
      </x:c>
      <x:c r="C1097" s="16" t="n">
        <x:v>46295</x:v>
      </x:c>
      <x:c r="D1097" t="str">
        <x:v>00:21:00</x:v>
      </x:c>
      <x:c r="E1097" t="str">
        <x:v>Card</x:v>
      </x:c>
      <x:c r="F1097" t="str">
        <x:v>Electronics</x:v>
      </x:c>
      <x:c r="G1097" s="18" t="n">
        <x:v>615.62</x:v>
      </x:c>
      <x:c r="H1097" t="n">
        <x:v>0</x:v>
      </x:c>
      <x:c r="I1097" t="n">
        <x:v>0</x:v>
      </x:c>
      <x:c r="J1097" t="n">
        <x:v>0</x:v>
      </x:c>
      <x:c r="K1097" t="n">
        <x:v>1</x:v>
      </x:c>
      <x:c r="L1097" t="n">
        <x:v>25</x:v>
      </x:c>
      <x:c r="M1097" t="n">
        <x:v>0</x:v>
      </x:c>
      <x:c r="N1097" t="str">
        <x:v>Approved</x:v>
      </x:c>
      <x:c r="O1097" t="n">
        <x:v>0</x:v>
      </x:c>
      <x:c r="P1097" t="str">
        <x:f>IF(L1097&gt;=75,"High",IF(L1097&gt;=55,"Medium","Low"))</x:f>
        <x:v>Low</x:v>
      </x:c>
    </x:row>
    <x:row r="1098">
      <x:c r="A1098" t="n">
        <x:v>1097</x:v>
      </x:c>
      <x:c r="B1098" t="n">
        <x:v>10106</x:v>
      </x:c>
      <x:c r="C1098" s="16" t="n">
        <x:v>46139</x:v>
      </x:c>
      <x:c r="D1098" t="str">
        <x:v>22:32:00</x:v>
      </x:c>
      <x:c r="E1098" t="str">
        <x:v>P2P</x:v>
      </x:c>
      <x:c r="F1098" t="str">
        <x:v>Travel</x:v>
      </x:c>
      <x:c r="G1098" s="18" t="n">
        <x:v>608.84</x:v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n">
        <x:v>10</x:v>
      </x:c>
      <x:c r="M1098" t="n">
        <x:v>0</x:v>
      </x:c>
      <x:c r="N1098" t="str">
        <x:v>Approved</x:v>
      </x:c>
      <x:c r="O1098" t="n">
        <x:v>0</x:v>
      </x:c>
      <x:c r="P1098" t="str">
        <x:f>IF(L1098&gt;=75,"High",IF(L1098&gt;=55,"Medium","Low"))</x:f>
        <x:v>Low</x:v>
      </x:c>
    </x:row>
    <x:row r="1099">
      <x:c r="A1099" t="n">
        <x:v>1098</x:v>
      </x:c>
      <x:c r="B1099" t="n">
        <x:v>10252</x:v>
      </x:c>
      <x:c r="C1099" s="16" t="n">
        <x:v>46196</x:v>
      </x:c>
      <x:c r="D1099" t="str">
        <x:v>00:40:00</x:v>
      </x:c>
      <x:c r="E1099" t="str">
        <x:v>Card</x:v>
      </x:c>
      <x:c r="F1099" t="str">
        <x:v>Subscriptions</x:v>
      </x:c>
      <x:c r="G1099" s="18" t="n">
        <x:v>383.35</x:v>
      </x:c>
      <x:c r="H1099" t="n">
        <x:v>1</x:v>
      </x:c>
      <x:c r="I1099" t="n">
        <x:v>0</x:v>
      </x:c>
      <x:c r="J1099" t="n">
        <x:v>0</x:v>
      </x:c>
      <x:c r="K1099" t="n">
        <x:v>1</x:v>
      </x:c>
      <x:c r="L1099" t="n">
        <x:v>51</x:v>
      </x:c>
      <x:c r="M1099" t="n">
        <x:v>0</x:v>
      </x:c>
      <x:c r="N1099" t="str">
        <x:v>Approved</x:v>
      </x:c>
      <x:c r="O1099" t="n">
        <x:v>0</x:v>
      </x:c>
      <x:c r="P1099" t="str">
        <x:f>IF(L1099&gt;=75,"High",IF(L1099&gt;=55,"Medium","Low"))</x:f>
        <x:v>Low</x:v>
      </x:c>
    </x:row>
    <x:row r="1100">
      <x:c r="A1100" t="n">
        <x:v>1099</x:v>
      </x:c>
      <x:c r="B1100" t="n">
        <x:v>10311</x:v>
      </x:c>
      <x:c r="C1100" s="16" t="n">
        <x:v>46218</x:v>
      </x:c>
      <x:c r="D1100" t="str">
        <x:v>09:02:00</x:v>
      </x:c>
      <x:c r="E1100" t="str">
        <x:v>Card</x:v>
      </x:c>
      <x:c r="F1100" t="str">
        <x:v>Travel</x:v>
      </x:c>
      <x:c r="G1100" s="18" t="n">
        <x:v>45.84</x:v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n">
        <x:v>10</x:v>
      </x:c>
      <x:c r="M1100" t="n">
        <x:v>0</x:v>
      </x:c>
      <x:c r="N1100" t="str">
        <x:v>Approved</x:v>
      </x:c>
      <x:c r="O1100" t="n">
        <x:v>0</x:v>
      </x:c>
      <x:c r="P1100" t="str">
        <x:f>IF(L1100&gt;=75,"High",IF(L1100&gt;=55,"Medium","Low"))</x:f>
        <x:v>Low</x:v>
      </x:c>
    </x:row>
    <x:row r="1101">
      <x:c r="A1101" t="n">
        <x:v>1100</x:v>
      </x:c>
      <x:c r="B1101" t="n">
        <x:v>10003</x:v>
      </x:c>
      <x:c r="C1101" s="16" t="n">
        <x:v>46143</x:v>
      </x:c>
      <x:c r="D1101" t="str">
        <x:v>15:34:00</x:v>
      </x:c>
      <x:c r="E1101" t="str">
        <x:v>Card</x:v>
      </x:c>
      <x:c r="F1101" t="str">
        <x:v>Dining</x:v>
      </x:c>
      <x:c r="G1101" s="18" t="n">
        <x:v>180.7</x:v>
      </x:c>
      <x:c r="H1101" t="n">
        <x:v>1</x:v>
      </x:c>
      <x:c r="I1101" t="n">
        <x:v>0</x:v>
      </x:c>
      <x:c r="J1101" t="n">
        <x:v>0</x:v>
      </x:c>
      <x:c r="K1101" t="n">
        <x:v>0</x:v>
      </x:c>
      <x:c r="L1101" t="n">
        <x:v>36</x:v>
      </x:c>
      <x:c r="M1101" t="n">
        <x:v>0</x:v>
      </x:c>
      <x:c r="N1101" t="str">
        <x:v>Approved</x:v>
      </x:c>
      <x:c r="O1101" t="n">
        <x:v>0</x:v>
      </x:c>
      <x:c r="P1101" t="str">
        <x:f>IF(L1101&gt;=75,"High",IF(L1101&gt;=55,"Medium","Low"))</x:f>
        <x:v>Low</x:v>
      </x:c>
    </x:row>
    <x:row r="1102">
      <x:c r="A1102" t="n">
        <x:v>1101</x:v>
      </x:c>
      <x:c r="B1102" t="n">
        <x:v>10040</x:v>
      </x:c>
      <x:c r="C1102" s="16" t="n">
        <x:v>46284</x:v>
      </x:c>
      <x:c r="D1102" t="str">
        <x:v>10:16:00</x:v>
      </x:c>
      <x:c r="E1102" t="str">
        <x:v>Card</x:v>
      </x:c>
      <x:c r="F1102" t="str">
        <x:v>Electronics</x:v>
      </x:c>
      <x:c r="G1102" s="18" t="n">
        <x:v>80.92</x:v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n">
        <x:v>10</x:v>
      </x:c>
      <x:c r="M1102" t="n">
        <x:v>0</x:v>
      </x:c>
      <x:c r="N1102" t="str">
        <x:v>Approved</x:v>
      </x:c>
      <x:c r="O1102" t="n">
        <x:v>0</x:v>
      </x:c>
      <x:c r="P1102" t="str">
        <x:f>IF(L1102&gt;=75,"High",IF(L1102&gt;=55,"Medium","Low"))</x:f>
        <x:v>Low</x:v>
      </x:c>
    </x:row>
    <x:row r="1103">
      <x:c r="A1103" t="n">
        <x:v>1102</x:v>
      </x:c>
      <x:c r="B1103" t="n">
        <x:v>10071</x:v>
      </x:c>
      <x:c r="C1103" s="16" t="n">
        <x:v>46163</x:v>
      </x:c>
      <x:c r="D1103" t="str">
        <x:v>07:08:00</x:v>
      </x:c>
      <x:c r="E1103" t="str">
        <x:v>Card</x:v>
      </x:c>
      <x:c r="F1103" t="str">
        <x:v>Subscriptions</x:v>
      </x:c>
      <x:c r="G1103" s="18" t="n">
        <x:v>102.83</x:v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n">
        <x:v>10</x:v>
      </x:c>
      <x:c r="M1103" t="n">
        <x:v>0</x:v>
      </x:c>
      <x:c r="N1103" t="str">
        <x:v>Declined</x:v>
      </x:c>
      <x:c r="O1103" t="n">
        <x:v>0</x:v>
      </x:c>
      <x:c r="P1103" t="str">
        <x:f>IF(L1103&gt;=75,"High",IF(L1103&gt;=55,"Medium","Low"))</x:f>
        <x:v>Low</x:v>
      </x:c>
    </x:row>
    <x:row r="1104">
      <x:c r="A1104" t="n">
        <x:v>1103</x:v>
      </x:c>
      <x:c r="B1104" t="n">
        <x:v>10193</x:v>
      </x:c>
      <x:c r="C1104" s="16" t="n">
        <x:v>46220</x:v>
      </x:c>
      <x:c r="D1104" t="str">
        <x:v>17:01:00</x:v>
      </x:c>
      <x:c r="E1104" t="str">
        <x:v>Card</x:v>
      </x:c>
      <x:c r="F1104" t="str">
        <x:v>Electronics</x:v>
      </x:c>
      <x:c r="G1104" s="18" t="n">
        <x:v>33.69</x:v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n">
        <x:v>10</x:v>
      </x:c>
      <x:c r="M1104" t="n">
        <x:v>0</x:v>
      </x:c>
      <x:c r="N1104" t="str">
        <x:v>Approved</x:v>
      </x:c>
      <x:c r="O1104" t="n">
        <x:v>0</x:v>
      </x:c>
      <x:c r="P1104" t="str">
        <x:f>IF(L1104&gt;=75,"High",IF(L1104&gt;=55,"Medium","Low"))</x:f>
        <x:v>Low</x:v>
      </x:c>
    </x:row>
    <x:row r="1105">
      <x:c r="A1105" t="n">
        <x:v>1104</x:v>
      </x:c>
      <x:c r="B1105" t="n">
        <x:v>10292</x:v>
      </x:c>
      <x:c r="C1105" s="16" t="n">
        <x:v>46181</x:v>
      </x:c>
      <x:c r="D1105" t="str">
        <x:v>12:37:00</x:v>
      </x:c>
      <x:c r="E1105" t="str">
        <x:v>Card</x:v>
      </x:c>
      <x:c r="F1105" t="str">
        <x:v>Retail</x:v>
      </x:c>
      <x:c r="G1105" s="18" t="n">
        <x:v>107.56</x:v>
      </x:c>
      <x:c r="H1105" t="n">
        <x:v>1</x:v>
      </x:c>
      <x:c r="I1105" t="n">
        <x:v>0</x:v>
      </x:c>
      <x:c r="J1105" t="n">
        <x:v>0</x:v>
      </x:c>
      <x:c r="K1105" t="n">
        <x:v>0</x:v>
      </x:c>
      <x:c r="L1105" t="n">
        <x:v>36</x:v>
      </x:c>
      <x:c r="M1105" t="n">
        <x:v>0</x:v>
      </x:c>
      <x:c r="N1105" t="str">
        <x:v>Approved</x:v>
      </x:c>
      <x:c r="O1105" t="n">
        <x:v>0</x:v>
      </x:c>
      <x:c r="P1105" t="str">
        <x:f>IF(L1105&gt;=75,"High",IF(L1105&gt;=55,"Medium","Low"))</x:f>
        <x:v>Low</x:v>
      </x:c>
    </x:row>
    <x:row r="1106">
      <x:c r="A1106" t="n">
        <x:v>1105</x:v>
      </x:c>
      <x:c r="B1106" t="n">
        <x:v>10076</x:v>
      </x:c>
      <x:c r="C1106" s="16" t="n">
        <x:v>46208</x:v>
      </x:c>
      <x:c r="D1106" t="str">
        <x:v>05:14:00</x:v>
      </x:c>
      <x:c r="E1106" t="str">
        <x:v>Bank Transfer</x:v>
      </x:c>
      <x:c r="F1106" t="str">
        <x:v>Utilities</x:v>
      </x:c>
      <x:c r="G1106" s="18" t="n">
        <x:v>82.45</x:v>
      </x:c>
      <x:c r="H1106" t="n">
        <x:v>0</x:v>
      </x:c>
      <x:c r="I1106" t="n">
        <x:v>0</x:v>
      </x:c>
      <x:c r="J1106" t="n">
        <x:v>0</x:v>
      </x:c>
      <x:c r="K1106" t="n">
        <x:v>0</x:v>
      </x:c>
      <x:c r="L1106" t="n">
        <x:v>10</x:v>
      </x:c>
      <x:c r="M1106" t="n">
        <x:v>0</x:v>
      </x:c>
      <x:c r="N1106" t="str">
        <x:v>Declined</x:v>
      </x:c>
      <x:c r="O1106" t="n">
        <x:v>0</x:v>
      </x:c>
      <x:c r="P1106" t="str">
        <x:f>IF(L1106&gt;=75,"High",IF(L1106&gt;=55,"Medium","Low"))</x:f>
        <x:v>Low</x:v>
      </x:c>
    </x:row>
    <x:row r="1107">
      <x:c r="A1107" t="n">
        <x:v>1106</x:v>
      </x:c>
      <x:c r="B1107" t="n">
        <x:v>10024</x:v>
      </x:c>
      <x:c r="C1107" s="16" t="n">
        <x:v>46140</x:v>
      </x:c>
      <x:c r="D1107" t="str">
        <x:v>22:47:00</x:v>
      </x:c>
      <x:c r="E1107" t="str">
        <x:v>Bank Transfer</x:v>
      </x:c>
      <x:c r="F1107" t="str">
        <x:v>Travel</x:v>
      </x:c>
      <x:c r="G1107" s="18" t="n">
        <x:v>44.42</x:v>
      </x:c>
      <x:c r="H1107" t="n">
        <x:v>0</x:v>
      </x:c>
      <x:c r="I1107" t="n">
        <x:v>0</x:v>
      </x:c>
      <x:c r="J1107" t="n">
        <x:v>0</x:v>
      </x:c>
      <x:c r="K1107" t="n">
        <x:v>0</x:v>
      </x:c>
      <x:c r="L1107" t="n">
        <x:v>10</x:v>
      </x:c>
      <x:c r="M1107" t="n">
        <x:v>0</x:v>
      </x:c>
      <x:c r="N1107" t="str">
        <x:v>Declined</x:v>
      </x:c>
      <x:c r="O1107" t="n">
        <x:v>0</x:v>
      </x:c>
      <x:c r="P1107" t="str">
        <x:f>IF(L1107&gt;=75,"High",IF(L1107&gt;=55,"Medium","Low"))</x:f>
        <x:v>Low</x:v>
      </x:c>
    </x:row>
    <x:row r="1108">
      <x:c r="A1108" t="n">
        <x:v>1107</x:v>
      </x:c>
      <x:c r="B1108" t="n">
        <x:v>10330</x:v>
      </x:c>
      <x:c r="C1108" s="16" t="n">
        <x:v>46286</x:v>
      </x:c>
      <x:c r="D1108" t="str">
        <x:v>16:06:00</x:v>
      </x:c>
      <x:c r="E1108" t="str">
        <x:v>Card</x:v>
      </x:c>
      <x:c r="F1108" t="str">
        <x:v>Retail</x:v>
      </x:c>
      <x:c r="G1108" s="18" t="n">
        <x:v>93.73</x:v>
      </x:c>
      <x:c r="H1108" t="n">
        <x:v>1</x:v>
      </x:c>
      <x:c r="I1108" t="n">
        <x:v>0</x:v>
      </x:c>
      <x:c r="J1108" t="n">
        <x:v>0</x:v>
      </x:c>
      <x:c r="K1108" t="n">
        <x:v>0</x:v>
      </x:c>
      <x:c r="L1108" t="n">
        <x:v>36</x:v>
      </x:c>
      <x:c r="M1108" t="n">
        <x:v>0</x:v>
      </x:c>
      <x:c r="N1108" t="str">
        <x:v>Approved</x:v>
      </x:c>
      <x:c r="O1108" t="n">
        <x:v>0</x:v>
      </x:c>
      <x:c r="P1108" t="str">
        <x:f>IF(L1108&gt;=75,"High",IF(L1108&gt;=55,"Medium","Low"))</x:f>
        <x:v>Low</x:v>
      </x:c>
    </x:row>
    <x:row r="1109">
      <x:c r="A1109" t="n">
        <x:v>1108</x:v>
      </x:c>
      <x:c r="B1109" t="n">
        <x:v>10171</x:v>
      </x:c>
      <x:c r="C1109" s="16" t="n">
        <x:v>46131</x:v>
      </x:c>
      <x:c r="D1109" t="str">
        <x:v>09:08:00</x:v>
      </x:c>
      <x:c r="E1109" t="str">
        <x:v>P2P</x:v>
      </x:c>
      <x:c r="F1109" t="str">
        <x:v>Subscriptions</x:v>
      </x:c>
      <x:c r="G1109" s="18" t="n">
        <x:v>683.39</x:v>
      </x:c>
      <x:c r="H1109" t="n">
        <x:v>0</x:v>
      </x:c>
      <x:c r="I1109" t="n">
        <x:v>1</x:v>
      </x:c>
      <x:c r="J1109" t="n">
        <x:v>1</x:v>
      </x:c>
      <x:c r="K1109" t="n">
        <x:v>0</x:v>
      </x:c>
      <x:c r="L1109" t="n">
        <x:v>64</x:v>
      </x:c>
      <x:c r="M1109" t="n">
        <x:v>1</x:v>
      </x:c>
      <x:c r="N1109" t="str">
        <x:v>Approved</x:v>
      </x:c>
      <x:c r="O1109" t="n">
        <x:v>0</x:v>
      </x:c>
      <x:c r="P1109" t="str">
        <x:f>IF(L1109&gt;=75,"High",IF(L1109&gt;=55,"Medium","Low"))</x:f>
        <x:v>Medium</x:v>
      </x:c>
    </x:row>
    <x:row r="1110">
      <x:c r="A1110" t="n">
        <x:v>1109</x:v>
      </x:c>
      <x:c r="B1110" t="n">
        <x:v>10032</x:v>
      </x:c>
      <x:c r="C1110" s="16" t="n">
        <x:v>46175</x:v>
      </x:c>
      <x:c r="D1110" t="str">
        <x:v>05:01:00</x:v>
      </x:c>
      <x:c r="E1110" t="str">
        <x:v>Bank Transfer</x:v>
      </x:c>
      <x:c r="F1110" t="str">
        <x:v>Electronics</x:v>
      </x:c>
      <x:c r="G1110" s="18" t="n">
        <x:v>79.44</x:v>
      </x:c>
      <x:c r="H1110" t="n">
        <x:v>1</x:v>
      </x:c>
      <x:c r="I1110" t="n">
        <x:v>0</x:v>
      </x:c>
      <x:c r="J1110" t="n">
        <x:v>0</x:v>
      </x:c>
      <x:c r="K1110" t="n">
        <x:v>0</x:v>
      </x:c>
      <x:c r="L1110" t="n">
        <x:v>36</x:v>
      </x:c>
      <x:c r="M1110" t="n">
        <x:v>0</x:v>
      </x:c>
      <x:c r="N1110" t="str">
        <x:v>Declined</x:v>
      </x:c>
      <x:c r="O1110" t="n">
        <x:v>0</x:v>
      </x:c>
      <x:c r="P1110" t="str">
        <x:f>IF(L1110&gt;=75,"High",IF(L1110&gt;=55,"Medium","Low"))</x:f>
        <x:v>Low</x:v>
      </x:c>
    </x:row>
    <x:row r="1111">
      <x:c r="A1111" t="n">
        <x:v>1110</x:v>
      </x:c>
      <x:c r="B1111" t="n">
        <x:v>10086</x:v>
      </x:c>
      <x:c r="C1111" s="16" t="n">
        <x:v>46169</x:v>
      </x:c>
      <x:c r="D1111" t="str">
        <x:v>10:08:00</x:v>
      </x:c>
      <x:c r="E1111" t="str">
        <x:v>Bank Transfer</x:v>
      </x:c>
      <x:c r="F1111" t="str">
        <x:v>Transfer</x:v>
      </x:c>
      <x:c r="G1111" s="18" t="n">
        <x:v>49.32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10</x:v>
      </x:c>
      <x:c r="M1111" t="n">
        <x:v>0</x:v>
      </x:c>
      <x:c r="N1111" t="str">
        <x:v>Approved</x:v>
      </x:c>
      <x:c r="O1111" t="n">
        <x:v>0</x:v>
      </x:c>
      <x:c r="P1111" t="str">
        <x:f>IF(L1111&gt;=75,"High",IF(L1111&gt;=55,"Medium","Low"))</x:f>
        <x:v>Low</x:v>
      </x:c>
    </x:row>
    <x:row r="1112">
      <x:c r="A1112" t="n">
        <x:v>1111</x:v>
      </x:c>
      <x:c r="B1112" t="n">
        <x:v>10146</x:v>
      </x:c>
      <x:c r="C1112" s="16" t="n">
        <x:v>46115</x:v>
      </x:c>
      <x:c r="D1112" t="str">
        <x:v>05:37:00</x:v>
      </x:c>
      <x:c r="E1112" t="str">
        <x:v>Card</x:v>
      </x:c>
      <x:c r="F1112" t="str">
        <x:v>Retail</x:v>
      </x:c>
      <x:c r="G1112" s="18" t="n">
        <x:v>29.75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10</x:v>
      </x:c>
      <x:c r="M1112" t="n">
        <x:v>0</x:v>
      </x:c>
      <x:c r="N1112" t="str">
        <x:v>Approved</x:v>
      </x:c>
      <x:c r="O1112" t="n">
        <x:v>0</x:v>
      </x:c>
      <x:c r="P1112" t="str">
        <x:f>IF(L1112&gt;=75,"High",IF(L1112&gt;=55,"Medium","Low"))</x:f>
        <x:v>Low</x:v>
      </x:c>
    </x:row>
    <x:row r="1113">
      <x:c r="A1113" t="n">
        <x:v>1112</x:v>
      </x:c>
      <x:c r="B1113" t="n">
        <x:v>10094</x:v>
      </x:c>
      <x:c r="C1113" s="16" t="n">
        <x:v>46120</x:v>
      </x:c>
      <x:c r="D1113" t="str">
        <x:v>18:21:00</x:v>
      </x:c>
      <x:c r="E1113" t="str">
        <x:v>Card</x:v>
      </x:c>
      <x:c r="F1113" t="str">
        <x:v>Retail</x:v>
      </x:c>
      <x:c r="G1113" s="18" t="n">
        <x:v>73.71</x:v>
      </x:c>
      <x:c r="H1113" t="n">
        <x:v>0</x:v>
      </x:c>
      <x:c r="I1113" t="n">
        <x:v>1</x:v>
      </x:c>
      <x:c r="J1113" t="n">
        <x:v>0</x:v>
      </x:c>
      <x:c r="K1113" t="n">
        <x:v>0</x:v>
      </x:c>
      <x:c r="L1113" t="n">
        <x:v>30</x:v>
      </x:c>
      <x:c r="M1113" t="n">
        <x:v>0</x:v>
      </x:c>
      <x:c r="N1113" t="str">
        <x:v>Approved</x:v>
      </x:c>
      <x:c r="O1113" t="n">
        <x:v>0</x:v>
      </x:c>
      <x:c r="P1113" t="str">
        <x:f>IF(L1113&gt;=75,"High",IF(L1113&gt;=55,"Medium","Low"))</x:f>
        <x:v>Low</x:v>
      </x:c>
    </x:row>
    <x:row r="1114">
      <x:c r="A1114" t="n">
        <x:v>1113</x:v>
      </x:c>
      <x:c r="B1114" t="n">
        <x:v>10026</x:v>
      </x:c>
      <x:c r="C1114" s="16" t="n">
        <x:v>46114</x:v>
      </x:c>
      <x:c r="D1114" t="str">
        <x:v>14:13:00</x:v>
      </x:c>
      <x:c r="E1114" t="str">
        <x:v>Card</x:v>
      </x:c>
      <x:c r="F1114" t="str">
        <x:v>Transfer</x:v>
      </x:c>
      <x:c r="G1114" s="18" t="n">
        <x:v>105.98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10</x:v>
      </x:c>
      <x:c r="M1114" t="n">
        <x:v>0</x:v>
      </x:c>
      <x:c r="N1114" t="str">
        <x:v>Approved</x:v>
      </x:c>
      <x:c r="O1114" t="n">
        <x:v>0</x:v>
      </x:c>
      <x:c r="P1114" t="str">
        <x:f>IF(L1114&gt;=75,"High",IF(L1114&gt;=55,"Medium","Low"))</x:f>
        <x:v>Low</x:v>
      </x:c>
    </x:row>
    <x:row r="1115">
      <x:c r="A1115" t="n">
        <x:v>1114</x:v>
      </x:c>
      <x:c r="B1115" t="n">
        <x:v>10346</x:v>
      </x:c>
      <x:c r="C1115" s="16" t="n">
        <x:v>46268</x:v>
      </x:c>
      <x:c r="D1115" t="str">
        <x:v>06:13:00</x:v>
      </x:c>
      <x:c r="E1115" t="str">
        <x:v>P2P</x:v>
      </x:c>
      <x:c r="F1115" t="str">
        <x:v>Transfer</x:v>
      </x:c>
      <x:c r="G1115" s="18" t="n">
        <x:v>91.69</x:v>
      </x:c>
      <x:c r="H1115" t="n">
        <x:v>0</x:v>
      </x:c>
      <x:c r="I1115" t="n">
        <x:v>0</x:v>
      </x:c>
      <x:c r="J1115" t="n">
        <x:v>0</x:v>
      </x:c>
      <x:c r="K1115" t="n">
        <x:v>0</x:v>
      </x:c>
      <x:c r="L1115" t="n">
        <x:v>10</x:v>
      </x:c>
      <x:c r="M1115" t="n">
        <x:v>0</x:v>
      </x:c>
      <x:c r="N1115" t="str">
        <x:v>Approved</x:v>
      </x:c>
      <x:c r="O1115" t="n">
        <x:v>0</x:v>
      </x:c>
      <x:c r="P1115" t="str">
        <x:f>IF(L1115&gt;=75,"High",IF(L1115&gt;=55,"Medium","Low"))</x:f>
        <x:v>Low</x:v>
      </x:c>
    </x:row>
    <x:row r="1116">
      <x:c r="A1116" t="n">
        <x:v>1115</x:v>
      </x:c>
      <x:c r="B1116" t="n">
        <x:v>10227</x:v>
      </x:c>
      <x:c r="C1116" s="16" t="n">
        <x:v>46113</x:v>
      </x:c>
      <x:c r="D1116" t="str">
        <x:v>07:13:00</x:v>
      </x:c>
      <x:c r="E1116" t="str">
        <x:v>P2P</x:v>
      </x:c>
      <x:c r="F1116" t="str">
        <x:v>Utilities</x:v>
      </x:c>
      <x:c r="G1116" s="18" t="n">
        <x:v>99</x:v>
      </x:c>
      <x:c r="H1116" t="n">
        <x:v>0</x:v>
      </x:c>
      <x:c r="I1116" t="n">
        <x:v>0</x:v>
      </x:c>
      <x:c r="J1116" t="n">
        <x:v>0</x:v>
      </x:c>
      <x:c r="K1116" t="n">
        <x:v>0</x:v>
      </x:c>
      <x:c r="L1116" t="n">
        <x:v>10</x:v>
      </x:c>
      <x:c r="M1116" t="n">
        <x:v>0</x:v>
      </x:c>
      <x:c r="N1116" t="str">
        <x:v>Approved</x:v>
      </x:c>
      <x:c r="O1116" t="n">
        <x:v>0</x:v>
      </x:c>
      <x:c r="P1116" t="str">
        <x:f>IF(L1116&gt;=75,"High",IF(L1116&gt;=55,"Medium","Low"))</x:f>
        <x:v>Low</x:v>
      </x:c>
    </x:row>
    <x:row r="1117">
      <x:c r="A1117" t="n">
        <x:v>1116</x:v>
      </x:c>
      <x:c r="B1117" t="n">
        <x:v>10313</x:v>
      </x:c>
      <x:c r="C1117" s="16" t="n">
        <x:v>46203</x:v>
      </x:c>
      <x:c r="D1117" t="str">
        <x:v>13:35:00</x:v>
      </x:c>
      <x:c r="E1117" t="str">
        <x:v>Card</x:v>
      </x:c>
      <x:c r="F1117" t="str">
        <x:v>Electronics</x:v>
      </x:c>
      <x:c r="G1117" s="18" t="n">
        <x:v>232.42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10</x:v>
      </x:c>
      <x:c r="M1117" t="n">
        <x:v>0</x:v>
      </x:c>
      <x:c r="N1117" t="str">
        <x:v>Approved</x:v>
      </x:c>
      <x:c r="O1117" t="n">
        <x:v>0</x:v>
      </x:c>
      <x:c r="P1117" t="str">
        <x:f>IF(L1117&gt;=75,"High",IF(L1117&gt;=55,"Medium","Low"))</x:f>
        <x:v>Low</x:v>
      </x:c>
    </x:row>
    <x:row r="1118">
      <x:c r="A1118" t="n">
        <x:v>1117</x:v>
      </x:c>
      <x:c r="B1118" t="n">
        <x:v>10155</x:v>
      </x:c>
      <x:c r="C1118" s="16" t="n">
        <x:v>46217</x:v>
      </x:c>
      <x:c r="D1118" t="str">
        <x:v>18:53:00</x:v>
      </x:c>
      <x:c r="E1118" t="str">
        <x:v>Card</x:v>
      </x:c>
      <x:c r="F1118" t="str">
        <x:v>Utilities</x:v>
      </x:c>
      <x:c r="G1118" s="18" t="n">
        <x:v>188.89</x:v>
      </x:c>
      <x:c r="H1118" t="n">
        <x:v>0</x:v>
      </x:c>
      <x:c r="I1118" t="n">
        <x:v>1</x:v>
      </x:c>
      <x:c r="J1118" t="n">
        <x:v>0</x:v>
      </x:c>
      <x:c r="K1118" t="n">
        <x:v>0</x:v>
      </x:c>
      <x:c r="L1118" t="n">
        <x:v>30</x:v>
      </x:c>
      <x:c r="M1118" t="n">
        <x:v>0</x:v>
      </x:c>
      <x:c r="N1118" t="str">
        <x:v>Approved</x:v>
      </x:c>
      <x:c r="O1118" t="n">
        <x:v>0</x:v>
      </x:c>
      <x:c r="P1118" t="str">
        <x:f>IF(L1118&gt;=75,"High",IF(L1118&gt;=55,"Medium","Low"))</x:f>
        <x:v>Low</x:v>
      </x:c>
    </x:row>
    <x:row r="1119">
      <x:c r="A1119" t="n">
        <x:v>1118</x:v>
      </x:c>
      <x:c r="B1119" t="n">
        <x:v>10211</x:v>
      </x:c>
      <x:c r="C1119" s="16" t="n">
        <x:v>46281</x:v>
      </x:c>
      <x:c r="D1119" t="str">
        <x:v>19:52:00</x:v>
      </x:c>
      <x:c r="E1119" t="str">
        <x:v>Card</x:v>
      </x:c>
      <x:c r="F1119" t="str">
        <x:v>Utilities</x:v>
      </x:c>
      <x:c r="G1119" s="18" t="n">
        <x:v>15.44</x:v>
      </x:c>
      <x:c r="H1119" t="n">
        <x:v>0</x:v>
      </x:c>
      <x:c r="I1119" t="n">
        <x:v>1</x:v>
      </x:c>
      <x:c r="J1119" t="n">
        <x:v>0</x:v>
      </x:c>
      <x:c r="K1119" t="n">
        <x:v>0</x:v>
      </x:c>
      <x:c r="L1119" t="n">
        <x:v>30</x:v>
      </x:c>
      <x:c r="M1119" t="n">
        <x:v>0</x:v>
      </x:c>
      <x:c r="N1119" t="str">
        <x:v>Approved</x:v>
      </x:c>
      <x:c r="O1119" t="n">
        <x:v>0</x:v>
      </x:c>
      <x:c r="P1119" t="str">
        <x:f>IF(L1119&gt;=75,"High",IF(L1119&gt;=55,"Medium","Low"))</x:f>
        <x:v>Low</x:v>
      </x:c>
    </x:row>
    <x:row r="1120">
      <x:c r="A1120" t="n">
        <x:v>1119</x:v>
      </x:c>
      <x:c r="B1120" t="n">
        <x:v>10220</x:v>
      </x:c>
      <x:c r="C1120" s="16" t="n">
        <x:v>46133</x:v>
      </x:c>
      <x:c r="D1120" t="str">
        <x:v>18:51:00</x:v>
      </x:c>
      <x:c r="E1120" t="str">
        <x:v>Card</x:v>
      </x:c>
      <x:c r="F1120" t="str">
        <x:v>Retail</x:v>
      </x:c>
      <x:c r="G1120" s="18" t="n">
        <x:v>17.23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10</x:v>
      </x:c>
      <x:c r="M1120" t="n">
        <x:v>0</x:v>
      </x:c>
      <x:c r="N1120" t="str">
        <x:v>Approved</x:v>
      </x:c>
      <x:c r="O1120" t="n">
        <x:v>0</x:v>
      </x:c>
      <x:c r="P1120" t="str">
        <x:f>IF(L1120&gt;=75,"High",IF(L1120&gt;=55,"Medium","Low"))</x:f>
        <x:v>Low</x:v>
      </x:c>
    </x:row>
    <x:row r="1121">
      <x:c r="A1121" t="n">
        <x:v>1120</x:v>
      </x:c>
      <x:c r="B1121" t="n">
        <x:v>10057</x:v>
      </x:c>
      <x:c r="C1121" s="16" t="n">
        <x:v>46152</x:v>
      </x:c>
      <x:c r="D1121" t="str">
        <x:v>01:06:00</x:v>
      </x:c>
      <x:c r="E1121" t="str">
        <x:v>Card</x:v>
      </x:c>
      <x:c r="F1121" t="str">
        <x:v>Electronics</x:v>
      </x:c>
      <x:c r="G1121" s="18" t="n">
        <x:v>115.35</x:v>
      </x:c>
      <x:c r="H1121" t="n">
        <x:v>0</x:v>
      </x:c>
      <x:c r="I1121" t="n">
        <x:v>1</x:v>
      </x:c>
      <x:c r="J1121" t="n">
        <x:v>0</x:v>
      </x:c>
      <x:c r="K1121" t="n">
        <x:v>1</x:v>
      </x:c>
      <x:c r="L1121" t="n">
        <x:v>45</x:v>
      </x:c>
      <x:c r="M1121" t="n">
        <x:v>0</x:v>
      </x:c>
      <x:c r="N1121" t="str">
        <x:v>Approved</x:v>
      </x:c>
      <x:c r="O1121" t="n">
        <x:v>0</x:v>
      </x:c>
      <x:c r="P1121" t="str">
        <x:f>IF(L1121&gt;=75,"High",IF(L1121&gt;=55,"Medium","Low"))</x:f>
        <x:v>Low</x:v>
      </x:c>
    </x:row>
    <x:row r="1122">
      <x:c r="A1122" t="n">
        <x:v>1121</x:v>
      </x:c>
      <x:c r="B1122" t="n">
        <x:v>10078</x:v>
      </x:c>
      <x:c r="C1122" s="16" t="n">
        <x:v>46147</x:v>
      </x:c>
      <x:c r="D1122" t="str">
        <x:v>02:56:00</x:v>
      </x:c>
      <x:c r="E1122" t="str">
        <x:v>Card</x:v>
      </x:c>
      <x:c r="F1122" t="str">
        <x:v>Retail</x:v>
      </x:c>
      <x:c r="G1122" s="18" t="n">
        <x:v>10.28</x:v>
      </x:c>
      <x:c r="H1122" t="n">
        <x:v>1</x:v>
      </x:c>
      <x:c r="I1122" t="n">
        <x:v>0</x:v>
      </x:c>
      <x:c r="J1122" t="n">
        <x:v>0</x:v>
      </x:c>
      <x:c r="K1122" t="n">
        <x:v>1</x:v>
      </x:c>
      <x:c r="L1122" t="n">
        <x:v>51</x:v>
      </x:c>
      <x:c r="M1122" t="n">
        <x:v>0</x:v>
      </x:c>
      <x:c r="N1122" t="str">
        <x:v>Declined</x:v>
      </x:c>
      <x:c r="O1122" t="n">
        <x:v>0</x:v>
      </x:c>
      <x:c r="P1122" t="str">
        <x:f>IF(L1122&gt;=75,"High",IF(L1122&gt;=55,"Medium","Low"))</x:f>
        <x:v>Low</x:v>
      </x:c>
    </x:row>
    <x:row r="1123">
      <x:c r="A1123" t="n">
        <x:v>1122</x:v>
      </x:c>
      <x:c r="B1123" t="n">
        <x:v>10281</x:v>
      </x:c>
      <x:c r="C1123" s="16" t="n">
        <x:v>46145</x:v>
      </x:c>
      <x:c r="D1123" t="str">
        <x:v>16:06:00</x:v>
      </x:c>
      <x:c r="E1123" t="str">
        <x:v>P2P</x:v>
      </x:c>
      <x:c r="F1123" t="str">
        <x:v>Travel</x:v>
      </x:c>
      <x:c r="G1123" s="18" t="n">
        <x:v>56.58</x:v>
      </x:c>
      <x:c r="H1123" t="n">
        <x:v>1</x:v>
      </x:c>
      <x:c r="I1123" t="n">
        <x:v>0</x:v>
      </x:c>
      <x:c r="J1123" t="n">
        <x:v>0</x:v>
      </x:c>
      <x:c r="K1123" t="n">
        <x:v>0</x:v>
      </x:c>
      <x:c r="L1123" t="n">
        <x:v>36</x:v>
      </x:c>
      <x:c r="M1123" t="n">
        <x:v>0</x:v>
      </x:c>
      <x:c r="N1123" t="str">
        <x:v>Approved</x:v>
      </x:c>
      <x:c r="O1123" t="n">
        <x:v>0</x:v>
      </x:c>
      <x:c r="P1123" t="str">
        <x:f>IF(L1123&gt;=75,"High",IF(L1123&gt;=55,"Medium","Low"))</x:f>
        <x:v>Low</x:v>
      </x:c>
    </x:row>
    <x:row r="1124">
      <x:c r="A1124" t="n">
        <x:v>1123</x:v>
      </x:c>
      <x:c r="B1124" t="n">
        <x:v>10329</x:v>
      </x:c>
      <x:c r="C1124" s="16" t="n">
        <x:v>46169</x:v>
      </x:c>
      <x:c r="D1124" t="str">
        <x:v>15:34:00</x:v>
      </x:c>
      <x:c r="E1124" t="str">
        <x:v>Card</x:v>
      </x:c>
      <x:c r="F1124" t="str">
        <x:v>Transfer</x:v>
      </x:c>
      <x:c r="G1124" s="18" t="n">
        <x:v>117.48</x:v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n">
        <x:v>10</x:v>
      </x:c>
      <x:c r="M1124" t="n">
        <x:v>0</x:v>
      </x:c>
      <x:c r="N1124" t="str">
        <x:v>Declined</x:v>
      </x:c>
      <x:c r="O1124" t="n">
        <x:v>0</x:v>
      </x:c>
      <x:c r="P1124" t="str">
        <x:f>IF(L1124&gt;=75,"High",IF(L1124&gt;=55,"Medium","Low"))</x:f>
        <x:v>Low</x:v>
      </x:c>
    </x:row>
    <x:row r="1125">
      <x:c r="A1125" t="n">
        <x:v>1124</x:v>
      </x:c>
      <x:c r="B1125" t="n">
        <x:v>10288</x:v>
      </x:c>
      <x:c r="C1125" s="16" t="n">
        <x:v>46187</x:v>
      </x:c>
      <x:c r="D1125" t="str">
        <x:v>20:17:00</x:v>
      </x:c>
      <x:c r="E1125" t="str">
        <x:v>Card</x:v>
      </x:c>
      <x:c r="F1125" t="str">
        <x:v>Utilities</x:v>
      </x:c>
      <x:c r="G1125" s="18" t="n">
        <x:v>136.87</x:v>
      </x:c>
      <x:c r="H1125" t="n">
        <x:v>0</x:v>
      </x:c>
      <x:c r="I1125" t="n">
        <x:v>1</x:v>
      </x:c>
      <x:c r="J1125" t="n">
        <x:v>0</x:v>
      </x:c>
      <x:c r="K1125" t="n">
        <x:v>0</x:v>
      </x:c>
      <x:c r="L1125" t="n">
        <x:v>30</x:v>
      </x:c>
      <x:c r="M1125" t="n">
        <x:v>0</x:v>
      </x:c>
      <x:c r="N1125" t="str">
        <x:v>Approved</x:v>
      </x:c>
      <x:c r="O1125" t="n">
        <x:v>0</x:v>
      </x:c>
      <x:c r="P1125" t="str">
        <x:f>IF(L1125&gt;=75,"High",IF(L1125&gt;=55,"Medium","Low"))</x:f>
        <x:v>Low</x:v>
      </x:c>
    </x:row>
    <x:row r="1126">
      <x:c r="A1126" t="n">
        <x:v>1125</x:v>
      </x:c>
      <x:c r="B1126" t="n">
        <x:v>10240</x:v>
      </x:c>
      <x:c r="C1126" s="16" t="n">
        <x:v>46283</x:v>
      </x:c>
      <x:c r="D1126" t="str">
        <x:v>15:04:00</x:v>
      </x:c>
      <x:c r="E1126" t="str">
        <x:v>Card</x:v>
      </x:c>
      <x:c r="F1126" t="str">
        <x:v>Dining</x:v>
      </x:c>
      <x:c r="G1126" s="18" t="n">
        <x:v>119.02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10</x:v>
      </x:c>
      <x:c r="M1126" t="n">
        <x:v>0</x:v>
      </x:c>
      <x:c r="N1126" t="str">
        <x:v>Declined</x:v>
      </x:c>
      <x:c r="O1126" t="n">
        <x:v>0</x:v>
      </x:c>
      <x:c r="P1126" t="str">
        <x:f>IF(L1126&gt;=75,"High",IF(L1126&gt;=55,"Medium","Low"))</x:f>
        <x:v>Low</x:v>
      </x:c>
    </x:row>
    <x:row r="1127">
      <x:c r="A1127" t="n">
        <x:v>1126</x:v>
      </x:c>
      <x:c r="B1127" t="n">
        <x:v>10197</x:v>
      </x:c>
      <x:c r="C1127" s="16" t="n">
        <x:v>46280</x:v>
      </x:c>
      <x:c r="D1127" t="str">
        <x:v>01:30:00</x:v>
      </x:c>
      <x:c r="E1127" t="str">
        <x:v>P2P</x:v>
      </x:c>
      <x:c r="F1127" t="str">
        <x:v>Utilities</x:v>
      </x:c>
      <x:c r="G1127" s="18" t="n">
        <x:v>170.46</x:v>
      </x:c>
      <x:c r="H1127" t="n">
        <x:v>0</x:v>
      </x:c>
      <x:c r="I1127" t="n">
        <x:v>0</x:v>
      </x:c>
      <x:c r="J1127" t="n">
        <x:v>0</x:v>
      </x:c>
      <x:c r="K1127" t="n">
        <x:v>1</x:v>
      </x:c>
      <x:c r="L1127" t="n">
        <x:v>25</x:v>
      </x:c>
      <x:c r="M1127" t="n">
        <x:v>0</x:v>
      </x:c>
      <x:c r="N1127" t="str">
        <x:v>Approved</x:v>
      </x:c>
      <x:c r="O1127" t="n">
        <x:v>0</x:v>
      </x:c>
      <x:c r="P1127" t="str">
        <x:f>IF(L1127&gt;=75,"High",IF(L1127&gt;=55,"Medium","Low"))</x:f>
        <x:v>Low</x:v>
      </x:c>
    </x:row>
    <x:row r="1128">
      <x:c r="A1128" t="n">
        <x:v>1127</x:v>
      </x:c>
      <x:c r="B1128" t="n">
        <x:v>10233</x:v>
      </x:c>
      <x:c r="C1128" s="16" t="n">
        <x:v>46206</x:v>
      </x:c>
      <x:c r="D1128" t="str">
        <x:v>23:20:00</x:v>
      </x:c>
      <x:c r="E1128" t="str">
        <x:v>Card</x:v>
      </x:c>
      <x:c r="F1128" t="str">
        <x:v>Retail</x:v>
      </x:c>
      <x:c r="G1128" s="18" t="n">
        <x:v>86.71</x:v>
      </x:c>
      <x:c r="H1128" t="n">
        <x:v>0</x:v>
      </x:c>
      <x:c r="I1128" t="n">
        <x:v>0</x:v>
      </x:c>
      <x:c r="J1128" t="n">
        <x:v>0</x:v>
      </x:c>
      <x:c r="K1128" t="n">
        <x:v>0</x:v>
      </x:c>
      <x:c r="L1128" t="n">
        <x:v>10</x:v>
      </x:c>
      <x:c r="M1128" t="n">
        <x:v>0</x:v>
      </x:c>
      <x:c r="N1128" t="str">
        <x:v>Approved</x:v>
      </x:c>
      <x:c r="O1128" t="n">
        <x:v>0</x:v>
      </x:c>
      <x:c r="P1128" t="str">
        <x:f>IF(L1128&gt;=75,"High",IF(L1128&gt;=55,"Medium","Low"))</x:f>
        <x:v>Low</x:v>
      </x:c>
    </x:row>
    <x:row r="1129">
      <x:c r="A1129" t="n">
        <x:v>1128</x:v>
      </x:c>
      <x:c r="B1129" t="n">
        <x:v>10128</x:v>
      </x:c>
      <x:c r="C1129" s="16" t="n">
        <x:v>46168</x:v>
      </x:c>
      <x:c r="D1129" t="str">
        <x:v>00:39:00</x:v>
      </x:c>
      <x:c r="E1129" t="str">
        <x:v>Bank Transfer</x:v>
      </x:c>
      <x:c r="F1129" t="str">
        <x:v>Subscriptions</x:v>
      </x:c>
      <x:c r="G1129" s="18" t="n">
        <x:v>256.73</x:v>
      </x:c>
      <x:c r="H1129" t="n">
        <x:v>0</x:v>
      </x:c>
      <x:c r="I1129" t="n">
        <x:v>0</x:v>
      </x:c>
      <x:c r="J1129" t="n">
        <x:v>0</x:v>
      </x:c>
      <x:c r="K1129" t="n">
        <x:v>1</x:v>
      </x:c>
      <x:c r="L1129" t="n">
        <x:v>25</x:v>
      </x:c>
      <x:c r="M1129" t="n">
        <x:v>0</x:v>
      </x:c>
      <x:c r="N1129" t="str">
        <x:v>Approved</x:v>
      </x:c>
      <x:c r="O1129" t="n">
        <x:v>0</x:v>
      </x:c>
      <x:c r="P1129" t="str">
        <x:f>IF(L1129&gt;=75,"High",IF(L1129&gt;=55,"Medium","Low"))</x:f>
        <x:v>Low</x:v>
      </x:c>
    </x:row>
    <x:row r="1130">
      <x:c r="A1130" t="n">
        <x:v>1129</x:v>
      </x:c>
      <x:c r="B1130" t="n">
        <x:v>10167</x:v>
      </x:c>
      <x:c r="C1130" s="16" t="n">
        <x:v>46123</x:v>
      </x:c>
      <x:c r="D1130" t="str">
        <x:v>04:34:00</x:v>
      </x:c>
      <x:c r="E1130" t="str">
        <x:v>Card</x:v>
      </x:c>
      <x:c r="F1130" t="str">
        <x:v>Utilities</x:v>
      </x:c>
      <x:c r="G1130" s="18" t="n">
        <x:v>458.01</x:v>
      </x:c>
      <x:c r="H1130" t="n">
        <x:v>0</x:v>
      </x:c>
      <x:c r="I1130" t="n">
        <x:v>0</x:v>
      </x:c>
      <x:c r="J1130" t="n">
        <x:v>0</x:v>
      </x:c>
      <x:c r="K1130" t="n">
        <x:v>1</x:v>
      </x:c>
      <x:c r="L1130" t="n">
        <x:v>25</x:v>
      </x:c>
      <x:c r="M1130" t="n">
        <x:v>0</x:v>
      </x:c>
      <x:c r="N1130" t="str">
        <x:v>Approved</x:v>
      </x:c>
      <x:c r="O1130" t="n">
        <x:v>0</x:v>
      </x:c>
      <x:c r="P1130" t="str">
        <x:f>IF(L1130&gt;=75,"High",IF(L1130&gt;=55,"Medium","Low"))</x:f>
        <x:v>Low</x:v>
      </x:c>
    </x:row>
    <x:row r="1131">
      <x:c r="A1131" t="n">
        <x:v>1130</x:v>
      </x:c>
      <x:c r="B1131" t="n">
        <x:v>10323</x:v>
      </x:c>
      <x:c r="C1131" s="16" t="n">
        <x:v>46208</x:v>
      </x:c>
      <x:c r="D1131" t="str">
        <x:v>10:46:00</x:v>
      </x:c>
      <x:c r="E1131" t="str">
        <x:v>P2P</x:v>
      </x:c>
      <x:c r="F1131" t="str">
        <x:v>Utilities</x:v>
      </x:c>
      <x:c r="G1131" s="18" t="n">
        <x:v>226.31</x:v>
      </x:c>
      <x:c r="H1131" t="n">
        <x:v>0</x:v>
      </x:c>
      <x:c r="I1131" t="n">
        <x:v>0</x:v>
      </x:c>
      <x:c r="J1131" t="n">
        <x:v>0</x:v>
      </x:c>
      <x:c r="K1131" t="n">
        <x:v>0</x:v>
      </x:c>
      <x:c r="L1131" t="n">
        <x:v>10</x:v>
      </x:c>
      <x:c r="M1131" t="n">
        <x:v>0</x:v>
      </x:c>
      <x:c r="N1131" t="str">
        <x:v>Approved</x:v>
      </x:c>
      <x:c r="O1131" t="n">
        <x:v>0</x:v>
      </x:c>
      <x:c r="P1131" t="str">
        <x:f>IF(L1131&gt;=75,"High",IF(L1131&gt;=55,"Medium","Low"))</x:f>
        <x:v>Low</x:v>
      </x:c>
    </x:row>
    <x:row r="1132">
      <x:c r="A1132" t="n">
        <x:v>1131</x:v>
      </x:c>
      <x:c r="B1132" t="n">
        <x:v>10023</x:v>
      </x:c>
      <x:c r="C1132" s="16" t="n">
        <x:v>46185</x:v>
      </x:c>
      <x:c r="D1132" t="str">
        <x:v>18:36:00</x:v>
      </x:c>
      <x:c r="E1132" t="str">
        <x:v>Bank Transfer</x:v>
      </x:c>
      <x:c r="F1132" t="str">
        <x:v>Subscriptions</x:v>
      </x:c>
      <x:c r="G1132" s="18" t="n">
        <x:v>62.6</x:v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n">
        <x:v>10</x:v>
      </x:c>
      <x:c r="M1132" t="n">
        <x:v>0</x:v>
      </x:c>
      <x:c r="N1132" t="str">
        <x:v>Approved</x:v>
      </x:c>
      <x:c r="O1132" t="n">
        <x:v>0</x:v>
      </x:c>
      <x:c r="P1132" t="str">
        <x:f>IF(L1132&gt;=75,"High",IF(L1132&gt;=55,"Medium","Low"))</x:f>
        <x:v>Low</x:v>
      </x:c>
    </x:row>
    <x:row r="1133">
      <x:c r="A1133" t="n">
        <x:v>1132</x:v>
      </x:c>
      <x:c r="B1133" t="n">
        <x:v>10119</x:v>
      </x:c>
      <x:c r="C1133" s="16" t="n">
        <x:v>46131</x:v>
      </x:c>
      <x:c r="D1133" t="str">
        <x:v>19:19:00</x:v>
      </x:c>
      <x:c r="E1133" t="str">
        <x:v>Card</x:v>
      </x:c>
      <x:c r="F1133" t="str">
        <x:v>Utilities</x:v>
      </x:c>
      <x:c r="G1133" s="18" t="n">
        <x:v>466.29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10</x:v>
      </x:c>
      <x:c r="M1133" t="n">
        <x:v>0</x:v>
      </x:c>
      <x:c r="N1133" t="str">
        <x:v>Approved</x:v>
      </x:c>
      <x:c r="O1133" t="n">
        <x:v>0</x:v>
      </x:c>
      <x:c r="P1133" t="str">
        <x:f>IF(L1133&gt;=75,"High",IF(L1133&gt;=55,"Medium","Low"))</x:f>
        <x:v>Low</x:v>
      </x:c>
    </x:row>
    <x:row r="1134">
      <x:c r="A1134" t="n">
        <x:v>1133</x:v>
      </x:c>
      <x:c r="B1134" t="n">
        <x:v>10236</x:v>
      </x:c>
      <x:c r="C1134" s="16" t="n">
        <x:v>46219</x:v>
      </x:c>
      <x:c r="D1134" t="str">
        <x:v>16:24:00</x:v>
      </x:c>
      <x:c r="E1134" t="str">
        <x:v>Card</x:v>
      </x:c>
      <x:c r="F1134" t="str">
        <x:v>Travel</x:v>
      </x:c>
      <x:c r="G1134" s="18" t="n">
        <x:v>65.37</x:v>
      </x:c>
      <x:c r="H1134" t="n">
        <x:v>0</x:v>
      </x:c>
      <x:c r="I1134" t="n">
        <x:v>0</x:v>
      </x:c>
      <x:c r="J1134" t="n">
        <x:v>0</x:v>
      </x:c>
      <x:c r="K1134" t="n">
        <x:v>0</x:v>
      </x:c>
      <x:c r="L1134" t="n">
        <x:v>10</x:v>
      </x:c>
      <x:c r="M1134" t="n">
        <x:v>0</x:v>
      </x:c>
      <x:c r="N1134" t="str">
        <x:v>Approved</x:v>
      </x:c>
      <x:c r="O1134" t="n">
        <x:v>0</x:v>
      </x:c>
      <x:c r="P1134" t="str">
        <x:f>IF(L1134&gt;=75,"High",IF(L1134&gt;=55,"Medium","Low"))</x:f>
        <x:v>Low</x:v>
      </x:c>
    </x:row>
    <x:row r="1135">
      <x:c r="A1135" t="n">
        <x:v>1134</x:v>
      </x:c>
      <x:c r="B1135" t="n">
        <x:v>10099</x:v>
      </x:c>
      <x:c r="C1135" s="16" t="n">
        <x:v>46240</x:v>
      </x:c>
      <x:c r="D1135" t="str">
        <x:v>21:44:00</x:v>
      </x:c>
      <x:c r="E1135" t="str">
        <x:v>Bank Transfer</x:v>
      </x:c>
      <x:c r="F1135" t="str">
        <x:v>Transfer</x:v>
      </x:c>
      <x:c r="G1135" s="18" t="n">
        <x:v>69.41</x:v>
      </x:c>
      <x:c r="H1135" t="n">
        <x:v>0</x:v>
      </x:c>
      <x:c r="I1135" t="n">
        <x:v>0</x:v>
      </x:c>
      <x:c r="J1135" t="n">
        <x:v>0</x:v>
      </x:c>
      <x:c r="K1135" t="n">
        <x:v>0</x:v>
      </x:c>
      <x:c r="L1135" t="n">
        <x:v>10</x:v>
      </x:c>
      <x:c r="M1135" t="n">
        <x:v>0</x:v>
      </x:c>
      <x:c r="N1135" t="str">
        <x:v>Approved</x:v>
      </x:c>
      <x:c r="O1135" t="n">
        <x:v>0</x:v>
      </x:c>
      <x:c r="P1135" t="str">
        <x:f>IF(L1135&gt;=75,"High",IF(L1135&gt;=55,"Medium","Low"))</x:f>
        <x:v>Low</x:v>
      </x:c>
    </x:row>
    <x:row r="1136">
      <x:c r="A1136" t="n">
        <x:v>1135</x:v>
      </x:c>
      <x:c r="B1136" t="n">
        <x:v>10164</x:v>
      </x:c>
      <x:c r="C1136" s="16" t="n">
        <x:v>46132</x:v>
      </x:c>
      <x:c r="D1136" t="str">
        <x:v>02:56:00</x:v>
      </x:c>
      <x:c r="E1136" t="str">
        <x:v>Card</x:v>
      </x:c>
      <x:c r="F1136" t="str">
        <x:v>Transfer</x:v>
      </x:c>
      <x:c r="G1136" s="18" t="n">
        <x:v>98.4</x:v>
      </x:c>
      <x:c r="H1136" t="n">
        <x:v>0</x:v>
      </x:c>
      <x:c r="I1136" t="n">
        <x:v>0</x:v>
      </x:c>
      <x:c r="J1136" t="n">
        <x:v>0</x:v>
      </x:c>
      <x:c r="K1136" t="n">
        <x:v>1</x:v>
      </x:c>
      <x:c r="L1136" t="n">
        <x:v>25</x:v>
      </x:c>
      <x:c r="M1136" t="n">
        <x:v>0</x:v>
      </x:c>
      <x:c r="N1136" t="str">
        <x:v>Approved</x:v>
      </x:c>
      <x:c r="O1136" t="n">
        <x:v>0</x:v>
      </x:c>
      <x:c r="P1136" t="str">
        <x:f>IF(L1136&gt;=75,"High",IF(L1136&gt;=55,"Medium","Low"))</x:f>
        <x:v>Low</x:v>
      </x:c>
    </x:row>
    <x:row r="1137">
      <x:c r="A1137" t="n">
        <x:v>1136</x:v>
      </x:c>
      <x:c r="B1137" t="n">
        <x:v>10333</x:v>
      </x:c>
      <x:c r="C1137" s="16" t="n">
        <x:v>46287</x:v>
      </x:c>
      <x:c r="D1137" t="str">
        <x:v>00:04:00</x:v>
      </x:c>
      <x:c r="E1137" t="str">
        <x:v>Bank Transfer</x:v>
      </x:c>
      <x:c r="F1137" t="str">
        <x:v>Subscriptions</x:v>
      </x:c>
      <x:c r="G1137" s="18" t="n">
        <x:v>62.2</x:v>
      </x:c>
      <x:c r="H1137" t="n">
        <x:v>1</x:v>
      </x:c>
      <x:c r="I1137" t="n">
        <x:v>0</x:v>
      </x:c>
      <x:c r="J1137" t="n">
        <x:v>0</x:v>
      </x:c>
      <x:c r="K1137" t="n">
        <x:v>1</x:v>
      </x:c>
      <x:c r="L1137" t="n">
        <x:v>51</x:v>
      </x:c>
      <x:c r="M1137" t="n">
        <x:v>0</x:v>
      </x:c>
      <x:c r="N1137" t="str">
        <x:v>Approved</x:v>
      </x:c>
      <x:c r="O1137" t="n">
        <x:v>0</x:v>
      </x:c>
      <x:c r="P1137" t="str">
        <x:f>IF(L1137&gt;=75,"High",IF(L1137&gt;=55,"Medium","Low"))</x:f>
        <x:v>Low</x:v>
      </x:c>
    </x:row>
    <x:row r="1138">
      <x:c r="A1138" t="n">
        <x:v>1137</x:v>
      </x:c>
      <x:c r="B1138" t="n">
        <x:v>10215</x:v>
      </x:c>
      <x:c r="C1138" s="16" t="n">
        <x:v>46277</x:v>
      </x:c>
      <x:c r="D1138" t="str">
        <x:v>06:03:00</x:v>
      </x:c>
      <x:c r="E1138" t="str">
        <x:v>P2P</x:v>
      </x:c>
      <x:c r="F1138" t="str">
        <x:v>Dining</x:v>
      </x:c>
      <x:c r="G1138" s="18" t="n">
        <x:v>29.2</x:v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n">
        <x:v>10</x:v>
      </x:c>
      <x:c r="M1138" t="n">
        <x:v>0</x:v>
      </x:c>
      <x:c r="N1138" t="str">
        <x:v>Approved</x:v>
      </x:c>
      <x:c r="O1138" t="n">
        <x:v>0</x:v>
      </x:c>
      <x:c r="P1138" t="str">
        <x:f>IF(L1138&gt;=75,"High",IF(L1138&gt;=55,"Medium","Low"))</x:f>
        <x:v>Low</x:v>
      </x:c>
    </x:row>
    <x:row r="1139">
      <x:c r="A1139" t="n">
        <x:v>1138</x:v>
      </x:c>
      <x:c r="B1139" t="n">
        <x:v>10056</x:v>
      </x:c>
      <x:c r="C1139" s="16" t="n">
        <x:v>46186</x:v>
      </x:c>
      <x:c r="D1139" t="str">
        <x:v>13:20:00</x:v>
      </x:c>
      <x:c r="E1139" t="str">
        <x:v>Card</x:v>
      </x:c>
      <x:c r="F1139" t="str">
        <x:v>Electronics</x:v>
      </x:c>
      <x:c r="G1139" s="18" t="n">
        <x:v>12.09</x:v>
      </x:c>
      <x:c r="H1139" t="n">
        <x:v>0</x:v>
      </x:c>
      <x:c r="I1139" t="n">
        <x:v>1</x:v>
      </x:c>
      <x:c r="J1139" t="n">
        <x:v>0</x:v>
      </x:c>
      <x:c r="K1139" t="n">
        <x:v>0</x:v>
      </x:c>
      <x:c r="L1139" t="n">
        <x:v>30</x:v>
      </x:c>
      <x:c r="M1139" t="n">
        <x:v>0</x:v>
      </x:c>
      <x:c r="N1139" t="str">
        <x:v>Approved</x:v>
      </x:c>
      <x:c r="O1139" t="n">
        <x:v>0</x:v>
      </x:c>
      <x:c r="P1139" t="str">
        <x:f>IF(L1139&gt;=75,"High",IF(L1139&gt;=55,"Medium","Low"))</x:f>
        <x:v>Low</x:v>
      </x:c>
    </x:row>
    <x:row r="1140">
      <x:c r="A1140" t="n">
        <x:v>1139</x:v>
      </x:c>
      <x:c r="B1140" t="n">
        <x:v>10358</x:v>
      </x:c>
      <x:c r="C1140" s="16" t="n">
        <x:v>46208</x:v>
      </x:c>
      <x:c r="D1140" t="str">
        <x:v>03:40:00</x:v>
      </x:c>
      <x:c r="E1140" t="str">
        <x:v>Card</x:v>
      </x:c>
      <x:c r="F1140" t="str">
        <x:v>Retail</x:v>
      </x:c>
      <x:c r="G1140" s="18" t="n">
        <x:v>61.16</x:v>
      </x:c>
      <x:c r="H1140" t="n">
        <x:v>0</x:v>
      </x:c>
      <x:c r="I1140" t="n">
        <x:v>0</x:v>
      </x:c>
      <x:c r="J1140" t="n">
        <x:v>0</x:v>
      </x:c>
      <x:c r="K1140" t="n">
        <x:v>1</x:v>
      </x:c>
      <x:c r="L1140" t="n">
        <x:v>25</x:v>
      </x:c>
      <x:c r="M1140" t="n">
        <x:v>0</x:v>
      </x:c>
      <x:c r="N1140" t="str">
        <x:v>Approved</x:v>
      </x:c>
      <x:c r="O1140" t="n">
        <x:v>0</x:v>
      </x:c>
      <x:c r="P1140" t="str">
        <x:f>IF(L1140&gt;=75,"High",IF(L1140&gt;=55,"Medium","Low"))</x:f>
        <x:v>Low</x:v>
      </x:c>
    </x:row>
    <x:row r="1141">
      <x:c r="A1141" t="n">
        <x:v>1140</x:v>
      </x:c>
      <x:c r="B1141" t="n">
        <x:v>10074</x:v>
      </x:c>
      <x:c r="C1141" s="16" t="n">
        <x:v>46135</x:v>
      </x:c>
      <x:c r="D1141" t="str">
        <x:v>01:24:00</x:v>
      </x:c>
      <x:c r="E1141" t="str">
        <x:v>P2P</x:v>
      </x:c>
      <x:c r="F1141" t="str">
        <x:v>Subscriptions</x:v>
      </x:c>
      <x:c r="G1141" s="18" t="n">
        <x:v>272.78</x:v>
      </x:c>
      <x:c r="H1141" t="n">
        <x:v>0</x:v>
      </x:c>
      <x:c r="I1141" t="n">
        <x:v>0</x:v>
      </x:c>
      <x:c r="J1141" t="n">
        <x:v>0</x:v>
      </x:c>
      <x:c r="K1141" t="n">
        <x:v>1</x:v>
      </x:c>
      <x:c r="L1141" t="n">
        <x:v>25</x:v>
      </x:c>
      <x:c r="M1141" t="n">
        <x:v>0</x:v>
      </x:c>
      <x:c r="N1141" t="str">
        <x:v>Approved</x:v>
      </x:c>
      <x:c r="O1141" t="n">
        <x:v>0</x:v>
      </x:c>
      <x:c r="P1141" t="str">
        <x:f>IF(L1141&gt;=75,"High",IF(L1141&gt;=55,"Medium","Low"))</x:f>
        <x:v>Low</x:v>
      </x:c>
    </x:row>
    <x:row r="1142">
      <x:c r="A1142" t="n">
        <x:v>1141</x:v>
      </x:c>
      <x:c r="B1142" t="n">
        <x:v>10166</x:v>
      </x:c>
      <x:c r="C1142" s="16" t="n">
        <x:v>46115</x:v>
      </x:c>
      <x:c r="D1142" t="str">
        <x:v>00:05:00</x:v>
      </x:c>
      <x:c r="E1142" t="str">
        <x:v>Card</x:v>
      </x:c>
      <x:c r="F1142" t="str">
        <x:v>Utilities</x:v>
      </x:c>
      <x:c r="G1142" s="18" t="n">
        <x:v>55.65</x:v>
      </x:c>
      <x:c r="H1142" t="n">
        <x:v>0</x:v>
      </x:c>
      <x:c r="I1142" t="n">
        <x:v>0</x:v>
      </x:c>
      <x:c r="J1142" t="n">
        <x:v>0</x:v>
      </x:c>
      <x:c r="K1142" t="n">
        <x:v>1</x:v>
      </x:c>
      <x:c r="L1142" t="n">
        <x:v>25</x:v>
      </x:c>
      <x:c r="M1142" t="n">
        <x:v>0</x:v>
      </x:c>
      <x:c r="N1142" t="str">
        <x:v>Declined</x:v>
      </x:c>
      <x:c r="O1142" t="n">
        <x:v>1</x:v>
      </x:c>
      <x:c r="P1142" t="str">
        <x:f>IF(L1142&gt;=75,"High",IF(L1142&gt;=55,"Medium","Low"))</x:f>
        <x:v>Low</x:v>
      </x:c>
    </x:row>
    <x:row r="1143">
      <x:c r="A1143" t="n">
        <x:v>1142</x:v>
      </x:c>
      <x:c r="B1143" t="n">
        <x:v>10120</x:v>
      </x:c>
      <x:c r="C1143" s="16" t="n">
        <x:v>46159</x:v>
      </x:c>
      <x:c r="D1143" t="str">
        <x:v>05:07:00</x:v>
      </x:c>
      <x:c r="E1143" t="str">
        <x:v>P2P</x:v>
      </x:c>
      <x:c r="F1143" t="str">
        <x:v>Retail</x:v>
      </x:c>
      <x:c r="G1143" s="18" t="n">
        <x:v>49.53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10</x:v>
      </x:c>
      <x:c r="M1143" t="n">
        <x:v>0</x:v>
      </x:c>
      <x:c r="N1143" t="str">
        <x:v>Approved</x:v>
      </x:c>
      <x:c r="O1143" t="n">
        <x:v>0</x:v>
      </x:c>
      <x:c r="P1143" t="str">
        <x:f>IF(L1143&gt;=75,"High",IF(L1143&gt;=55,"Medium","Low"))</x:f>
        <x:v>Low</x:v>
      </x:c>
    </x:row>
    <x:row r="1144">
      <x:c r="A1144" t="n">
        <x:v>1143</x:v>
      </x:c>
      <x:c r="B1144" t="n">
        <x:v>10138</x:v>
      </x:c>
      <x:c r="C1144" s="16" t="n">
        <x:v>46187</x:v>
      </x:c>
      <x:c r="D1144" t="str">
        <x:v>05:24:00</x:v>
      </x:c>
      <x:c r="E1144" t="str">
        <x:v>Card</x:v>
      </x:c>
      <x:c r="F1144" t="str">
        <x:v>Retail</x:v>
      </x:c>
      <x:c r="G1144" s="18" t="n">
        <x:v>176.03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10</x:v>
      </x:c>
      <x:c r="M1144" t="n">
        <x:v>0</x:v>
      </x:c>
      <x:c r="N1144" t="str">
        <x:v>Approved</x:v>
      </x:c>
      <x:c r="O1144" t="n">
        <x:v>0</x:v>
      </x:c>
      <x:c r="P1144" t="str">
        <x:f>IF(L1144&gt;=75,"High",IF(L1144&gt;=55,"Medium","Low"))</x:f>
        <x:v>Low</x:v>
      </x:c>
    </x:row>
    <x:row r="1145">
      <x:c r="A1145" t="n">
        <x:v>1144</x:v>
      </x:c>
      <x:c r="B1145" t="n">
        <x:v>10155</x:v>
      </x:c>
      <x:c r="C1145" s="16" t="n">
        <x:v>46169</x:v>
      </x:c>
      <x:c r="D1145" t="str">
        <x:v>12:19:00</x:v>
      </x:c>
      <x:c r="E1145" t="str">
        <x:v>Card</x:v>
      </x:c>
      <x:c r="F1145" t="str">
        <x:v>Travel</x:v>
      </x:c>
      <x:c r="G1145" s="18" t="n">
        <x:v>9.14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10</x:v>
      </x:c>
      <x:c r="M1145" t="n">
        <x:v>0</x:v>
      </x:c>
      <x:c r="N1145" t="str">
        <x:v>Approved</x:v>
      </x:c>
      <x:c r="O1145" t="n">
        <x:v>0</x:v>
      </x:c>
      <x:c r="P1145" t="str">
        <x:f>IF(L1145&gt;=75,"High",IF(L1145&gt;=55,"Medium","Low"))</x:f>
        <x:v>Low</x:v>
      </x:c>
    </x:row>
    <x:row r="1146">
      <x:c r="A1146" t="n">
        <x:v>1145</x:v>
      </x:c>
      <x:c r="B1146" t="n">
        <x:v>10240</x:v>
      </x:c>
      <x:c r="C1146" s="16" t="n">
        <x:v>46228</x:v>
      </x:c>
      <x:c r="D1146" t="str">
        <x:v>20:31:00</x:v>
      </x:c>
      <x:c r="E1146" t="str">
        <x:v>Card</x:v>
      </x:c>
      <x:c r="F1146" t="str">
        <x:v>Electronics</x:v>
      </x:c>
      <x:c r="G1146" s="18" t="n">
        <x:v>300.8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10</x:v>
      </x:c>
      <x:c r="M1146" t="n">
        <x:v>0</x:v>
      </x:c>
      <x:c r="N1146" t="str">
        <x:v>Approved</x:v>
      </x:c>
      <x:c r="O1146" t="n">
        <x:v>0</x:v>
      </x:c>
      <x:c r="P1146" t="str">
        <x:f>IF(L1146&gt;=75,"High",IF(L1146&gt;=55,"Medium","Low"))</x:f>
        <x:v>Low</x:v>
      </x:c>
    </x:row>
    <x:row r="1147">
      <x:c r="A1147" t="n">
        <x:v>1146</x:v>
      </x:c>
      <x:c r="B1147" t="n">
        <x:v>10104</x:v>
      </x:c>
      <x:c r="C1147" s="16" t="n">
        <x:v>46222</x:v>
      </x:c>
      <x:c r="D1147" t="str">
        <x:v>18:00:00</x:v>
      </x:c>
      <x:c r="E1147" t="str">
        <x:v>P2P</x:v>
      </x:c>
      <x:c r="F1147" t="str">
        <x:v>Travel</x:v>
      </x:c>
      <x:c r="G1147" s="18" t="n">
        <x:v>45.28</x:v>
      </x:c>
      <x:c r="H1147" t="n">
        <x:v>1</x:v>
      </x:c>
      <x:c r="I1147" t="n">
        <x:v>0</x:v>
      </x:c>
      <x:c r="J1147" t="n">
        <x:v>0</x:v>
      </x:c>
      <x:c r="K1147" t="n">
        <x:v>0</x:v>
      </x:c>
      <x:c r="L1147" t="n">
        <x:v>36</x:v>
      </x:c>
      <x:c r="M1147" t="n">
        <x:v>0</x:v>
      </x:c>
      <x:c r="N1147" t="str">
        <x:v>Approved</x:v>
      </x:c>
      <x:c r="O1147" t="n">
        <x:v>0</x:v>
      </x:c>
      <x:c r="P1147" t="str">
        <x:f>IF(L1147&gt;=75,"High",IF(L1147&gt;=55,"Medium","Low"))</x:f>
        <x:v>Low</x:v>
      </x:c>
    </x:row>
    <x:row r="1148">
      <x:c r="A1148" t="n">
        <x:v>1147</x:v>
      </x:c>
      <x:c r="B1148" t="n">
        <x:v>10052</x:v>
      </x:c>
      <x:c r="C1148" s="16" t="n">
        <x:v>46184</x:v>
      </x:c>
      <x:c r="D1148" t="str">
        <x:v>21:07:00</x:v>
      </x:c>
      <x:c r="E1148" t="str">
        <x:v>Card</x:v>
      </x:c>
      <x:c r="F1148" t="str">
        <x:v>Subscriptions</x:v>
      </x:c>
      <x:c r="G1148" s="18" t="n">
        <x:v>26.55</x:v>
      </x:c>
      <x:c r="H1148" t="n">
        <x:v>1</x:v>
      </x:c>
      <x:c r="I1148" t="n">
        <x:v>0</x:v>
      </x:c>
      <x:c r="J1148" t="n">
        <x:v>0</x:v>
      </x:c>
      <x:c r="K1148" t="n">
        <x:v>0</x:v>
      </x:c>
      <x:c r="L1148" t="n">
        <x:v>36</x:v>
      </x:c>
      <x:c r="M1148" t="n">
        <x:v>0</x:v>
      </x:c>
      <x:c r="N1148" t="str">
        <x:v>Approved</x:v>
      </x:c>
      <x:c r="O1148" t="n">
        <x:v>0</x:v>
      </x:c>
      <x:c r="P1148" t="str">
        <x:f>IF(L1148&gt;=75,"High",IF(L1148&gt;=55,"Medium","Low"))</x:f>
        <x:v>Low</x:v>
      </x:c>
    </x:row>
    <x:row r="1149">
      <x:c r="A1149" t="n">
        <x:v>1148</x:v>
      </x:c>
      <x:c r="B1149" t="n">
        <x:v>10220</x:v>
      </x:c>
      <x:c r="C1149" s="16" t="n">
        <x:v>46215</x:v>
      </x:c>
      <x:c r="D1149" t="str">
        <x:v>01:01:00</x:v>
      </x:c>
      <x:c r="E1149" t="str">
        <x:v>Card</x:v>
      </x:c>
      <x:c r="F1149" t="str">
        <x:v>Retail</x:v>
      </x:c>
      <x:c r="G1149" s="18" t="n">
        <x:v>378.99</x:v>
      </x:c>
      <x:c r="H1149" t="n">
        <x:v>0</x:v>
      </x:c>
      <x:c r="I1149" t="n">
        <x:v>0</x:v>
      </x:c>
      <x:c r="J1149" t="n">
        <x:v>0</x:v>
      </x:c>
      <x:c r="K1149" t="n">
        <x:v>1</x:v>
      </x:c>
      <x:c r="L1149" t="n">
        <x:v>25</x:v>
      </x:c>
      <x:c r="M1149" t="n">
        <x:v>0</x:v>
      </x:c>
      <x:c r="N1149" t="str">
        <x:v>Approved</x:v>
      </x:c>
      <x:c r="O1149" t="n">
        <x:v>0</x:v>
      </x:c>
      <x:c r="P1149" t="str">
        <x:f>IF(L1149&gt;=75,"High",IF(L1149&gt;=55,"Medium","Low"))</x:f>
        <x:v>Low</x:v>
      </x:c>
    </x:row>
    <x:row r="1150">
      <x:c r="A1150" t="n">
        <x:v>1149</x:v>
      </x:c>
      <x:c r="B1150" t="n">
        <x:v>10030</x:v>
      </x:c>
      <x:c r="C1150" s="16" t="n">
        <x:v>46143</x:v>
      </x:c>
      <x:c r="D1150" t="str">
        <x:v>09:17:00</x:v>
      </x:c>
      <x:c r="E1150" t="str">
        <x:v>Card</x:v>
      </x:c>
      <x:c r="F1150" t="str">
        <x:v>Utilities</x:v>
      </x:c>
      <x:c r="G1150" s="18" t="n">
        <x:v>571.74</x:v>
      </x:c>
      <x:c r="H1150" t="n">
        <x:v>0</x:v>
      </x:c>
      <x:c r="I1150" t="n">
        <x:v>1</x:v>
      </x:c>
      <x:c r="J1150" t="n">
        <x:v>0</x:v>
      </x:c>
      <x:c r="K1150" t="n">
        <x:v>0</x:v>
      </x:c>
      <x:c r="L1150" t="n">
        <x:v>30</x:v>
      </x:c>
      <x:c r="M1150" t="n">
        <x:v>0</x:v>
      </x:c>
      <x:c r="N1150" t="str">
        <x:v>Approved</x:v>
      </x:c>
      <x:c r="O1150" t="n">
        <x:v>0</x:v>
      </x:c>
      <x:c r="P1150" t="str">
        <x:f>IF(L1150&gt;=75,"High",IF(L1150&gt;=55,"Medium","Low"))</x:f>
        <x:v>Low</x:v>
      </x:c>
    </x:row>
    <x:row r="1151">
      <x:c r="A1151" t="n">
        <x:v>1150</x:v>
      </x:c>
      <x:c r="B1151" t="n">
        <x:v>10264</x:v>
      </x:c>
      <x:c r="C1151" s="16" t="n">
        <x:v>46186</x:v>
      </x:c>
      <x:c r="D1151" t="str">
        <x:v>13:08:00</x:v>
      </x:c>
      <x:c r="E1151" t="str">
        <x:v>Bank Transfer</x:v>
      </x:c>
      <x:c r="F1151" t="str">
        <x:v>Subscriptions</x:v>
      </x:c>
      <x:c r="G1151" s="18" t="n">
        <x:v>27.48</x:v>
      </x:c>
      <x:c r="H1151" t="n">
        <x:v>1</x:v>
      </x:c>
      <x:c r="I1151" t="n">
        <x:v>0</x:v>
      </x:c>
      <x:c r="J1151" t="n">
        <x:v>0</x:v>
      </x:c>
      <x:c r="K1151" t="n">
        <x:v>0</x:v>
      </x:c>
      <x:c r="L1151" t="n">
        <x:v>36</x:v>
      </x:c>
      <x:c r="M1151" t="n">
        <x:v>0</x:v>
      </x:c>
      <x:c r="N1151" t="str">
        <x:v>Approved</x:v>
      </x:c>
      <x:c r="O1151" t="n">
        <x:v>0</x:v>
      </x:c>
      <x:c r="P1151" t="str">
        <x:f>IF(L1151&gt;=75,"High",IF(L1151&gt;=55,"Medium","Low"))</x:f>
        <x:v>Low</x:v>
      </x:c>
    </x:row>
    <x:row r="1152">
      <x:c r="A1152" t="n">
        <x:v>1151</x:v>
      </x:c>
      <x:c r="B1152" t="n">
        <x:v>10051</x:v>
      </x:c>
      <x:c r="C1152" s="16" t="n">
        <x:v>46229</x:v>
      </x:c>
      <x:c r="D1152" t="str">
        <x:v>14:04:00</x:v>
      </x:c>
      <x:c r="E1152" t="str">
        <x:v>Card</x:v>
      </x:c>
      <x:c r="F1152" t="str">
        <x:v>Subscriptions</x:v>
      </x:c>
      <x:c r="G1152" s="18" t="n">
        <x:v>68.4</x:v>
      </x:c>
      <x:c r="H1152" t="n">
        <x:v>0</x:v>
      </x:c>
      <x:c r="I1152" t="n">
        <x:v>0</x:v>
      </x:c>
      <x:c r="J1152" t="n">
        <x:v>0</x:v>
      </x:c>
      <x:c r="K1152" t="n">
        <x:v>0</x:v>
      </x:c>
      <x:c r="L1152" t="n">
        <x:v>10</x:v>
      </x:c>
      <x:c r="M1152" t="n">
        <x:v>0</x:v>
      </x:c>
      <x:c r="N1152" t="str">
        <x:v>Approved</x:v>
      </x:c>
      <x:c r="O1152" t="n">
        <x:v>0</x:v>
      </x:c>
      <x:c r="P1152" t="str">
        <x:f>IF(L1152&gt;=75,"High",IF(L1152&gt;=55,"Medium","Low"))</x:f>
        <x:v>Low</x:v>
      </x:c>
    </x:row>
    <x:row r="1153">
      <x:c r="A1153" t="n">
        <x:v>1152</x:v>
      </x:c>
      <x:c r="B1153" t="n">
        <x:v>10074</x:v>
      </x:c>
      <x:c r="C1153" s="16" t="n">
        <x:v>46201</x:v>
      </x:c>
      <x:c r="D1153" t="str">
        <x:v>10:27:00</x:v>
      </x:c>
      <x:c r="E1153" t="str">
        <x:v>Card</x:v>
      </x:c>
      <x:c r="F1153" t="str">
        <x:v>Electronics</x:v>
      </x:c>
      <x:c r="G1153" s="18" t="n">
        <x:v>516.6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10</x:v>
      </x:c>
      <x:c r="M1153" t="n">
        <x:v>0</x:v>
      </x:c>
      <x:c r="N1153" t="str">
        <x:v>Approved</x:v>
      </x:c>
      <x:c r="O1153" t="n">
        <x:v>0</x:v>
      </x:c>
      <x:c r="P1153" t="str">
        <x:f>IF(L1153&gt;=75,"High",IF(L1153&gt;=55,"Medium","Low"))</x:f>
        <x:v>Low</x:v>
      </x:c>
    </x:row>
    <x:row r="1154">
      <x:c r="A1154" t="n">
        <x:v>1153</x:v>
      </x:c>
      <x:c r="B1154" t="n">
        <x:v>10113</x:v>
      </x:c>
      <x:c r="C1154" s="16" t="n">
        <x:v>46133</x:v>
      </x:c>
      <x:c r="D1154" t="str">
        <x:v>14:34:00</x:v>
      </x:c>
      <x:c r="E1154" t="str">
        <x:v>Card</x:v>
      </x:c>
      <x:c r="F1154" t="str">
        <x:v>Utilities</x:v>
      </x:c>
      <x:c r="G1154" s="18" t="n">
        <x:v>17.35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10</x:v>
      </x:c>
      <x:c r="M1154" t="n">
        <x:v>0</x:v>
      </x:c>
      <x:c r="N1154" t="str">
        <x:v>Approved</x:v>
      </x:c>
      <x:c r="O1154" t="n">
        <x:v>0</x:v>
      </x:c>
      <x:c r="P1154" t="str">
        <x:f>IF(L1154&gt;=75,"High",IF(L1154&gt;=55,"Medium","Low"))</x:f>
        <x:v>Low</x:v>
      </x:c>
    </x:row>
    <x:row r="1155">
      <x:c r="A1155" t="n">
        <x:v>1154</x:v>
      </x:c>
      <x:c r="B1155" t="n">
        <x:v>10283</x:v>
      </x:c>
      <x:c r="C1155" s="16" t="n">
        <x:v>46177</x:v>
      </x:c>
      <x:c r="D1155" t="str">
        <x:v>22:09:00</x:v>
      </x:c>
      <x:c r="E1155" t="str">
        <x:v>Bank Transfer</x:v>
      </x:c>
      <x:c r="F1155" t="str">
        <x:v>Travel</x:v>
      </x:c>
      <x:c r="G1155" s="18" t="n">
        <x:v>81.26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10</x:v>
      </x:c>
      <x:c r="M1155" t="n">
        <x:v>0</x:v>
      </x:c>
      <x:c r="N1155" t="str">
        <x:v>Approved</x:v>
      </x:c>
      <x:c r="O1155" t="n">
        <x:v>0</x:v>
      </x:c>
      <x:c r="P1155" t="str">
        <x:f>IF(L1155&gt;=75,"High",IF(L1155&gt;=55,"Medium","Low"))</x:f>
        <x:v>Low</x:v>
      </x:c>
    </x:row>
    <x:row r="1156">
      <x:c r="A1156" t="n">
        <x:v>1155</x:v>
      </x:c>
      <x:c r="B1156" t="n">
        <x:v>10248</x:v>
      </x:c>
      <x:c r="C1156" s="16" t="n">
        <x:v>46189</x:v>
      </x:c>
      <x:c r="D1156" t="str">
        <x:v>08:46:00</x:v>
      </x:c>
      <x:c r="E1156" t="str">
        <x:v>Card</x:v>
      </x:c>
      <x:c r="F1156" t="str">
        <x:v>Transfer</x:v>
      </x:c>
      <x:c r="G1156" s="18" t="n">
        <x:v>60.21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10</x:v>
      </x:c>
      <x:c r="M1156" t="n">
        <x:v>0</x:v>
      </x:c>
      <x:c r="N1156" t="str">
        <x:v>Approved</x:v>
      </x:c>
      <x:c r="O1156" t="n">
        <x:v>0</x:v>
      </x:c>
      <x:c r="P1156" t="str">
        <x:f>IF(L1156&gt;=75,"High",IF(L1156&gt;=55,"Medium","Low"))</x:f>
        <x:v>Low</x:v>
      </x:c>
    </x:row>
    <x:row r="1157">
      <x:c r="A1157" t="n">
        <x:v>1156</x:v>
      </x:c>
      <x:c r="B1157" t="n">
        <x:v>10136</x:v>
      </x:c>
      <x:c r="C1157" s="16" t="n">
        <x:v>46125</x:v>
      </x:c>
      <x:c r="D1157" t="str">
        <x:v>02:27:00</x:v>
      </x:c>
      <x:c r="E1157" t="str">
        <x:v>Card</x:v>
      </x:c>
      <x:c r="F1157" t="str">
        <x:v>Subscriptions</x:v>
      </x:c>
      <x:c r="G1157" s="18" t="n">
        <x:v>56.15</x:v>
      </x:c>
      <x:c r="H1157" t="n">
        <x:v>0</x:v>
      </x:c>
      <x:c r="I1157" t="n">
        <x:v>0</x:v>
      </x:c>
      <x:c r="J1157" t="n">
        <x:v>0</x:v>
      </x:c>
      <x:c r="K1157" t="n">
        <x:v>1</x:v>
      </x:c>
      <x:c r="L1157" t="n">
        <x:v>25</x:v>
      </x:c>
      <x:c r="M1157" t="n">
        <x:v>0</x:v>
      </x:c>
      <x:c r="N1157" t="str">
        <x:v>Approved</x:v>
      </x:c>
      <x:c r="O1157" t="n">
        <x:v>0</x:v>
      </x:c>
      <x:c r="P1157" t="str">
        <x:f>IF(L1157&gt;=75,"High",IF(L1157&gt;=55,"Medium","Low"))</x:f>
        <x:v>Low</x:v>
      </x:c>
    </x:row>
    <x:row r="1158">
      <x:c r="A1158" t="n">
        <x:v>1157</x:v>
      </x:c>
      <x:c r="B1158" t="n">
        <x:v>10269</x:v>
      </x:c>
      <x:c r="C1158" s="16" t="n">
        <x:v>46208</x:v>
      </x:c>
      <x:c r="D1158" t="str">
        <x:v>02:21:00</x:v>
      </x:c>
      <x:c r="E1158" t="str">
        <x:v>Card</x:v>
      </x:c>
      <x:c r="F1158" t="str">
        <x:v>Transfer</x:v>
      </x:c>
      <x:c r="G1158" s="18" t="n">
        <x:v>88.85</x:v>
      </x:c>
      <x:c r="H1158" t="n">
        <x:v>0</x:v>
      </x:c>
      <x:c r="I1158" t="n">
        <x:v>1</x:v>
      </x:c>
      <x:c r="J1158" t="n">
        <x:v>0</x:v>
      </x:c>
      <x:c r="K1158" t="n">
        <x:v>1</x:v>
      </x:c>
      <x:c r="L1158" t="n">
        <x:v>45</x:v>
      </x:c>
      <x:c r="M1158" t="n">
        <x:v>0</x:v>
      </x:c>
      <x:c r="N1158" t="str">
        <x:v>Approved</x:v>
      </x:c>
      <x:c r="O1158" t="n">
        <x:v>0</x:v>
      </x:c>
      <x:c r="P1158" t="str">
        <x:f>IF(L1158&gt;=75,"High",IF(L1158&gt;=55,"Medium","Low"))</x:f>
        <x:v>Low</x:v>
      </x:c>
    </x:row>
    <x:row r="1159">
      <x:c r="A1159" t="n">
        <x:v>1158</x:v>
      </x:c>
      <x:c r="B1159" t="n">
        <x:v>10016</x:v>
      </x:c>
      <x:c r="C1159" s="16" t="n">
        <x:v>46163</x:v>
      </x:c>
      <x:c r="D1159" t="str">
        <x:v>03:33:00</x:v>
      </x:c>
      <x:c r="E1159" t="str">
        <x:v>P2P</x:v>
      </x:c>
      <x:c r="F1159" t="str">
        <x:v>Dining</x:v>
      </x:c>
      <x:c r="G1159" s="18" t="n">
        <x:v>101.21</x:v>
      </x:c>
      <x:c r="H1159" t="n">
        <x:v>0</x:v>
      </x:c>
      <x:c r="I1159" t="n">
        <x:v>0</x:v>
      </x:c>
      <x:c r="J1159" t="n">
        <x:v>0</x:v>
      </x:c>
      <x:c r="K1159" t="n">
        <x:v>1</x:v>
      </x:c>
      <x:c r="L1159" t="n">
        <x:v>25</x:v>
      </x:c>
      <x:c r="M1159" t="n">
        <x:v>0</x:v>
      </x:c>
      <x:c r="N1159" t="str">
        <x:v>Declined</x:v>
      </x:c>
      <x:c r="O1159" t="n">
        <x:v>0</x:v>
      </x:c>
      <x:c r="P1159" t="str">
        <x:f>IF(L1159&gt;=75,"High",IF(L1159&gt;=55,"Medium","Low"))</x:f>
        <x:v>Low</x:v>
      </x:c>
    </x:row>
    <x:row r="1160">
      <x:c r="A1160" t="n">
        <x:v>1159</x:v>
      </x:c>
      <x:c r="B1160" t="n">
        <x:v>10214</x:v>
      </x:c>
      <x:c r="C1160" s="16" t="n">
        <x:v>46113</x:v>
      </x:c>
      <x:c r="D1160" t="str">
        <x:v>05:51:00</x:v>
      </x:c>
      <x:c r="E1160" t="str">
        <x:v>Card</x:v>
      </x:c>
      <x:c r="F1160" t="str">
        <x:v>Dining</x:v>
      </x:c>
      <x:c r="G1160" s="18" t="n">
        <x:v>93.2</x:v>
      </x:c>
      <x:c r="H1160" t="n">
        <x:v>0</x:v>
      </x:c>
      <x:c r="I1160" t="n">
        <x:v>1</x:v>
      </x:c>
      <x:c r="J1160" t="n">
        <x:v>0</x:v>
      </x:c>
      <x:c r="K1160" t="n">
        <x:v>0</x:v>
      </x:c>
      <x:c r="L1160" t="n">
        <x:v>30</x:v>
      </x:c>
      <x:c r="M1160" t="n">
        <x:v>0</x:v>
      </x:c>
      <x:c r="N1160" t="str">
        <x:v>Approved</x:v>
      </x:c>
      <x:c r="O1160" t="n">
        <x:v>0</x:v>
      </x:c>
      <x:c r="P1160" t="str">
        <x:f>IF(L1160&gt;=75,"High",IF(L1160&gt;=55,"Medium","Low"))</x:f>
        <x:v>Low</x:v>
      </x:c>
    </x:row>
    <x:row r="1161">
      <x:c r="A1161" t="n">
        <x:v>1160</x:v>
      </x:c>
      <x:c r="B1161" t="n">
        <x:v>10211</x:v>
      </x:c>
      <x:c r="C1161" s="16" t="n">
        <x:v>46137</x:v>
      </x:c>
      <x:c r="D1161" t="str">
        <x:v>20:05:00</x:v>
      </x:c>
      <x:c r="E1161" t="str">
        <x:v>Card</x:v>
      </x:c>
      <x:c r="F1161" t="str">
        <x:v>Dining</x:v>
      </x:c>
      <x:c r="G1161" s="18" t="n">
        <x:v>209.49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10</x:v>
      </x:c>
      <x:c r="M1161" t="n">
        <x:v>0</x:v>
      </x:c>
      <x:c r="N1161" t="str">
        <x:v>Approved</x:v>
      </x:c>
      <x:c r="O1161" t="n">
        <x:v>0</x:v>
      </x:c>
      <x:c r="P1161" t="str">
        <x:f>IF(L1161&gt;=75,"High",IF(L1161&gt;=55,"Medium","Low"))</x:f>
        <x:v>Low</x:v>
      </x:c>
    </x:row>
    <x:row r="1162">
      <x:c r="A1162" t="n">
        <x:v>1161</x:v>
      </x:c>
      <x:c r="B1162" t="n">
        <x:v>10187</x:v>
      </x:c>
      <x:c r="C1162" s="16" t="n">
        <x:v>46200</x:v>
      </x:c>
      <x:c r="D1162" t="str">
        <x:v>11:59:00</x:v>
      </x:c>
      <x:c r="E1162" t="str">
        <x:v>P2P</x:v>
      </x:c>
      <x:c r="F1162" t="str">
        <x:v>Dining</x:v>
      </x:c>
      <x:c r="G1162" s="18" t="n">
        <x:v>90.34</x:v>
      </x:c>
      <x:c r="H1162" t="n">
        <x:v>0</x:v>
      </x:c>
      <x:c r="I1162" t="n">
        <x:v>1</x:v>
      </x:c>
      <x:c r="J1162" t="n">
        <x:v>0</x:v>
      </x:c>
      <x:c r="K1162" t="n">
        <x:v>0</x:v>
      </x:c>
      <x:c r="L1162" t="n">
        <x:v>30</x:v>
      </x:c>
      <x:c r="M1162" t="n">
        <x:v>0</x:v>
      </x:c>
      <x:c r="N1162" t="str">
        <x:v>Declined</x:v>
      </x:c>
      <x:c r="O1162" t="n">
        <x:v>0</x:v>
      </x:c>
      <x:c r="P1162" t="str">
        <x:f>IF(L1162&gt;=75,"High",IF(L1162&gt;=55,"Medium","Low"))</x:f>
        <x:v>Low</x:v>
      </x:c>
    </x:row>
    <x:row r="1163">
      <x:c r="A1163" t="n">
        <x:v>1162</x:v>
      </x:c>
      <x:c r="B1163" t="n">
        <x:v>10014</x:v>
      </x:c>
      <x:c r="C1163" s="16" t="n">
        <x:v>46180</x:v>
      </x:c>
      <x:c r="D1163" t="str">
        <x:v>17:07:00</x:v>
      </x:c>
      <x:c r="E1163" t="str">
        <x:v>Card</x:v>
      </x:c>
      <x:c r="F1163" t="str">
        <x:v>Travel</x:v>
      </x:c>
      <x:c r="G1163" s="18" t="n">
        <x:v>51.1</x:v>
      </x:c>
      <x:c r="H1163" t="n">
        <x:v>1</x:v>
      </x:c>
      <x:c r="I1163" t="n">
        <x:v>0</x:v>
      </x:c>
      <x:c r="J1163" t="n">
        <x:v>0</x:v>
      </x:c>
      <x:c r="K1163" t="n">
        <x:v>0</x:v>
      </x:c>
      <x:c r="L1163" t="n">
        <x:v>36</x:v>
      </x:c>
      <x:c r="M1163" t="n">
        <x:v>0</x:v>
      </x:c>
      <x:c r="N1163" t="str">
        <x:v>Approved</x:v>
      </x:c>
      <x:c r="O1163" t="n">
        <x:v>0</x:v>
      </x:c>
      <x:c r="P1163" t="str">
        <x:f>IF(L1163&gt;=75,"High",IF(L1163&gt;=55,"Medium","Low"))</x:f>
        <x:v>Low</x:v>
      </x:c>
    </x:row>
    <x:row r="1164">
      <x:c r="A1164" t="n">
        <x:v>1163</x:v>
      </x:c>
      <x:c r="B1164" t="n">
        <x:v>10042</x:v>
      </x:c>
      <x:c r="C1164" s="16" t="n">
        <x:v>46118</x:v>
      </x:c>
      <x:c r="D1164" t="str">
        <x:v>06:14:00</x:v>
      </x:c>
      <x:c r="E1164" t="str">
        <x:v>Bank Transfer</x:v>
      </x:c>
      <x:c r="F1164" t="str">
        <x:v>Electronics</x:v>
      </x:c>
      <x:c r="G1164" s="18" t="n">
        <x:v>148.32</x:v>
      </x:c>
      <x:c r="H1164" t="n">
        <x:v>1</x:v>
      </x:c>
      <x:c r="I1164" t="n">
        <x:v>0</x:v>
      </x:c>
      <x:c r="J1164" t="n">
        <x:v>0</x:v>
      </x:c>
      <x:c r="K1164" t="n">
        <x:v>0</x:v>
      </x:c>
      <x:c r="L1164" t="n">
        <x:v>36</x:v>
      </x:c>
      <x:c r="M1164" t="n">
        <x:v>0</x:v>
      </x:c>
      <x:c r="N1164" t="str">
        <x:v>Approved</x:v>
      </x:c>
      <x:c r="O1164" t="n">
        <x:v>0</x:v>
      </x:c>
      <x:c r="P1164" t="str">
        <x:f>IF(L1164&gt;=75,"High",IF(L1164&gt;=55,"Medium","Low"))</x:f>
        <x:v>Low</x:v>
      </x:c>
    </x:row>
    <x:row r="1165">
      <x:c r="A1165" t="n">
        <x:v>1164</x:v>
      </x:c>
      <x:c r="B1165" t="n">
        <x:v>10321</x:v>
      </x:c>
      <x:c r="C1165" s="16" t="n">
        <x:v>46147</x:v>
      </x:c>
      <x:c r="D1165" t="str">
        <x:v>18:01:00</x:v>
      </x:c>
      <x:c r="E1165" t="str">
        <x:v>P2P</x:v>
      </x:c>
      <x:c r="F1165" t="str">
        <x:v>Transfer</x:v>
      </x:c>
      <x:c r="G1165" s="18" t="n">
        <x:v>331.51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10</x:v>
      </x:c>
      <x:c r="M1165" t="n">
        <x:v>0</x:v>
      </x:c>
      <x:c r="N1165" t="str">
        <x:v>Approved</x:v>
      </x:c>
      <x:c r="O1165" t="n">
        <x:v>0</x:v>
      </x:c>
      <x:c r="P1165" t="str">
        <x:f>IF(L1165&gt;=75,"High",IF(L1165&gt;=55,"Medium","Low"))</x:f>
        <x:v>Low</x:v>
      </x:c>
    </x:row>
    <x:row r="1166">
      <x:c r="A1166" t="n">
        <x:v>1165</x:v>
      </x:c>
      <x:c r="B1166" t="n">
        <x:v>10262</x:v>
      </x:c>
      <x:c r="C1166" s="16" t="n">
        <x:v>46240</x:v>
      </x:c>
      <x:c r="D1166" t="str">
        <x:v>20:18:00</x:v>
      </x:c>
      <x:c r="E1166" t="str">
        <x:v>Bank Transfer</x:v>
      </x:c>
      <x:c r="F1166" t="str">
        <x:v>Dining</x:v>
      </x:c>
      <x:c r="G1166" s="18" t="n">
        <x:v>93.53</x:v>
      </x:c>
      <x:c r="H1166" t="n">
        <x:v>0</x:v>
      </x:c>
      <x:c r="I1166" t="n">
        <x:v>0</x:v>
      </x:c>
      <x:c r="J1166" t="n">
        <x:v>0</x:v>
      </x:c>
      <x:c r="K1166" t="n">
        <x:v>0</x:v>
      </x:c>
      <x:c r="L1166" t="n">
        <x:v>10</x:v>
      </x:c>
      <x:c r="M1166" t="n">
        <x:v>0</x:v>
      </x:c>
      <x:c r="N1166" t="str">
        <x:v>Approved</x:v>
      </x:c>
      <x:c r="O1166" t="n">
        <x:v>0</x:v>
      </x:c>
      <x:c r="P1166" t="str">
        <x:f>IF(L1166&gt;=75,"High",IF(L1166&gt;=55,"Medium","Low"))</x:f>
        <x:v>Low</x:v>
      </x:c>
    </x:row>
    <x:row r="1167">
      <x:c r="A1167" t="n">
        <x:v>1166</x:v>
      </x:c>
      <x:c r="B1167" t="n">
        <x:v>10060</x:v>
      </x:c>
      <x:c r="C1167" s="16" t="n">
        <x:v>46264</x:v>
      </x:c>
      <x:c r="D1167" t="str">
        <x:v>14:26:00</x:v>
      </x:c>
      <x:c r="E1167" t="str">
        <x:v>Bank Transfer</x:v>
      </x:c>
      <x:c r="F1167" t="str">
        <x:v>Electronics</x:v>
      </x:c>
      <x:c r="G1167" s="18" t="n">
        <x:v>146.35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10</x:v>
      </x:c>
      <x:c r="M1167" t="n">
        <x:v>0</x:v>
      </x:c>
      <x:c r="N1167" t="str">
        <x:v>Approved</x:v>
      </x:c>
      <x:c r="O1167" t="n">
        <x:v>0</x:v>
      </x:c>
      <x:c r="P1167" t="str">
        <x:f>IF(L1167&gt;=75,"High",IF(L1167&gt;=55,"Medium","Low"))</x:f>
        <x:v>Low</x:v>
      </x:c>
    </x:row>
    <x:row r="1168">
      <x:c r="A1168" t="n">
        <x:v>1167</x:v>
      </x:c>
      <x:c r="B1168" t="n">
        <x:v>10046</x:v>
      </x:c>
      <x:c r="C1168" s="16" t="n">
        <x:v>46292</x:v>
      </x:c>
      <x:c r="D1168" t="str">
        <x:v>14:10:00</x:v>
      </x:c>
      <x:c r="E1168" t="str">
        <x:v>Bank Transfer</x:v>
      </x:c>
      <x:c r="F1168" t="str">
        <x:v>Travel</x:v>
      </x:c>
      <x:c r="G1168" s="18" t="n">
        <x:v>173.29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10</x:v>
      </x:c>
      <x:c r="M1168" t="n">
        <x:v>0</x:v>
      </x:c>
      <x:c r="N1168" t="str">
        <x:v>Approved</x:v>
      </x:c>
      <x:c r="O1168" t="n">
        <x:v>0</x:v>
      </x:c>
      <x:c r="P1168" t="str">
        <x:f>IF(L1168&gt;=75,"High",IF(L1168&gt;=55,"Medium","Low"))</x:f>
        <x:v>Low</x:v>
      </x:c>
    </x:row>
    <x:row r="1169">
      <x:c r="A1169" t="n">
        <x:v>1168</x:v>
      </x:c>
      <x:c r="B1169" t="n">
        <x:v>10350</x:v>
      </x:c>
      <x:c r="C1169" s="16" t="n">
        <x:v>46159</x:v>
      </x:c>
      <x:c r="D1169" t="str">
        <x:v>10:10:00</x:v>
      </x:c>
      <x:c r="E1169" t="str">
        <x:v>Card</x:v>
      </x:c>
      <x:c r="F1169" t="str">
        <x:v>Subscriptions</x:v>
      </x:c>
      <x:c r="G1169" s="18" t="n">
        <x:v>14.37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10</x:v>
      </x:c>
      <x:c r="M1169" t="n">
        <x:v>0</x:v>
      </x:c>
      <x:c r="N1169" t="str">
        <x:v>Approved</x:v>
      </x:c>
      <x:c r="O1169" t="n">
        <x:v>0</x:v>
      </x:c>
      <x:c r="P1169" t="str">
        <x:f>IF(L1169&gt;=75,"High",IF(L1169&gt;=55,"Medium","Low"))</x:f>
        <x:v>Low</x:v>
      </x:c>
    </x:row>
    <x:row r="1170">
      <x:c r="A1170" t="n">
        <x:v>1169</x:v>
      </x:c>
      <x:c r="B1170" t="n">
        <x:v>10231</x:v>
      </x:c>
      <x:c r="C1170" s="16" t="n">
        <x:v>46149</x:v>
      </x:c>
      <x:c r="D1170" t="str">
        <x:v>20:11:00</x:v>
      </x:c>
      <x:c r="E1170" t="str">
        <x:v>Card</x:v>
      </x:c>
      <x:c r="F1170" t="str">
        <x:v>Utilities</x:v>
      </x:c>
      <x:c r="G1170" s="18" t="n">
        <x:v>293.55</x:v>
      </x:c>
      <x:c r="H1170" t="n">
        <x:v>0</x:v>
      </x:c>
      <x:c r="I1170" t="n">
        <x:v>1</x:v>
      </x:c>
      <x:c r="J1170" t="n">
        <x:v>0</x:v>
      </x:c>
      <x:c r="K1170" t="n">
        <x:v>0</x:v>
      </x:c>
      <x:c r="L1170" t="n">
        <x:v>30</x:v>
      </x:c>
      <x:c r="M1170" t="n">
        <x:v>0</x:v>
      </x:c>
      <x:c r="N1170" t="str">
        <x:v>Approved</x:v>
      </x:c>
      <x:c r="O1170" t="n">
        <x:v>0</x:v>
      </x:c>
      <x:c r="P1170" t="str">
        <x:f>IF(L1170&gt;=75,"High",IF(L1170&gt;=55,"Medium","Low"))</x:f>
        <x:v>Low</x:v>
      </x:c>
    </x:row>
    <x:row r="1171">
      <x:c r="A1171" t="n">
        <x:v>1170</x:v>
      </x:c>
      <x:c r="B1171" t="n">
        <x:v>10035</x:v>
      </x:c>
      <x:c r="C1171" s="16" t="n">
        <x:v>46221</x:v>
      </x:c>
      <x:c r="D1171" t="str">
        <x:v>12:06:00</x:v>
      </x:c>
      <x:c r="E1171" t="str">
        <x:v>Card</x:v>
      </x:c>
      <x:c r="F1171" t="str">
        <x:v>Utilities</x:v>
      </x:c>
      <x:c r="G1171" s="18" t="n">
        <x:v>122.23</x:v>
      </x:c>
      <x:c r="H1171" t="n">
        <x:v>0</x:v>
      </x:c>
      <x:c r="I1171" t="n">
        <x:v>0</x:v>
      </x:c>
      <x:c r="J1171" t="n">
        <x:v>0</x:v>
      </x:c>
      <x:c r="K1171" t="n">
        <x:v>0</x:v>
      </x:c>
      <x:c r="L1171" t="n">
        <x:v>10</x:v>
      </x:c>
      <x:c r="M1171" t="n">
        <x:v>0</x:v>
      </x:c>
      <x:c r="N1171" t="str">
        <x:v>Declined</x:v>
      </x:c>
      <x:c r="O1171" t="n">
        <x:v>0</x:v>
      </x:c>
      <x:c r="P1171" t="str">
        <x:f>IF(L1171&gt;=75,"High",IF(L1171&gt;=55,"Medium","Low"))</x:f>
        <x:v>Low</x:v>
      </x:c>
    </x:row>
    <x:row r="1172">
      <x:c r="A1172" t="n">
        <x:v>1171</x:v>
      </x:c>
      <x:c r="B1172" t="n">
        <x:v>10112</x:v>
      </x:c>
      <x:c r="C1172" s="16" t="n">
        <x:v>46208</x:v>
      </x:c>
      <x:c r="D1172" t="str">
        <x:v>19:02:00</x:v>
      </x:c>
      <x:c r="E1172" t="str">
        <x:v>Card</x:v>
      </x:c>
      <x:c r="F1172" t="str">
        <x:v>Subscriptions</x:v>
      </x:c>
      <x:c r="G1172" s="18" t="n">
        <x:v>49.57</x:v>
      </x:c>
      <x:c r="H1172" t="n">
        <x:v>1</x:v>
      </x:c>
      <x:c r="I1172" t="n">
        <x:v>0</x:v>
      </x:c>
      <x:c r="J1172" t="n">
        <x:v>0</x:v>
      </x:c>
      <x:c r="K1172" t="n">
        <x:v>0</x:v>
      </x:c>
      <x:c r="L1172" t="n">
        <x:v>36</x:v>
      </x:c>
      <x:c r="M1172" t="n">
        <x:v>0</x:v>
      </x:c>
      <x:c r="N1172" t="str">
        <x:v>Approved</x:v>
      </x:c>
      <x:c r="O1172" t="n">
        <x:v>0</x:v>
      </x:c>
      <x:c r="P1172" t="str">
        <x:f>IF(L1172&gt;=75,"High",IF(L1172&gt;=55,"Medium","Low"))</x:f>
        <x:v>Low</x:v>
      </x:c>
    </x:row>
    <x:row r="1173">
      <x:c r="A1173" t="n">
        <x:v>1172</x:v>
      </x:c>
      <x:c r="B1173" t="n">
        <x:v>10179</x:v>
      </x:c>
      <x:c r="C1173" s="16" t="n">
        <x:v>46249</x:v>
      </x:c>
      <x:c r="D1173" t="str">
        <x:v>07:48:00</x:v>
      </x:c>
      <x:c r="E1173" t="str">
        <x:v>Bank Transfer</x:v>
      </x:c>
      <x:c r="F1173" t="str">
        <x:v>Transfer</x:v>
      </x:c>
      <x:c r="G1173" s="18" t="n">
        <x:v>49.42</x:v>
      </x:c>
      <x:c r="H1173" t="n">
        <x:v>1</x:v>
      </x:c>
      <x:c r="I1173" t="n">
        <x:v>0</x:v>
      </x:c>
      <x:c r="J1173" t="n">
        <x:v>0</x:v>
      </x:c>
      <x:c r="K1173" t="n">
        <x:v>0</x:v>
      </x:c>
      <x:c r="L1173" t="n">
        <x:v>36</x:v>
      </x:c>
      <x:c r="M1173" t="n">
        <x:v>0</x:v>
      </x:c>
      <x:c r="N1173" t="str">
        <x:v>Approved</x:v>
      </x:c>
      <x:c r="O1173" t="n">
        <x:v>0</x:v>
      </x:c>
      <x:c r="P1173" t="str">
        <x:f>IF(L1173&gt;=75,"High",IF(L1173&gt;=55,"Medium","Low"))</x:f>
        <x:v>Low</x:v>
      </x:c>
    </x:row>
    <x:row r="1174">
      <x:c r="A1174" t="n">
        <x:v>1173</x:v>
      </x:c>
      <x:c r="B1174" t="n">
        <x:v>10212</x:v>
      </x:c>
      <x:c r="C1174" s="16" t="n">
        <x:v>46225</x:v>
      </x:c>
      <x:c r="D1174" t="str">
        <x:v>03:52:00</x:v>
      </x:c>
      <x:c r="E1174" t="str">
        <x:v>Card</x:v>
      </x:c>
      <x:c r="F1174" t="str">
        <x:v>Utilities</x:v>
      </x:c>
      <x:c r="G1174" s="18" t="n">
        <x:v>883.96</x:v>
      </x:c>
      <x:c r="H1174" t="n">
        <x:v>0</x:v>
      </x:c>
      <x:c r="I1174" t="n">
        <x:v>0</x:v>
      </x:c>
      <x:c r="J1174" t="n">
        <x:v>1</x:v>
      </x:c>
      <x:c r="K1174" t="n">
        <x:v>1</x:v>
      </x:c>
      <x:c r="L1174" t="n">
        <x:v>59</x:v>
      </x:c>
      <x:c r="M1174" t="n">
        <x:v>1</x:v>
      </x:c>
      <x:c r="N1174" t="str">
        <x:v>Approved</x:v>
      </x:c>
      <x:c r="O1174" t="n">
        <x:v>0</x:v>
      </x:c>
      <x:c r="P1174" t="str">
        <x:f>IF(L1174&gt;=75,"High",IF(L1174&gt;=55,"Medium","Low"))</x:f>
        <x:v>Medium</x:v>
      </x:c>
    </x:row>
    <x:row r="1175">
      <x:c r="A1175" t="n">
        <x:v>1174</x:v>
      </x:c>
      <x:c r="B1175" t="n">
        <x:v>10139</x:v>
      </x:c>
      <x:c r="C1175" s="16" t="n">
        <x:v>46133</x:v>
      </x:c>
      <x:c r="D1175" t="str">
        <x:v>15:17:00</x:v>
      </x:c>
      <x:c r="E1175" t="str">
        <x:v>P2P</x:v>
      </x:c>
      <x:c r="F1175" t="str">
        <x:v>Transfer</x:v>
      </x:c>
      <x:c r="G1175" s="18" t="n">
        <x:v>79.66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10</x:v>
      </x:c>
      <x:c r="M1175" t="n">
        <x:v>0</x:v>
      </x:c>
      <x:c r="N1175" t="str">
        <x:v>Approved</x:v>
      </x:c>
      <x:c r="O1175" t="n">
        <x:v>0</x:v>
      </x:c>
      <x:c r="P1175" t="str">
        <x:f>IF(L1175&gt;=75,"High",IF(L1175&gt;=55,"Medium","Low"))</x:f>
        <x:v>Low</x:v>
      </x:c>
    </x:row>
    <x:row r="1176">
      <x:c r="A1176" t="n">
        <x:v>1175</x:v>
      </x:c>
      <x:c r="B1176" t="n">
        <x:v>10104</x:v>
      </x:c>
      <x:c r="C1176" s="16" t="n">
        <x:v>46200</x:v>
      </x:c>
      <x:c r="D1176" t="str">
        <x:v>12:52:00</x:v>
      </x:c>
      <x:c r="E1176" t="str">
        <x:v>Card</x:v>
      </x:c>
      <x:c r="F1176" t="str">
        <x:v>Dining</x:v>
      </x:c>
      <x:c r="G1176" s="18" t="n">
        <x:v>62.42</x:v>
      </x:c>
      <x:c r="H1176" t="n">
        <x:v>0</x:v>
      </x:c>
      <x:c r="I1176" t="n">
        <x:v>1</x:v>
      </x:c>
      <x:c r="J1176" t="n">
        <x:v>0</x:v>
      </x:c>
      <x:c r="K1176" t="n">
        <x:v>0</x:v>
      </x:c>
      <x:c r="L1176" t="n">
        <x:v>30</x:v>
      </x:c>
      <x:c r="M1176" t="n">
        <x:v>0</x:v>
      </x:c>
      <x:c r="N1176" t="str">
        <x:v>Declined</x:v>
      </x:c>
      <x:c r="O1176" t="n">
        <x:v>0</x:v>
      </x:c>
      <x:c r="P1176" t="str">
        <x:f>IF(L1176&gt;=75,"High",IF(L1176&gt;=55,"Medium","Low"))</x:f>
        <x:v>Low</x:v>
      </x:c>
    </x:row>
    <x:row r="1177">
      <x:c r="A1177" t="n">
        <x:v>1176</x:v>
      </x:c>
      <x:c r="B1177" t="n">
        <x:v>10044</x:v>
      </x:c>
      <x:c r="C1177" s="16" t="n">
        <x:v>46212</x:v>
      </x:c>
      <x:c r="D1177" t="str">
        <x:v>18:20:00</x:v>
      </x:c>
      <x:c r="E1177" t="str">
        <x:v>Bank Transfer</x:v>
      </x:c>
      <x:c r="F1177" t="str">
        <x:v>Utilities</x:v>
      </x:c>
      <x:c r="G1177" s="18" t="n">
        <x:v>60.34</x:v>
      </x:c>
      <x:c r="H1177" t="n">
        <x:v>1</x:v>
      </x:c>
      <x:c r="I1177" t="n">
        <x:v>1</x:v>
      </x:c>
      <x:c r="J1177" t="n">
        <x:v>0</x:v>
      </x:c>
      <x:c r="K1177" t="n">
        <x:v>0</x:v>
      </x:c>
      <x:c r="L1177" t="n">
        <x:v>56</x:v>
      </x:c>
      <x:c r="M1177" t="n">
        <x:v>1</x:v>
      </x:c>
      <x:c r="N1177" t="str">
        <x:v>Declined</x:v>
      </x:c>
      <x:c r="O1177" t="n">
        <x:v>1</x:v>
      </x:c>
      <x:c r="P1177" t="str">
        <x:f>IF(L1177&gt;=75,"High",IF(L1177&gt;=55,"Medium","Low"))</x:f>
        <x:v>Medium</x:v>
      </x:c>
    </x:row>
    <x:row r="1178">
      <x:c r="A1178" t="n">
        <x:v>1177</x:v>
      </x:c>
      <x:c r="B1178" t="n">
        <x:v>10342</x:v>
      </x:c>
      <x:c r="C1178" s="16" t="n">
        <x:v>46193</x:v>
      </x:c>
      <x:c r="D1178" t="str">
        <x:v>17:14:00</x:v>
      </x:c>
      <x:c r="E1178" t="str">
        <x:v>Card</x:v>
      </x:c>
      <x:c r="F1178" t="str">
        <x:v>Electronics</x:v>
      </x:c>
      <x:c r="G1178" s="18" t="n">
        <x:v>187.83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10</x:v>
      </x:c>
      <x:c r="M1178" t="n">
        <x:v>0</x:v>
      </x:c>
      <x:c r="N1178" t="str">
        <x:v>Approved</x:v>
      </x:c>
      <x:c r="O1178" t="n">
        <x:v>0</x:v>
      </x:c>
      <x:c r="P1178" t="str">
        <x:f>IF(L1178&gt;=75,"High",IF(L1178&gt;=55,"Medium","Low"))</x:f>
        <x:v>Low</x:v>
      </x:c>
    </x:row>
    <x:row r="1179">
      <x:c r="A1179" t="n">
        <x:v>1178</x:v>
      </x:c>
      <x:c r="B1179" t="n">
        <x:v>10182</x:v>
      </x:c>
      <x:c r="C1179" s="16" t="n">
        <x:v>46136</x:v>
      </x:c>
      <x:c r="D1179" t="str">
        <x:v>03:59:00</x:v>
      </x:c>
      <x:c r="E1179" t="str">
        <x:v>Card</x:v>
      </x:c>
      <x:c r="F1179" t="str">
        <x:v>Utilities</x:v>
      </x:c>
      <x:c r="G1179" s="18" t="n">
        <x:v>16.91</x:v>
      </x:c>
      <x:c r="H1179" t="n">
        <x:v>1</x:v>
      </x:c>
      <x:c r="I1179" t="n">
        <x:v>0</x:v>
      </x:c>
      <x:c r="J1179" t="n">
        <x:v>0</x:v>
      </x:c>
      <x:c r="K1179" t="n">
        <x:v>1</x:v>
      </x:c>
      <x:c r="L1179" t="n">
        <x:v>51</x:v>
      </x:c>
      <x:c r="M1179" t="n">
        <x:v>0</x:v>
      </x:c>
      <x:c r="N1179" t="str">
        <x:v>Approved</x:v>
      </x:c>
      <x:c r="O1179" t="n">
        <x:v>0</x:v>
      </x:c>
      <x:c r="P1179" t="str">
        <x:f>IF(L1179&gt;=75,"High",IF(L1179&gt;=55,"Medium","Low"))</x:f>
        <x:v>Low</x:v>
      </x:c>
    </x:row>
    <x:row r="1180">
      <x:c r="A1180" t="n">
        <x:v>1179</x:v>
      </x:c>
      <x:c r="B1180" t="n">
        <x:v>10277</x:v>
      </x:c>
      <x:c r="C1180" s="16" t="n">
        <x:v>46126</x:v>
      </x:c>
      <x:c r="D1180" t="str">
        <x:v>02:39:00</x:v>
      </x:c>
      <x:c r="E1180" t="str">
        <x:v>Bank Transfer</x:v>
      </x:c>
      <x:c r="F1180" t="str">
        <x:v>Retail</x:v>
      </x:c>
      <x:c r="G1180" s="18" t="n">
        <x:v>65.81</x:v>
      </x:c>
      <x:c r="H1180" t="n">
        <x:v>0</x:v>
      </x:c>
      <x:c r="I1180" t="n">
        <x:v>1</x:v>
      </x:c>
      <x:c r="J1180" t="n">
        <x:v>0</x:v>
      </x:c>
      <x:c r="K1180" t="n">
        <x:v>1</x:v>
      </x:c>
      <x:c r="L1180" t="n">
        <x:v>45</x:v>
      </x:c>
      <x:c r="M1180" t="n">
        <x:v>0</x:v>
      </x:c>
      <x:c r="N1180" t="str">
        <x:v>Approved</x:v>
      </x:c>
      <x:c r="O1180" t="n">
        <x:v>0</x:v>
      </x:c>
      <x:c r="P1180" t="str">
        <x:f>IF(L1180&gt;=75,"High",IF(L1180&gt;=55,"Medium","Low"))</x:f>
        <x:v>Low</x:v>
      </x:c>
    </x:row>
    <x:row r="1181">
      <x:c r="A1181" t="n">
        <x:v>1180</x:v>
      </x:c>
      <x:c r="B1181" t="n">
        <x:v>10099</x:v>
      </x:c>
      <x:c r="C1181" s="16" t="n">
        <x:v>46255</x:v>
      </x:c>
      <x:c r="D1181" t="str">
        <x:v>23:00:00</x:v>
      </x:c>
      <x:c r="E1181" t="str">
        <x:v>P2P</x:v>
      </x:c>
      <x:c r="F1181" t="str">
        <x:v>Electronics</x:v>
      </x:c>
      <x:c r="G1181" s="18" t="n">
        <x:v>40.34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10</x:v>
      </x:c>
      <x:c r="M1181" t="n">
        <x:v>0</x:v>
      </x:c>
      <x:c r="N1181" t="str">
        <x:v>Approved</x:v>
      </x:c>
      <x:c r="O1181" t="n">
        <x:v>0</x:v>
      </x:c>
      <x:c r="P1181" t="str">
        <x:f>IF(L1181&gt;=75,"High",IF(L1181&gt;=55,"Medium","Low"))</x:f>
        <x:v>Low</x:v>
      </x:c>
    </x:row>
    <x:row r="1182">
      <x:c r="A1182" t="n">
        <x:v>1181</x:v>
      </x:c>
      <x:c r="B1182" t="n">
        <x:v>10036</x:v>
      </x:c>
      <x:c r="C1182" s="16" t="n">
        <x:v>46214</x:v>
      </x:c>
      <x:c r="D1182" t="str">
        <x:v>23:56:00</x:v>
      </x:c>
      <x:c r="E1182" t="str">
        <x:v>Bank Transfer</x:v>
      </x:c>
      <x:c r="F1182" t="str">
        <x:v>Retail</x:v>
      </x:c>
      <x:c r="G1182" s="18" t="n">
        <x:v>261.54</x:v>
      </x:c>
      <x:c r="H1182" t="n">
        <x:v>1</x:v>
      </x:c>
      <x:c r="I1182" t="n">
        <x:v>0</x:v>
      </x:c>
      <x:c r="J1182" t="n">
        <x:v>0</x:v>
      </x:c>
      <x:c r="K1182" t="n">
        <x:v>0</x:v>
      </x:c>
      <x:c r="L1182" t="n">
        <x:v>36</x:v>
      </x:c>
      <x:c r="M1182" t="n">
        <x:v>0</x:v>
      </x:c>
      <x:c r="N1182" t="str">
        <x:v>Approved</x:v>
      </x:c>
      <x:c r="O1182" t="n">
        <x:v>0</x:v>
      </x:c>
      <x:c r="P1182" t="str">
        <x:f>IF(L1182&gt;=75,"High",IF(L1182&gt;=55,"Medium","Low"))</x:f>
        <x:v>Low</x:v>
      </x:c>
    </x:row>
    <x:row r="1183">
      <x:c r="A1183" t="n">
        <x:v>1182</x:v>
      </x:c>
      <x:c r="B1183" t="n">
        <x:v>10293</x:v>
      </x:c>
      <x:c r="C1183" s="16" t="n">
        <x:v>46199</x:v>
      </x:c>
      <x:c r="D1183" t="str">
        <x:v>01:41:00</x:v>
      </x:c>
      <x:c r="E1183" t="str">
        <x:v>Bank Transfer</x:v>
      </x:c>
      <x:c r="F1183" t="str">
        <x:v>Dining</x:v>
      </x:c>
      <x:c r="G1183" s="18" t="n">
        <x:v>70.49</x:v>
      </x:c>
      <x:c r="H1183" t="n">
        <x:v>0</x:v>
      </x:c>
      <x:c r="I1183" t="n">
        <x:v>0</x:v>
      </x:c>
      <x:c r="J1183" t="n">
        <x:v>0</x:v>
      </x:c>
      <x:c r="K1183" t="n">
        <x:v>1</x:v>
      </x:c>
      <x:c r="L1183" t="n">
        <x:v>25</x:v>
      </x:c>
      <x:c r="M1183" t="n">
        <x:v>0</x:v>
      </x:c>
      <x:c r="N1183" t="str">
        <x:v>Approved</x:v>
      </x:c>
      <x:c r="O1183" t="n">
        <x:v>0</x:v>
      </x:c>
      <x:c r="P1183" t="str">
        <x:f>IF(L1183&gt;=75,"High",IF(L1183&gt;=55,"Medium","Low"))</x:f>
        <x:v>Low</x:v>
      </x:c>
    </x:row>
    <x:row r="1184">
      <x:c r="A1184" t="n">
        <x:v>1183</x:v>
      </x:c>
      <x:c r="B1184" t="n">
        <x:v>10317</x:v>
      </x:c>
      <x:c r="C1184" s="16" t="n">
        <x:v>46274</x:v>
      </x:c>
      <x:c r="D1184" t="str">
        <x:v>16:27:00</x:v>
      </x:c>
      <x:c r="E1184" t="str">
        <x:v>Card</x:v>
      </x:c>
      <x:c r="F1184" t="str">
        <x:v>Transfer</x:v>
      </x:c>
      <x:c r="G1184" s="18" t="n">
        <x:v>437.51</x:v>
      </x:c>
      <x:c r="H1184" t="n">
        <x:v>0</x:v>
      </x:c>
      <x:c r="I1184" t="n">
        <x:v>1</x:v>
      </x:c>
      <x:c r="J1184" t="n">
        <x:v>0</x:v>
      </x:c>
      <x:c r="K1184" t="n">
        <x:v>0</x:v>
      </x:c>
      <x:c r="L1184" t="n">
        <x:v>30</x:v>
      </x:c>
      <x:c r="M1184" t="n">
        <x:v>0</x:v>
      </x:c>
      <x:c r="N1184" t="str">
        <x:v>Approved</x:v>
      </x:c>
      <x:c r="O1184" t="n">
        <x:v>0</x:v>
      </x:c>
      <x:c r="P1184" t="str">
        <x:f>IF(L1184&gt;=75,"High",IF(L1184&gt;=55,"Medium","Low"))</x:f>
        <x:v>Low</x:v>
      </x:c>
    </x:row>
    <x:row r="1185">
      <x:c r="A1185" t="n">
        <x:v>1184</x:v>
      </x:c>
      <x:c r="B1185" t="n">
        <x:v>10260</x:v>
      </x:c>
      <x:c r="C1185" s="16" t="n">
        <x:v>46132</x:v>
      </x:c>
      <x:c r="D1185" t="str">
        <x:v>06:48:00</x:v>
      </x:c>
      <x:c r="E1185" t="str">
        <x:v>Bank Transfer</x:v>
      </x:c>
      <x:c r="F1185" t="str">
        <x:v>Subscriptions</x:v>
      </x:c>
      <x:c r="G1185" s="18" t="n">
        <x:v>183.27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10</x:v>
      </x:c>
      <x:c r="M1185" t="n">
        <x:v>0</x:v>
      </x:c>
      <x:c r="N1185" t="str">
        <x:v>Approved</x:v>
      </x:c>
      <x:c r="O1185" t="n">
        <x:v>0</x:v>
      </x:c>
      <x:c r="P1185" t="str">
        <x:f>IF(L1185&gt;=75,"High",IF(L1185&gt;=55,"Medium","Low"))</x:f>
        <x:v>Low</x:v>
      </x:c>
    </x:row>
    <x:row r="1186">
      <x:c r="A1186" t="n">
        <x:v>1185</x:v>
      </x:c>
      <x:c r="B1186" t="n">
        <x:v>10063</x:v>
      </x:c>
      <x:c r="C1186" s="16" t="n">
        <x:v>46167</x:v>
      </x:c>
      <x:c r="D1186" t="str">
        <x:v>14:07:00</x:v>
      </x:c>
      <x:c r="E1186" t="str">
        <x:v>Card</x:v>
      </x:c>
      <x:c r="F1186" t="str">
        <x:v>Electronics</x:v>
      </x:c>
      <x:c r="G1186" s="18" t="n">
        <x:v>19.08</x:v>
      </x:c>
      <x:c r="H1186" t="n">
        <x:v>0</x:v>
      </x:c>
      <x:c r="I1186" t="n">
        <x:v>1</x:v>
      </x:c>
      <x:c r="J1186" t="n">
        <x:v>0</x:v>
      </x:c>
      <x:c r="K1186" t="n">
        <x:v>0</x:v>
      </x:c>
      <x:c r="L1186" t="n">
        <x:v>30</x:v>
      </x:c>
      <x:c r="M1186" t="n">
        <x:v>0</x:v>
      </x:c>
      <x:c r="N1186" t="str">
        <x:v>Approved</x:v>
      </x:c>
      <x:c r="O1186" t="n">
        <x:v>0</x:v>
      </x:c>
      <x:c r="P1186" t="str">
        <x:f>IF(L1186&gt;=75,"High",IF(L1186&gt;=55,"Medium","Low"))</x:f>
        <x:v>Low</x:v>
      </x:c>
    </x:row>
    <x:row r="1187">
      <x:c r="A1187" t="n">
        <x:v>1186</x:v>
      </x:c>
      <x:c r="B1187" t="n">
        <x:v>10034</x:v>
      </x:c>
      <x:c r="C1187" s="16" t="n">
        <x:v>46221</x:v>
      </x:c>
      <x:c r="D1187" t="str">
        <x:v>11:50:00</x:v>
      </x:c>
      <x:c r="E1187" t="str">
        <x:v>P2P</x:v>
      </x:c>
      <x:c r="F1187" t="str">
        <x:v>Transfer</x:v>
      </x:c>
      <x:c r="G1187" s="18" t="n">
        <x:v>34.9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10</x:v>
      </x:c>
      <x:c r="M1187" t="n">
        <x:v>0</x:v>
      </x:c>
      <x:c r="N1187" t="str">
        <x:v>Declined</x:v>
      </x:c>
      <x:c r="O1187" t="n">
        <x:v>0</x:v>
      </x:c>
      <x:c r="P1187" t="str">
        <x:f>IF(L1187&gt;=75,"High",IF(L1187&gt;=55,"Medium","Low"))</x:f>
        <x:v>Low</x:v>
      </x:c>
    </x:row>
    <x:row r="1188">
      <x:c r="A1188" t="n">
        <x:v>1187</x:v>
      </x:c>
      <x:c r="B1188" t="n">
        <x:v>10110</x:v>
      </x:c>
      <x:c r="C1188" s="16" t="n">
        <x:v>46114</x:v>
      </x:c>
      <x:c r="D1188" t="str">
        <x:v>23:12:00</x:v>
      </x:c>
      <x:c r="E1188" t="str">
        <x:v>Bank Transfer</x:v>
      </x:c>
      <x:c r="F1188" t="str">
        <x:v>Utilities</x:v>
      </x:c>
      <x:c r="G1188" s="18" t="n">
        <x:v>94.85</x:v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n">
        <x:v>10</x:v>
      </x:c>
      <x:c r="M1188" t="n">
        <x:v>0</x:v>
      </x:c>
      <x:c r="N1188" t="str">
        <x:v>Approved</x:v>
      </x:c>
      <x:c r="O1188" t="n">
        <x:v>0</x:v>
      </x:c>
      <x:c r="P1188" t="str">
        <x:f>IF(L1188&gt;=75,"High",IF(L1188&gt;=55,"Medium","Low"))</x:f>
        <x:v>Low</x:v>
      </x:c>
    </x:row>
    <x:row r="1189">
      <x:c r="A1189" t="n">
        <x:v>1188</x:v>
      </x:c>
      <x:c r="B1189" t="n">
        <x:v>10196</x:v>
      </x:c>
      <x:c r="C1189" s="16" t="n">
        <x:v>46244</x:v>
      </x:c>
      <x:c r="D1189" t="str">
        <x:v>05:53:00</x:v>
      </x:c>
      <x:c r="E1189" t="str">
        <x:v>Card</x:v>
      </x:c>
      <x:c r="F1189" t="str">
        <x:v>Subscriptions</x:v>
      </x:c>
      <x:c r="G1189" s="18" t="n">
        <x:v>43.52</x:v>
      </x:c>
      <x:c r="H1189" t="n">
        <x:v>1</x:v>
      </x:c>
      <x:c r="I1189" t="n">
        <x:v>1</x:v>
      </x:c>
      <x:c r="J1189" t="n">
        <x:v>0</x:v>
      </x:c>
      <x:c r="K1189" t="n">
        <x:v>0</x:v>
      </x:c>
      <x:c r="L1189" t="n">
        <x:v>56</x:v>
      </x:c>
      <x:c r="M1189" t="n">
        <x:v>1</x:v>
      </x:c>
      <x:c r="N1189" t="str">
        <x:v>Approved</x:v>
      </x:c>
      <x:c r="O1189" t="n">
        <x:v>0</x:v>
      </x:c>
      <x:c r="P1189" t="str">
        <x:f>IF(L1189&gt;=75,"High",IF(L1189&gt;=55,"Medium","Low"))</x:f>
        <x:v>Medium</x:v>
      </x:c>
    </x:row>
    <x:row r="1190">
      <x:c r="A1190" t="n">
        <x:v>1189</x:v>
      </x:c>
      <x:c r="B1190" t="n">
        <x:v>10084</x:v>
      </x:c>
      <x:c r="C1190" s="16" t="n">
        <x:v>46180</x:v>
      </x:c>
      <x:c r="D1190" t="str">
        <x:v>18:44:00</x:v>
      </x:c>
      <x:c r="E1190" t="str">
        <x:v>Bank Transfer</x:v>
      </x:c>
      <x:c r="F1190" t="str">
        <x:v>Retail</x:v>
      </x:c>
      <x:c r="G1190" s="18" t="n">
        <x:v>516.83</x:v>
      </x:c>
      <x:c r="H1190" t="n">
        <x:v>0</x:v>
      </x:c>
      <x:c r="I1190" t="n">
        <x:v>1</x:v>
      </x:c>
      <x:c r="J1190" t="n">
        <x:v>0</x:v>
      </x:c>
      <x:c r="K1190" t="n">
        <x:v>0</x:v>
      </x:c>
      <x:c r="L1190" t="n">
        <x:v>30</x:v>
      </x:c>
      <x:c r="M1190" t="n">
        <x:v>0</x:v>
      </x:c>
      <x:c r="N1190" t="str">
        <x:v>Approved</x:v>
      </x:c>
      <x:c r="O1190" t="n">
        <x:v>0</x:v>
      </x:c>
      <x:c r="P1190" t="str">
        <x:f>IF(L1190&gt;=75,"High",IF(L1190&gt;=55,"Medium","Low"))</x:f>
        <x:v>Low</x:v>
      </x:c>
    </x:row>
    <x:row r="1191">
      <x:c r="A1191" t="n">
        <x:v>1190</x:v>
      </x:c>
      <x:c r="B1191" t="n">
        <x:v>10358</x:v>
      </x:c>
      <x:c r="C1191" s="16" t="n">
        <x:v>46132</x:v>
      </x:c>
      <x:c r="D1191" t="str">
        <x:v>03:05:00</x:v>
      </x:c>
      <x:c r="E1191" t="str">
        <x:v>P2P</x:v>
      </x:c>
      <x:c r="F1191" t="str">
        <x:v>Retail</x:v>
      </x:c>
      <x:c r="G1191" s="18" t="n">
        <x:v>704.35</x:v>
      </x:c>
      <x:c r="H1191" t="n">
        <x:v>0</x:v>
      </x:c>
      <x:c r="I1191" t="n">
        <x:v>1</x:v>
      </x:c>
      <x:c r="J1191" t="n">
        <x:v>1</x:v>
      </x:c>
      <x:c r="K1191" t="n">
        <x:v>1</x:v>
      </x:c>
      <x:c r="L1191" t="n">
        <x:v>79</x:v>
      </x:c>
      <x:c r="M1191" t="n">
        <x:v>1</x:v>
      </x:c>
      <x:c r="N1191" t="str">
        <x:v>Declined</x:v>
      </x:c>
      <x:c r="O1191" t="n">
        <x:v>1</x:v>
      </x:c>
      <x:c r="P1191" t="str">
        <x:f>IF(L1191&gt;=75,"High",IF(L1191&gt;=55,"Medium","Low"))</x:f>
        <x:v>High</x:v>
      </x:c>
    </x:row>
    <x:row r="1192">
      <x:c r="A1192" t="n">
        <x:v>1191</x:v>
      </x:c>
      <x:c r="B1192" t="n">
        <x:v>10306</x:v>
      </x:c>
      <x:c r="C1192" s="16" t="n">
        <x:v>46293</x:v>
      </x:c>
      <x:c r="D1192" t="str">
        <x:v>10:56:00</x:v>
      </x:c>
      <x:c r="E1192" t="str">
        <x:v>Bank Transfer</x:v>
      </x:c>
      <x:c r="F1192" t="str">
        <x:v>Electronics</x:v>
      </x:c>
      <x:c r="G1192" s="18" t="n">
        <x:v>37.66</x:v>
      </x:c>
      <x:c r="H1192" t="n">
        <x:v>0</x:v>
      </x:c>
      <x:c r="I1192" t="n">
        <x:v>0</x:v>
      </x:c>
      <x:c r="J1192" t="n">
        <x:v>0</x:v>
      </x:c>
      <x:c r="K1192" t="n">
        <x:v>0</x:v>
      </x:c>
      <x:c r="L1192" t="n">
        <x:v>10</x:v>
      </x:c>
      <x:c r="M1192" t="n">
        <x:v>0</x:v>
      </x:c>
      <x:c r="N1192" t="str">
        <x:v>Approved</x:v>
      </x:c>
      <x:c r="O1192" t="n">
        <x:v>0</x:v>
      </x:c>
      <x:c r="P1192" t="str">
        <x:f>IF(L1192&gt;=75,"High",IF(L1192&gt;=55,"Medium","Low"))</x:f>
        <x:v>Low</x:v>
      </x:c>
    </x:row>
    <x:row r="1193">
      <x:c r="A1193" t="n">
        <x:v>1192</x:v>
      </x:c>
      <x:c r="B1193" t="n">
        <x:v>10208</x:v>
      </x:c>
      <x:c r="C1193" s="16" t="n">
        <x:v>46211</x:v>
      </x:c>
      <x:c r="D1193" t="str">
        <x:v>15:07:00</x:v>
      </x:c>
      <x:c r="E1193" t="str">
        <x:v>Card</x:v>
      </x:c>
      <x:c r="F1193" t="str">
        <x:v>Retail</x:v>
      </x:c>
      <x:c r="G1193" s="18" t="n">
        <x:v>87.53</x:v>
      </x:c>
      <x:c r="H1193" t="n">
        <x:v>0</x:v>
      </x:c>
      <x:c r="I1193" t="n">
        <x:v>1</x:v>
      </x:c>
      <x:c r="J1193" t="n">
        <x:v>0</x:v>
      </x:c>
      <x:c r="K1193" t="n">
        <x:v>0</x:v>
      </x:c>
      <x:c r="L1193" t="n">
        <x:v>30</x:v>
      </x:c>
      <x:c r="M1193" t="n">
        <x:v>0</x:v>
      </x:c>
      <x:c r="N1193" t="str">
        <x:v>Declined</x:v>
      </x:c>
      <x:c r="O1193" t="n">
        <x:v>0</x:v>
      </x:c>
      <x:c r="P1193" t="str">
        <x:f>IF(L1193&gt;=75,"High",IF(L1193&gt;=55,"Medium","Low"))</x:f>
        <x:v>Low</x:v>
      </x:c>
    </x:row>
    <x:row r="1194">
      <x:c r="A1194" t="n">
        <x:v>1193</x:v>
      </x:c>
      <x:c r="B1194" t="n">
        <x:v>10319</x:v>
      </x:c>
      <x:c r="C1194" s="16" t="n">
        <x:v>46157</x:v>
      </x:c>
      <x:c r="D1194" t="str">
        <x:v>17:08:00</x:v>
      </x:c>
      <x:c r="E1194" t="str">
        <x:v>Card</x:v>
      </x:c>
      <x:c r="F1194" t="str">
        <x:v>Dining</x:v>
      </x:c>
      <x:c r="G1194" s="18" t="n">
        <x:v>13.06</x:v>
      </x:c>
      <x:c r="H1194" t="n">
        <x:v>1</x:v>
      </x:c>
      <x:c r="I1194" t="n">
        <x:v>1</x:v>
      </x:c>
      <x:c r="J1194" t="n">
        <x:v>0</x:v>
      </x:c>
      <x:c r="K1194" t="n">
        <x:v>0</x:v>
      </x:c>
      <x:c r="L1194" t="n">
        <x:v>56</x:v>
      </x:c>
      <x:c r="M1194" t="n">
        <x:v>1</x:v>
      </x:c>
      <x:c r="N1194" t="str">
        <x:v>Declined</x:v>
      </x:c>
      <x:c r="O1194" t="n">
        <x:v>0</x:v>
      </x:c>
      <x:c r="P1194" t="str">
        <x:f>IF(L1194&gt;=75,"High",IF(L1194&gt;=55,"Medium","Low"))</x:f>
        <x:v>Medium</x:v>
      </x:c>
    </x:row>
    <x:row r="1195">
      <x:c r="A1195" t="n">
        <x:v>1194</x:v>
      </x:c>
      <x:c r="B1195" t="n">
        <x:v>10144</x:v>
      </x:c>
      <x:c r="C1195" s="16" t="n">
        <x:v>46144</x:v>
      </x:c>
      <x:c r="D1195" t="str">
        <x:v>10:15:00</x:v>
      </x:c>
      <x:c r="E1195" t="str">
        <x:v>Bank Transfer</x:v>
      </x:c>
      <x:c r="F1195" t="str">
        <x:v>Electronics</x:v>
      </x:c>
      <x:c r="G1195" s="18" t="n">
        <x:v>130.07</x:v>
      </x:c>
      <x:c r="H1195" t="n">
        <x:v>0</x:v>
      </x:c>
      <x:c r="I1195" t="n">
        <x:v>1</x:v>
      </x:c>
      <x:c r="J1195" t="n">
        <x:v>0</x:v>
      </x:c>
      <x:c r="K1195" t="n">
        <x:v>0</x:v>
      </x:c>
      <x:c r="L1195" t="n">
        <x:v>30</x:v>
      </x:c>
      <x:c r="M1195" t="n">
        <x:v>0</x:v>
      </x:c>
      <x:c r="N1195" t="str">
        <x:v>Approved</x:v>
      </x:c>
      <x:c r="O1195" t="n">
        <x:v>0</x:v>
      </x:c>
      <x:c r="P1195" t="str">
        <x:f>IF(L1195&gt;=75,"High",IF(L1195&gt;=55,"Medium","Low"))</x:f>
        <x:v>Low</x:v>
      </x:c>
    </x:row>
    <x:row r="1196">
      <x:c r="A1196" t="n">
        <x:v>1195</x:v>
      </x:c>
      <x:c r="B1196" t="n">
        <x:v>10147</x:v>
      </x:c>
      <x:c r="C1196" s="16" t="n">
        <x:v>46157</x:v>
      </x:c>
      <x:c r="D1196" t="str">
        <x:v>09:55:00</x:v>
      </x:c>
      <x:c r="E1196" t="str">
        <x:v>Card</x:v>
      </x:c>
      <x:c r="F1196" t="str">
        <x:v>Dining</x:v>
      </x:c>
      <x:c r="G1196" s="18" t="n">
        <x:v>155.24</x:v>
      </x:c>
      <x:c r="H1196" t="n">
        <x:v>0</x:v>
      </x:c>
      <x:c r="I1196" t="n">
        <x:v>0</x:v>
      </x:c>
      <x:c r="J1196" t="n">
        <x:v>0</x:v>
      </x:c>
      <x:c r="K1196" t="n">
        <x:v>0</x:v>
      </x:c>
      <x:c r="L1196" t="n">
        <x:v>10</x:v>
      </x:c>
      <x:c r="M1196" t="n">
        <x:v>0</x:v>
      </x:c>
      <x:c r="N1196" t="str">
        <x:v>Declined</x:v>
      </x:c>
      <x:c r="O1196" t="n">
        <x:v>0</x:v>
      </x:c>
      <x:c r="P1196" t="str">
        <x:f>IF(L1196&gt;=75,"High",IF(L1196&gt;=55,"Medium","Low"))</x:f>
        <x:v>Low</x:v>
      </x:c>
    </x:row>
    <x:row r="1197">
      <x:c r="A1197" t="n">
        <x:v>1196</x:v>
      </x:c>
      <x:c r="B1197" t="n">
        <x:v>10023</x:v>
      </x:c>
      <x:c r="C1197" s="16" t="n">
        <x:v>46225</x:v>
      </x:c>
      <x:c r="D1197" t="str">
        <x:v>01:24:00</x:v>
      </x:c>
      <x:c r="E1197" t="str">
        <x:v>Bank Transfer</x:v>
      </x:c>
      <x:c r="F1197" t="str">
        <x:v>Utilities</x:v>
      </x:c>
      <x:c r="G1197" s="18" t="n">
        <x:v>34.99</x:v>
      </x:c>
      <x:c r="H1197" t="n">
        <x:v>0</x:v>
      </x:c>
      <x:c r="I1197" t="n">
        <x:v>1</x:v>
      </x:c>
      <x:c r="J1197" t="n">
        <x:v>0</x:v>
      </x:c>
      <x:c r="K1197" t="n">
        <x:v>1</x:v>
      </x:c>
      <x:c r="L1197" t="n">
        <x:v>45</x:v>
      </x:c>
      <x:c r="M1197" t="n">
        <x:v>0</x:v>
      </x:c>
      <x:c r="N1197" t="str">
        <x:v>Approved</x:v>
      </x:c>
      <x:c r="O1197" t="n">
        <x:v>0</x:v>
      </x:c>
      <x:c r="P1197" t="str">
        <x:f>IF(L1197&gt;=75,"High",IF(L1197&gt;=55,"Medium","Low"))</x:f>
        <x:v>Low</x:v>
      </x:c>
    </x:row>
    <x:row r="1198">
      <x:c r="A1198" t="n">
        <x:v>1197</x:v>
      </x:c>
      <x:c r="B1198" t="n">
        <x:v>10130</x:v>
      </x:c>
      <x:c r="C1198" s="16" t="n">
        <x:v>46258</x:v>
      </x:c>
      <x:c r="D1198" t="str">
        <x:v>08:58:00</x:v>
      </x:c>
      <x:c r="E1198" t="str">
        <x:v>Card</x:v>
      </x:c>
      <x:c r="F1198" t="str">
        <x:v>Utilities</x:v>
      </x:c>
      <x:c r="G1198" s="18" t="n">
        <x:v>37.9</x:v>
      </x:c>
      <x:c r="H1198" t="n">
        <x:v>0</x:v>
      </x:c>
      <x:c r="I1198" t="n">
        <x:v>1</x:v>
      </x:c>
      <x:c r="J1198" t="n">
        <x:v>0</x:v>
      </x:c>
      <x:c r="K1198" t="n">
        <x:v>0</x:v>
      </x:c>
      <x:c r="L1198" t="n">
        <x:v>30</x:v>
      </x:c>
      <x:c r="M1198" t="n">
        <x:v>0</x:v>
      </x:c>
      <x:c r="N1198" t="str">
        <x:v>Approved</x:v>
      </x:c>
      <x:c r="O1198" t="n">
        <x:v>0</x:v>
      </x:c>
      <x:c r="P1198" t="str">
        <x:f>IF(L1198&gt;=75,"High",IF(L1198&gt;=55,"Medium","Low"))</x:f>
        <x:v>Low</x:v>
      </x:c>
    </x:row>
    <x:row r="1199">
      <x:c r="A1199" t="n">
        <x:v>1198</x:v>
      </x:c>
      <x:c r="B1199" t="n">
        <x:v>10149</x:v>
      </x:c>
      <x:c r="C1199" s="16" t="n">
        <x:v>46152</x:v>
      </x:c>
      <x:c r="D1199" t="str">
        <x:v>08:57:00</x:v>
      </x:c>
      <x:c r="E1199" t="str">
        <x:v>Bank Transfer</x:v>
      </x:c>
      <x:c r="F1199" t="str">
        <x:v>Utilities</x:v>
      </x:c>
      <x:c r="G1199" s="18" t="n">
        <x:v>193.29</x:v>
      </x:c>
      <x:c r="H1199" t="n">
        <x:v>1</x:v>
      </x:c>
      <x:c r="I1199" t="n">
        <x:v>0</x:v>
      </x:c>
      <x:c r="J1199" t="n">
        <x:v>0</x:v>
      </x:c>
      <x:c r="K1199" t="n">
        <x:v>0</x:v>
      </x:c>
      <x:c r="L1199" t="n">
        <x:v>36</x:v>
      </x:c>
      <x:c r="M1199" t="n">
        <x:v>0</x:v>
      </x:c>
      <x:c r="N1199" t="str">
        <x:v>Approved</x:v>
      </x:c>
      <x:c r="O1199" t="n">
        <x:v>0</x:v>
      </x:c>
      <x:c r="P1199" t="str">
        <x:f>IF(L1199&gt;=75,"High",IF(L1199&gt;=55,"Medium","Low"))</x:f>
        <x:v>Low</x:v>
      </x:c>
    </x:row>
    <x:row r="1200">
      <x:c r="A1200" t="n">
        <x:v>1199</x:v>
      </x:c>
      <x:c r="B1200" t="n">
        <x:v>10176</x:v>
      </x:c>
      <x:c r="C1200" s="16" t="n">
        <x:v>46252</x:v>
      </x:c>
      <x:c r="D1200" t="str">
        <x:v>09:25:00</x:v>
      </x:c>
      <x:c r="E1200" t="str">
        <x:v>Bank Transfer</x:v>
      </x:c>
      <x:c r="F1200" t="str">
        <x:v>Utilities</x:v>
      </x:c>
      <x:c r="G1200" s="18" t="n">
        <x:v>114.43</x:v>
      </x:c>
      <x:c r="H1200" t="n">
        <x:v>1</x:v>
      </x:c>
      <x:c r="I1200" t="n">
        <x:v>0</x:v>
      </x:c>
      <x:c r="J1200" t="n">
        <x:v>0</x:v>
      </x:c>
      <x:c r="K1200" t="n">
        <x:v>0</x:v>
      </x:c>
      <x:c r="L1200" t="n">
        <x:v>36</x:v>
      </x:c>
      <x:c r="M1200" t="n">
        <x:v>0</x:v>
      </x:c>
      <x:c r="N1200" t="str">
        <x:v>Approved</x:v>
      </x:c>
      <x:c r="O1200" t="n">
        <x:v>0</x:v>
      </x:c>
      <x:c r="P1200" t="str">
        <x:f>IF(L1200&gt;=75,"High",IF(L1200&gt;=55,"Medium","Low"))</x:f>
        <x:v>Low</x:v>
      </x:c>
    </x:row>
    <x:row r="1201">
      <x:c r="A1201" t="n">
        <x:v>1200</x:v>
      </x:c>
      <x:c r="B1201" t="n">
        <x:v>10213</x:v>
      </x:c>
      <x:c r="C1201" s="16" t="n">
        <x:v>46124</x:v>
      </x:c>
      <x:c r="D1201" t="str">
        <x:v>04:01:00</x:v>
      </x:c>
      <x:c r="E1201" t="str">
        <x:v>Card</x:v>
      </x:c>
      <x:c r="F1201" t="str">
        <x:v>Dining</x:v>
      </x:c>
      <x:c r="G1201" s="18" t="n">
        <x:v>384.96</x:v>
      </x:c>
      <x:c r="H1201" t="n">
        <x:v>0</x:v>
      </x:c>
      <x:c r="I1201" t="n">
        <x:v>0</x:v>
      </x:c>
      <x:c r="J1201" t="n">
        <x:v>0</x:v>
      </x:c>
      <x:c r="K1201" t="n">
        <x:v>1</x:v>
      </x:c>
      <x:c r="L1201" t="n">
        <x:v>25</x:v>
      </x:c>
      <x:c r="M1201" t="n">
        <x:v>0</x:v>
      </x:c>
      <x:c r="N1201" t="str">
        <x:v>Approved</x:v>
      </x:c>
      <x:c r="O1201" t="n">
        <x:v>0</x:v>
      </x:c>
      <x:c r="P1201" t="str">
        <x:f>IF(L1201&gt;=75,"High",IF(L1201&gt;=55,"Medium","Low"))</x:f>
        <x:v>Low</x:v>
      </x:c>
    </x:row>
    <x:row r="1202">
      <x:c r="A1202" t="n">
        <x:v>1201</x:v>
      </x:c>
      <x:c r="B1202" t="n">
        <x:v>10159</x:v>
      </x:c>
      <x:c r="C1202" s="16" t="n">
        <x:v>46116</x:v>
      </x:c>
      <x:c r="D1202" t="str">
        <x:v>18:04:00</x:v>
      </x:c>
      <x:c r="E1202" t="str">
        <x:v>Bank Transfer</x:v>
      </x:c>
      <x:c r="F1202" t="str">
        <x:v>Retail</x:v>
      </x:c>
      <x:c r="G1202" s="18" t="n">
        <x:v>216.9</x:v>
      </x:c>
      <x:c r="H1202" t="n">
        <x:v>0</x:v>
      </x:c>
      <x:c r="I1202" t="n">
        <x:v>1</x:v>
      </x:c>
      <x:c r="J1202" t="n">
        <x:v>0</x:v>
      </x:c>
      <x:c r="K1202" t="n">
        <x:v>0</x:v>
      </x:c>
      <x:c r="L1202" t="n">
        <x:v>30</x:v>
      </x:c>
      <x:c r="M1202" t="n">
        <x:v>0</x:v>
      </x:c>
      <x:c r="N1202" t="str">
        <x:v>Approved</x:v>
      </x:c>
      <x:c r="O1202" t="n">
        <x:v>0</x:v>
      </x:c>
      <x:c r="P1202" t="str">
        <x:f>IF(L1202&gt;=75,"High",IF(L1202&gt;=55,"Medium","Low"))</x:f>
        <x:v>Low</x:v>
      </x:c>
    </x:row>
    <x:row r="1203">
      <x:c r="A1203" t="n">
        <x:v>1202</x:v>
      </x:c>
      <x:c r="B1203" t="n">
        <x:v>10090</x:v>
      </x:c>
      <x:c r="C1203" s="16" t="n">
        <x:v>46165</x:v>
      </x:c>
      <x:c r="D1203" t="str">
        <x:v>00:15:00</x:v>
      </x:c>
      <x:c r="E1203" t="str">
        <x:v>Card</x:v>
      </x:c>
      <x:c r="F1203" t="str">
        <x:v>Retail</x:v>
      </x:c>
      <x:c r="G1203" s="18" t="n">
        <x:v>897</x:v>
      </x:c>
      <x:c r="H1203" t="n">
        <x:v>0</x:v>
      </x:c>
      <x:c r="I1203" t="n">
        <x:v>0</x:v>
      </x:c>
      <x:c r="J1203" t="n">
        <x:v>1</x:v>
      </x:c>
      <x:c r="K1203" t="n">
        <x:v>1</x:v>
      </x:c>
      <x:c r="L1203" t="n">
        <x:v>59</x:v>
      </x:c>
      <x:c r="M1203" t="n">
        <x:v>1</x:v>
      </x:c>
      <x:c r="N1203" t="str">
        <x:v>Approved</x:v>
      </x:c>
      <x:c r="O1203" t="n">
        <x:v>1</x:v>
      </x:c>
      <x:c r="P1203" t="str">
        <x:f>IF(L1203&gt;=75,"High",IF(L1203&gt;=55,"Medium","Low"))</x:f>
        <x:v>Medium</x:v>
      </x:c>
    </x:row>
    <x:row r="1204">
      <x:c r="A1204" t="n">
        <x:v>1203</x:v>
      </x:c>
      <x:c r="B1204" t="n">
        <x:v>10047</x:v>
      </x:c>
      <x:c r="C1204" s="16" t="n">
        <x:v>46197</x:v>
      </x:c>
      <x:c r="D1204" t="str">
        <x:v>05:36:00</x:v>
      </x:c>
      <x:c r="E1204" t="str">
        <x:v>Card</x:v>
      </x:c>
      <x:c r="F1204" t="str">
        <x:v>Subscriptions</x:v>
      </x:c>
      <x:c r="G1204" s="18" t="n">
        <x:v>400.04</x:v>
      </x:c>
      <x:c r="H1204" t="n">
        <x:v>0</x:v>
      </x:c>
      <x:c r="I1204" t="n">
        <x:v>1</x:v>
      </x:c>
      <x:c r="J1204" t="n">
        <x:v>0</x:v>
      </x:c>
      <x:c r="K1204" t="n">
        <x:v>0</x:v>
      </x:c>
      <x:c r="L1204" t="n">
        <x:v>30</x:v>
      </x:c>
      <x:c r="M1204" t="n">
        <x:v>0</x:v>
      </x:c>
      <x:c r="N1204" t="str">
        <x:v>Approved</x:v>
      </x:c>
      <x:c r="O1204" t="n">
        <x:v>0</x:v>
      </x:c>
      <x:c r="P1204" t="str">
        <x:f>IF(L1204&gt;=75,"High",IF(L1204&gt;=55,"Medium","Low"))</x:f>
        <x:v>Low</x:v>
      </x:c>
    </x:row>
    <x:row r="1205">
      <x:c r="A1205" t="n">
        <x:v>1204</x:v>
      </x:c>
      <x:c r="B1205" t="n">
        <x:v>10038</x:v>
      </x:c>
      <x:c r="C1205" s="16" t="n">
        <x:v>46259</x:v>
      </x:c>
      <x:c r="D1205" t="str">
        <x:v>07:46:00</x:v>
      </x:c>
      <x:c r="E1205" t="str">
        <x:v>P2P</x:v>
      </x:c>
      <x:c r="F1205" t="str">
        <x:v>Retail</x:v>
      </x:c>
      <x:c r="G1205" s="18" t="n">
        <x:v>506.07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10</x:v>
      </x:c>
      <x:c r="M1205" t="n">
        <x:v>0</x:v>
      </x:c>
      <x:c r="N1205" t="str">
        <x:v>Approved</x:v>
      </x:c>
      <x:c r="O1205" t="n">
        <x:v>0</x:v>
      </x:c>
      <x:c r="P1205" t="str">
        <x:f>IF(L1205&gt;=75,"High",IF(L1205&gt;=55,"Medium","Low"))</x:f>
        <x:v>Low</x:v>
      </x:c>
    </x:row>
    <x:row r="1206">
      <x:c r="A1206" t="n">
        <x:v>1205</x:v>
      </x:c>
      <x:c r="B1206" t="n">
        <x:v>10039</x:v>
      </x:c>
      <x:c r="C1206" s="16" t="n">
        <x:v>46248</x:v>
      </x:c>
      <x:c r="D1206" t="str">
        <x:v>08:28:00</x:v>
      </x:c>
      <x:c r="E1206" t="str">
        <x:v>Card</x:v>
      </x:c>
      <x:c r="F1206" t="str">
        <x:v>Dining</x:v>
      </x:c>
      <x:c r="G1206" s="18" t="n">
        <x:v>49.49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10</x:v>
      </x:c>
      <x:c r="M1206" t="n">
        <x:v>0</x:v>
      </x:c>
      <x:c r="N1206" t="str">
        <x:v>Approved</x:v>
      </x:c>
      <x:c r="O1206" t="n">
        <x:v>0</x:v>
      </x:c>
      <x:c r="P1206" t="str">
        <x:f>IF(L1206&gt;=75,"High",IF(L1206&gt;=55,"Medium","Low"))</x:f>
        <x:v>Low</x:v>
      </x:c>
    </x:row>
    <x:row r="1207">
      <x:c r="A1207" t="n">
        <x:v>1206</x:v>
      </x:c>
      <x:c r="B1207" t="n">
        <x:v>10143</x:v>
      </x:c>
      <x:c r="C1207" s="16" t="n">
        <x:v>46215</x:v>
      </x:c>
      <x:c r="D1207" t="str">
        <x:v>18:39:00</x:v>
      </x:c>
      <x:c r="E1207" t="str">
        <x:v>P2P</x:v>
      </x:c>
      <x:c r="F1207" t="str">
        <x:v>Travel</x:v>
      </x:c>
      <x:c r="G1207" s="18" t="n">
        <x:v>57.98</x:v>
      </x:c>
      <x:c r="H1207" t="n">
        <x:v>0</x:v>
      </x:c>
      <x:c r="I1207" t="n">
        <x:v>0</x:v>
      </x:c>
      <x:c r="J1207" t="n">
        <x:v>0</x:v>
      </x:c>
      <x:c r="K1207" t="n">
        <x:v>0</x:v>
      </x:c>
      <x:c r="L1207" t="n">
        <x:v>10</x:v>
      </x:c>
      <x:c r="M1207" t="n">
        <x:v>0</x:v>
      </x:c>
      <x:c r="N1207" t="str">
        <x:v>Approved</x:v>
      </x:c>
      <x:c r="O1207" t="n">
        <x:v>0</x:v>
      </x:c>
      <x:c r="P1207" t="str">
        <x:f>IF(L1207&gt;=75,"High",IF(L1207&gt;=55,"Medium","Low"))</x:f>
        <x:v>Low</x:v>
      </x:c>
    </x:row>
    <x:row r="1208">
      <x:c r="A1208" t="n">
        <x:v>1207</x:v>
      </x:c>
      <x:c r="B1208" t="n">
        <x:v>10011</x:v>
      </x:c>
      <x:c r="C1208" s="16" t="n">
        <x:v>46167</x:v>
      </x:c>
      <x:c r="D1208" t="str">
        <x:v>05:48:00</x:v>
      </x:c>
      <x:c r="E1208" t="str">
        <x:v>Bank Transfer</x:v>
      </x:c>
      <x:c r="F1208" t="str">
        <x:v>Transfer</x:v>
      </x:c>
      <x:c r="G1208" s="18" t="n">
        <x:v>69.86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10</x:v>
      </x:c>
      <x:c r="M1208" t="n">
        <x:v>0</x:v>
      </x:c>
      <x:c r="N1208" t="str">
        <x:v>Approved</x:v>
      </x:c>
      <x:c r="O1208" t="n">
        <x:v>0</x:v>
      </x:c>
      <x:c r="P1208" t="str">
        <x:f>IF(L1208&gt;=75,"High",IF(L1208&gt;=55,"Medium","Low"))</x:f>
        <x:v>Low</x:v>
      </x:c>
    </x:row>
    <x:row r="1209">
      <x:c r="A1209" t="n">
        <x:v>1208</x:v>
      </x:c>
      <x:c r="B1209" t="n">
        <x:v>10307</x:v>
      </x:c>
      <x:c r="C1209" s="16" t="n">
        <x:v>46199</x:v>
      </x:c>
      <x:c r="D1209" t="str">
        <x:v>18:25:00</x:v>
      </x:c>
      <x:c r="E1209" t="str">
        <x:v>Card</x:v>
      </x:c>
      <x:c r="F1209" t="str">
        <x:v>Electronics</x:v>
      </x:c>
      <x:c r="G1209" s="18" t="n">
        <x:v>58.32</x:v>
      </x:c>
      <x:c r="H1209" t="n">
        <x:v>1</x:v>
      </x:c>
      <x:c r="I1209" t="n">
        <x:v>0</x:v>
      </x:c>
      <x:c r="J1209" t="n">
        <x:v>0</x:v>
      </x:c>
      <x:c r="K1209" t="n">
        <x:v>0</x:v>
      </x:c>
      <x:c r="L1209" t="n">
        <x:v>36</x:v>
      </x:c>
      <x:c r="M1209" t="n">
        <x:v>0</x:v>
      </x:c>
      <x:c r="N1209" t="str">
        <x:v>Approved</x:v>
      </x:c>
      <x:c r="O1209" t="n">
        <x:v>0</x:v>
      </x:c>
      <x:c r="P1209" t="str">
        <x:f>IF(L1209&gt;=75,"High",IF(L1209&gt;=55,"Medium","Low"))</x:f>
        <x:v>Low</x:v>
      </x:c>
    </x:row>
    <x:row r="1210">
      <x:c r="A1210" t="n">
        <x:v>1209</x:v>
      </x:c>
      <x:c r="B1210" t="n">
        <x:v>10069</x:v>
      </x:c>
      <x:c r="C1210" s="16" t="n">
        <x:v>46164</x:v>
      </x:c>
      <x:c r="D1210" t="str">
        <x:v>03:13:00</x:v>
      </x:c>
      <x:c r="E1210" t="str">
        <x:v>Card</x:v>
      </x:c>
      <x:c r="F1210" t="str">
        <x:v>Travel</x:v>
      </x:c>
      <x:c r="G1210" s="18" t="n">
        <x:v>30.83</x:v>
      </x:c>
      <x:c r="H1210" t="n">
        <x:v>0</x:v>
      </x:c>
      <x:c r="I1210" t="n">
        <x:v>0</x:v>
      </x:c>
      <x:c r="J1210" t="n">
        <x:v>0</x:v>
      </x:c>
      <x:c r="K1210" t="n">
        <x:v>1</x:v>
      </x:c>
      <x:c r="L1210" t="n">
        <x:v>25</x:v>
      </x:c>
      <x:c r="M1210" t="n">
        <x:v>0</x:v>
      </x:c>
      <x:c r="N1210" t="str">
        <x:v>Approved</x:v>
      </x:c>
      <x:c r="O1210" t="n">
        <x:v>0</x:v>
      </x:c>
      <x:c r="P1210" t="str">
        <x:f>IF(L1210&gt;=75,"High",IF(L1210&gt;=55,"Medium","Low"))</x:f>
        <x:v>Low</x:v>
      </x:c>
    </x:row>
    <x:row r="1211">
      <x:c r="A1211" t="n">
        <x:v>1210</x:v>
      </x:c>
      <x:c r="B1211" t="n">
        <x:v>10295</x:v>
      </x:c>
      <x:c r="C1211" s="16" t="n">
        <x:v>46285</x:v>
      </x:c>
      <x:c r="D1211" t="str">
        <x:v>13:22:00</x:v>
      </x:c>
      <x:c r="E1211" t="str">
        <x:v>P2P</x:v>
      </x:c>
      <x:c r="F1211" t="str">
        <x:v>Electronics</x:v>
      </x:c>
      <x:c r="G1211" s="18" t="n">
        <x:v>89.97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10</x:v>
      </x:c>
      <x:c r="M1211" t="n">
        <x:v>0</x:v>
      </x:c>
      <x:c r="N1211" t="str">
        <x:v>Approved</x:v>
      </x:c>
      <x:c r="O1211" t="n">
        <x:v>0</x:v>
      </x:c>
      <x:c r="P1211" t="str">
        <x:f>IF(L1211&gt;=75,"High",IF(L1211&gt;=55,"Medium","Low"))</x:f>
        <x:v>Low</x:v>
      </x:c>
    </x:row>
    <x:row r="1212">
      <x:c r="A1212" t="n">
        <x:v>1211</x:v>
      </x:c>
      <x:c r="B1212" t="n">
        <x:v>10333</x:v>
      </x:c>
      <x:c r="C1212" s="16" t="n">
        <x:v>46137</x:v>
      </x:c>
      <x:c r="D1212" t="str">
        <x:v>07:26:00</x:v>
      </x:c>
      <x:c r="E1212" t="str">
        <x:v>Card</x:v>
      </x:c>
      <x:c r="F1212" t="str">
        <x:v>Subscriptions</x:v>
      </x:c>
      <x:c r="G1212" s="18" t="n">
        <x:v>41.76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10</x:v>
      </x:c>
      <x:c r="M1212" t="n">
        <x:v>0</x:v>
      </x:c>
      <x:c r="N1212" t="str">
        <x:v>Approved</x:v>
      </x:c>
      <x:c r="O1212" t="n">
        <x:v>0</x:v>
      </x:c>
      <x:c r="P1212" t="str">
        <x:f>IF(L1212&gt;=75,"High",IF(L1212&gt;=55,"Medium","Low"))</x:f>
        <x:v>Low</x:v>
      </x:c>
    </x:row>
    <x:row r="1213">
      <x:c r="A1213" t="n">
        <x:v>1212</x:v>
      </x:c>
      <x:c r="B1213" t="n">
        <x:v>10023</x:v>
      </x:c>
      <x:c r="C1213" s="16" t="n">
        <x:v>46163</x:v>
      </x:c>
      <x:c r="D1213" t="str">
        <x:v>02:07:00</x:v>
      </x:c>
      <x:c r="E1213" t="str">
        <x:v>P2P</x:v>
      </x:c>
      <x:c r="F1213" t="str">
        <x:v>Subscriptions</x:v>
      </x:c>
      <x:c r="G1213" s="18" t="n">
        <x:v>438.39</x:v>
      </x:c>
      <x:c r="H1213" t="n">
        <x:v>0</x:v>
      </x:c>
      <x:c r="I1213" t="n">
        <x:v>1</x:v>
      </x:c>
      <x:c r="J1213" t="n">
        <x:v>0</x:v>
      </x:c>
      <x:c r="K1213" t="n">
        <x:v>1</x:v>
      </x:c>
      <x:c r="L1213" t="n">
        <x:v>45</x:v>
      </x:c>
      <x:c r="M1213" t="n">
        <x:v>0</x:v>
      </x:c>
      <x:c r="N1213" t="str">
        <x:v>Approved</x:v>
      </x:c>
      <x:c r="O1213" t="n">
        <x:v>0</x:v>
      </x:c>
      <x:c r="P1213" t="str">
        <x:f>IF(L1213&gt;=75,"High",IF(L1213&gt;=55,"Medium","Low"))</x:f>
        <x:v>Low</x:v>
      </x:c>
    </x:row>
    <x:row r="1214">
      <x:c r="A1214" t="n">
        <x:v>1213</x:v>
      </x:c>
      <x:c r="B1214" t="n">
        <x:v>10215</x:v>
      </x:c>
      <x:c r="C1214" s="16" t="n">
        <x:v>46144</x:v>
      </x:c>
      <x:c r="D1214" t="str">
        <x:v>08:31:00</x:v>
      </x:c>
      <x:c r="E1214" t="str">
        <x:v>Card</x:v>
      </x:c>
      <x:c r="F1214" t="str">
        <x:v>Subscriptions</x:v>
      </x:c>
      <x:c r="G1214" s="18" t="n">
        <x:v>125.37</x:v>
      </x:c>
      <x:c r="H1214" t="n">
        <x:v>0</x:v>
      </x:c>
      <x:c r="I1214" t="n">
        <x:v>0</x:v>
      </x:c>
      <x:c r="J1214" t="n">
        <x:v>0</x:v>
      </x:c>
      <x:c r="K1214" t="n">
        <x:v>0</x:v>
      </x:c>
      <x:c r="L1214" t="n">
        <x:v>10</x:v>
      </x:c>
      <x:c r="M1214" t="n">
        <x:v>0</x:v>
      </x:c>
      <x:c r="N1214" t="str">
        <x:v>Approved</x:v>
      </x:c>
      <x:c r="O1214" t="n">
        <x:v>0</x:v>
      </x:c>
      <x:c r="P1214" t="str">
        <x:f>IF(L1214&gt;=75,"High",IF(L1214&gt;=55,"Medium","Low"))</x:f>
        <x:v>Low</x:v>
      </x:c>
    </x:row>
    <x:row r="1215">
      <x:c r="A1215" t="n">
        <x:v>1214</x:v>
      </x:c>
      <x:c r="B1215" t="n">
        <x:v>10083</x:v>
      </x:c>
      <x:c r="C1215" s="16" t="n">
        <x:v>46246</x:v>
      </x:c>
      <x:c r="D1215" t="str">
        <x:v>04:38:00</x:v>
      </x:c>
      <x:c r="E1215" t="str">
        <x:v>Card</x:v>
      </x:c>
      <x:c r="F1215" t="str">
        <x:v>Utilities</x:v>
      </x:c>
      <x:c r="G1215" s="18" t="n">
        <x:v>136.97</x:v>
      </x:c>
      <x:c r="H1215" t="n">
        <x:v>0</x:v>
      </x:c>
      <x:c r="I1215" t="n">
        <x:v>0</x:v>
      </x:c>
      <x:c r="J1215" t="n">
        <x:v>0</x:v>
      </x:c>
      <x:c r="K1215" t="n">
        <x:v>1</x:v>
      </x:c>
      <x:c r="L1215" t="n">
        <x:v>25</x:v>
      </x:c>
      <x:c r="M1215" t="n">
        <x:v>0</x:v>
      </x:c>
      <x:c r="N1215" t="str">
        <x:v>Approved</x:v>
      </x:c>
      <x:c r="O1215" t="n">
        <x:v>0</x:v>
      </x:c>
      <x:c r="P1215" t="str">
        <x:f>IF(L1215&gt;=75,"High",IF(L1215&gt;=55,"Medium","Low"))</x:f>
        <x:v>Low</x:v>
      </x:c>
    </x:row>
    <x:row r="1216">
      <x:c r="A1216" t="n">
        <x:v>1215</x:v>
      </x:c>
      <x:c r="B1216" t="n">
        <x:v>10118</x:v>
      </x:c>
      <x:c r="C1216" s="16" t="n">
        <x:v>46128</x:v>
      </x:c>
      <x:c r="D1216" t="str">
        <x:v>21:56:00</x:v>
      </x:c>
      <x:c r="E1216" t="str">
        <x:v>Card</x:v>
      </x:c>
      <x:c r="F1216" t="str">
        <x:v>Utilities</x:v>
      </x:c>
      <x:c r="G1216" s="18" t="n">
        <x:v>241.09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10</x:v>
      </x:c>
      <x:c r="M1216" t="n">
        <x:v>0</x:v>
      </x:c>
      <x:c r="N1216" t="str">
        <x:v>Approved</x:v>
      </x:c>
      <x:c r="O1216" t="n">
        <x:v>0</x:v>
      </x:c>
      <x:c r="P1216" t="str">
        <x:f>IF(L1216&gt;=75,"High",IF(L1216&gt;=55,"Medium","Low"))</x:f>
        <x:v>Low</x:v>
      </x:c>
    </x:row>
    <x:row r="1217">
      <x:c r="A1217" t="n">
        <x:v>1216</x:v>
      </x:c>
      <x:c r="B1217" t="n">
        <x:v>10136</x:v>
      </x:c>
      <x:c r="C1217" s="16" t="n">
        <x:v>46173</x:v>
      </x:c>
      <x:c r="D1217" t="str">
        <x:v>19:16:00</x:v>
      </x:c>
      <x:c r="E1217" t="str">
        <x:v>Bank Transfer</x:v>
      </x:c>
      <x:c r="F1217" t="str">
        <x:v>Dining</x:v>
      </x:c>
      <x:c r="G1217" s="18" t="n">
        <x:v>66.26</x:v>
      </x:c>
      <x:c r="H1217" t="n">
        <x:v>0</x:v>
      </x:c>
      <x:c r="I1217" t="n">
        <x:v>1</x:v>
      </x:c>
      <x:c r="J1217" t="n">
        <x:v>0</x:v>
      </x:c>
      <x:c r="K1217" t="n">
        <x:v>0</x:v>
      </x:c>
      <x:c r="L1217" t="n">
        <x:v>30</x:v>
      </x:c>
      <x:c r="M1217" t="n">
        <x:v>0</x:v>
      </x:c>
      <x:c r="N1217" t="str">
        <x:v>Approved</x:v>
      </x:c>
      <x:c r="O1217" t="n">
        <x:v>0</x:v>
      </x:c>
      <x:c r="P1217" t="str">
        <x:f>IF(L1217&gt;=75,"High",IF(L1217&gt;=55,"Medium","Low"))</x:f>
        <x:v>Low</x:v>
      </x:c>
    </x:row>
    <x:row r="1218">
      <x:c r="A1218" t="n">
        <x:v>1217</x:v>
      </x:c>
      <x:c r="B1218" t="n">
        <x:v>10019</x:v>
      </x:c>
      <x:c r="C1218" s="16" t="n">
        <x:v>46200</x:v>
      </x:c>
      <x:c r="D1218" t="str">
        <x:v>11:16:00</x:v>
      </x:c>
      <x:c r="E1218" t="str">
        <x:v>Card</x:v>
      </x:c>
      <x:c r="F1218" t="str">
        <x:v>Retail</x:v>
      </x:c>
      <x:c r="G1218" s="18" t="n">
        <x:v>469.52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10</x:v>
      </x:c>
      <x:c r="M1218" t="n">
        <x:v>0</x:v>
      </x:c>
      <x:c r="N1218" t="str">
        <x:v>Approved</x:v>
      </x:c>
      <x:c r="O1218" t="n">
        <x:v>0</x:v>
      </x:c>
      <x:c r="P1218" t="str">
        <x:f>IF(L1218&gt;=75,"High",IF(L1218&gt;=55,"Medium","Low"))</x:f>
        <x:v>Low</x:v>
      </x:c>
    </x:row>
    <x:row r="1219">
      <x:c r="A1219" t="n">
        <x:v>1218</x:v>
      </x:c>
      <x:c r="B1219" t="n">
        <x:v>10127</x:v>
      </x:c>
      <x:c r="C1219" s="16" t="n">
        <x:v>46253</x:v>
      </x:c>
      <x:c r="D1219" t="str">
        <x:v>13:37:00</x:v>
      </x:c>
      <x:c r="E1219" t="str">
        <x:v>Bank Transfer</x:v>
      </x:c>
      <x:c r="F1219" t="str">
        <x:v>Travel</x:v>
      </x:c>
      <x:c r="G1219" s="18" t="n">
        <x:v>196.14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10</x:v>
      </x:c>
      <x:c r="M1219" t="n">
        <x:v>0</x:v>
      </x:c>
      <x:c r="N1219" t="str">
        <x:v>Approved</x:v>
      </x:c>
      <x:c r="O1219" t="n">
        <x:v>0</x:v>
      </x:c>
      <x:c r="P1219" t="str">
        <x:f>IF(L1219&gt;=75,"High",IF(L1219&gt;=55,"Medium","Low"))</x:f>
        <x:v>Low</x:v>
      </x:c>
    </x:row>
    <x:row r="1220">
      <x:c r="A1220" t="n">
        <x:v>1219</x:v>
      </x:c>
      <x:c r="B1220" t="n">
        <x:v>10314</x:v>
      </x:c>
      <x:c r="C1220" s="16" t="n">
        <x:v>46255</x:v>
      </x:c>
      <x:c r="D1220" t="str">
        <x:v>20:33:00</x:v>
      </x:c>
      <x:c r="E1220" t="str">
        <x:v>Bank Transfer</x:v>
      </x:c>
      <x:c r="F1220" t="str">
        <x:v>Subscriptions</x:v>
      </x:c>
      <x:c r="G1220" s="18" t="n">
        <x:v>204.45</x:v>
      </x:c>
      <x:c r="H1220" t="n">
        <x:v>0</x:v>
      </x:c>
      <x:c r="I1220" t="n">
        <x:v>1</x:v>
      </x:c>
      <x:c r="J1220" t="n">
        <x:v>0</x:v>
      </x:c>
      <x:c r="K1220" t="n">
        <x:v>0</x:v>
      </x:c>
      <x:c r="L1220" t="n">
        <x:v>30</x:v>
      </x:c>
      <x:c r="M1220" t="n">
        <x:v>0</x:v>
      </x:c>
      <x:c r="N1220" t="str">
        <x:v>Approved</x:v>
      </x:c>
      <x:c r="O1220" t="n">
        <x:v>0</x:v>
      </x:c>
      <x:c r="P1220" t="str">
        <x:f>IF(L1220&gt;=75,"High",IF(L1220&gt;=55,"Medium","Low"))</x:f>
        <x:v>Low</x:v>
      </x:c>
    </x:row>
    <x:row r="1221">
      <x:c r="A1221" t="n">
        <x:v>1220</x:v>
      </x:c>
      <x:c r="B1221" t="n">
        <x:v>10006</x:v>
      </x:c>
      <x:c r="C1221" s="16" t="n">
        <x:v>46186</x:v>
      </x:c>
      <x:c r="D1221" t="str">
        <x:v>16:31:00</x:v>
      </x:c>
      <x:c r="E1221" t="str">
        <x:v>Bank Transfer</x:v>
      </x:c>
      <x:c r="F1221" t="str">
        <x:v>Electronics</x:v>
      </x:c>
      <x:c r="G1221" s="18" t="n">
        <x:v>52.78</x:v>
      </x:c>
      <x:c r="H1221" t="n">
        <x:v>0</x:v>
      </x:c>
      <x:c r="I1221" t="n">
        <x:v>0</x:v>
      </x:c>
      <x:c r="J1221" t="n">
        <x:v>0</x:v>
      </x:c>
      <x:c r="K1221" t="n">
        <x:v>0</x:v>
      </x:c>
      <x:c r="L1221" t="n">
        <x:v>10</x:v>
      </x:c>
      <x:c r="M1221" t="n">
        <x:v>0</x:v>
      </x:c>
      <x:c r="N1221" t="str">
        <x:v>Declined</x:v>
      </x:c>
      <x:c r="O1221" t="n">
        <x:v>0</x:v>
      </x:c>
      <x:c r="P1221" t="str">
        <x:f>IF(L1221&gt;=75,"High",IF(L1221&gt;=55,"Medium","Low"))</x:f>
        <x:v>Low</x:v>
      </x:c>
    </x:row>
    <x:row r="1222">
      <x:c r="A1222" t="n">
        <x:v>1221</x:v>
      </x:c>
      <x:c r="B1222" t="n">
        <x:v>10033</x:v>
      </x:c>
      <x:c r="C1222" s="16" t="n">
        <x:v>46244</x:v>
      </x:c>
      <x:c r="D1222" t="str">
        <x:v>09:24:00</x:v>
      </x:c>
      <x:c r="E1222" t="str">
        <x:v>Card</x:v>
      </x:c>
      <x:c r="F1222" t="str">
        <x:v>Travel</x:v>
      </x:c>
      <x:c r="G1222" s="18" t="n">
        <x:v>107.19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10</x:v>
      </x:c>
      <x:c r="M1222" t="n">
        <x:v>0</x:v>
      </x:c>
      <x:c r="N1222" t="str">
        <x:v>Approved</x:v>
      </x:c>
      <x:c r="O1222" t="n">
        <x:v>0</x:v>
      </x:c>
      <x:c r="P1222" t="str">
        <x:f>IF(L1222&gt;=75,"High",IF(L1222&gt;=55,"Medium","Low"))</x:f>
        <x:v>Low</x:v>
      </x:c>
    </x:row>
    <x:row r="1223">
      <x:c r="A1223" t="n">
        <x:v>1222</x:v>
      </x:c>
      <x:c r="B1223" t="n">
        <x:v>10069</x:v>
      </x:c>
      <x:c r="C1223" s="16" t="n">
        <x:v>46175</x:v>
      </x:c>
      <x:c r="D1223" t="str">
        <x:v>22:09:00</x:v>
      </x:c>
      <x:c r="E1223" t="str">
        <x:v>Bank Transfer</x:v>
      </x:c>
      <x:c r="F1223" t="str">
        <x:v>Transfer</x:v>
      </x:c>
      <x:c r="G1223" s="18" t="n">
        <x:v>27.52</x:v>
      </x:c>
      <x:c r="H1223" t="n">
        <x:v>1</x:v>
      </x:c>
      <x:c r="I1223" t="n">
        <x:v>0</x:v>
      </x:c>
      <x:c r="J1223" t="n">
        <x:v>0</x:v>
      </x:c>
      <x:c r="K1223" t="n">
        <x:v>0</x:v>
      </x:c>
      <x:c r="L1223" t="n">
        <x:v>36</x:v>
      </x:c>
      <x:c r="M1223" t="n">
        <x:v>0</x:v>
      </x:c>
      <x:c r="N1223" t="str">
        <x:v>Declined</x:v>
      </x:c>
      <x:c r="O1223" t="n">
        <x:v>0</x:v>
      </x:c>
      <x:c r="P1223" t="str">
        <x:f>IF(L1223&gt;=75,"High",IF(L1223&gt;=55,"Medium","Low"))</x:f>
        <x:v>Low</x:v>
      </x:c>
    </x:row>
    <x:row r="1224">
      <x:c r="A1224" t="n">
        <x:v>1223</x:v>
      </x:c>
      <x:c r="B1224" t="n">
        <x:v>10019</x:v>
      </x:c>
      <x:c r="C1224" s="16" t="n">
        <x:v>46148</x:v>
      </x:c>
      <x:c r="D1224" t="str">
        <x:v>03:20:00</x:v>
      </x:c>
      <x:c r="E1224" t="str">
        <x:v>Card</x:v>
      </x:c>
      <x:c r="F1224" t="str">
        <x:v>Subscriptions</x:v>
      </x:c>
      <x:c r="G1224" s="18" t="n">
        <x:v>52.65</x:v>
      </x:c>
      <x:c r="H1224" t="n">
        <x:v>1</x:v>
      </x:c>
      <x:c r="I1224" t="n">
        <x:v>0</x:v>
      </x:c>
      <x:c r="J1224" t="n">
        <x:v>0</x:v>
      </x:c>
      <x:c r="K1224" t="n">
        <x:v>1</x:v>
      </x:c>
      <x:c r="L1224" t="n">
        <x:v>51</x:v>
      </x:c>
      <x:c r="M1224" t="n">
        <x:v>0</x:v>
      </x:c>
      <x:c r="N1224" t="str">
        <x:v>Approved</x:v>
      </x:c>
      <x:c r="O1224" t="n">
        <x:v>0</x:v>
      </x:c>
      <x:c r="P1224" t="str">
        <x:f>IF(L1224&gt;=75,"High",IF(L1224&gt;=55,"Medium","Low"))</x:f>
        <x:v>Low</x:v>
      </x:c>
    </x:row>
    <x:row r="1225">
      <x:c r="A1225" t="n">
        <x:v>1224</x:v>
      </x:c>
      <x:c r="B1225" t="n">
        <x:v>10220</x:v>
      </x:c>
      <x:c r="C1225" s="16" t="n">
        <x:v>46171</x:v>
      </x:c>
      <x:c r="D1225" t="str">
        <x:v>17:33:00</x:v>
      </x:c>
      <x:c r="E1225" t="str">
        <x:v>Card</x:v>
      </x:c>
      <x:c r="F1225" t="str">
        <x:v>Subscriptions</x:v>
      </x:c>
      <x:c r="G1225" s="18" t="n">
        <x:v>140.1</x:v>
      </x:c>
      <x:c r="H1225" t="n">
        <x:v>1</x:v>
      </x:c>
      <x:c r="I1225" t="n">
        <x:v>1</x:v>
      </x:c>
      <x:c r="J1225" t="n">
        <x:v>0</x:v>
      </x:c>
      <x:c r="K1225" t="n">
        <x:v>0</x:v>
      </x:c>
      <x:c r="L1225" t="n">
        <x:v>56</x:v>
      </x:c>
      <x:c r="M1225" t="n">
        <x:v>1</x:v>
      </x:c>
      <x:c r="N1225" t="str">
        <x:v>Approved</x:v>
      </x:c>
      <x:c r="O1225" t="n">
        <x:v>1</x:v>
      </x:c>
      <x:c r="P1225" t="str">
        <x:f>IF(L1225&gt;=75,"High",IF(L1225&gt;=55,"Medium","Low"))</x:f>
        <x:v>Medium</x:v>
      </x:c>
    </x:row>
    <x:row r="1226">
      <x:c r="A1226" t="n">
        <x:v>1225</x:v>
      </x:c>
      <x:c r="B1226" t="n">
        <x:v>10162</x:v>
      </x:c>
      <x:c r="C1226" s="16" t="n">
        <x:v>46196</x:v>
      </x:c>
      <x:c r="D1226" t="str">
        <x:v>11:55:00</x:v>
      </x:c>
      <x:c r="E1226" t="str">
        <x:v>Card</x:v>
      </x:c>
      <x:c r="F1226" t="str">
        <x:v>Transfer</x:v>
      </x:c>
      <x:c r="G1226" s="18" t="n">
        <x:v>22.52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10</x:v>
      </x:c>
      <x:c r="M1226" t="n">
        <x:v>0</x:v>
      </x:c>
      <x:c r="N1226" t="str">
        <x:v>Approved</x:v>
      </x:c>
      <x:c r="O1226" t="n">
        <x:v>0</x:v>
      </x:c>
      <x:c r="P1226" t="str">
        <x:f>IF(L1226&gt;=75,"High",IF(L1226&gt;=55,"Medium","Low"))</x:f>
        <x:v>Low</x:v>
      </x:c>
    </x:row>
    <x:row r="1227">
      <x:c r="A1227" t="n">
        <x:v>1226</x:v>
      </x:c>
      <x:c r="B1227" t="n">
        <x:v>10247</x:v>
      </x:c>
      <x:c r="C1227" s="16" t="n">
        <x:v>46264</x:v>
      </x:c>
      <x:c r="D1227" t="str">
        <x:v>17:18:00</x:v>
      </x:c>
      <x:c r="E1227" t="str">
        <x:v>Card</x:v>
      </x:c>
      <x:c r="F1227" t="str">
        <x:v>Travel</x:v>
      </x:c>
      <x:c r="G1227" s="18" t="n">
        <x:v>41.17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10</x:v>
      </x:c>
      <x:c r="M1227" t="n">
        <x:v>0</x:v>
      </x:c>
      <x:c r="N1227" t="str">
        <x:v>Approved</x:v>
      </x:c>
      <x:c r="O1227" t="n">
        <x:v>0</x:v>
      </x:c>
      <x:c r="P1227" t="str">
        <x:f>IF(L1227&gt;=75,"High",IF(L1227&gt;=55,"Medium","Low"))</x:f>
        <x:v>Low</x:v>
      </x:c>
    </x:row>
    <x:row r="1228">
      <x:c r="A1228" t="n">
        <x:v>1227</x:v>
      </x:c>
      <x:c r="B1228" t="n">
        <x:v>10297</x:v>
      </x:c>
      <x:c r="C1228" s="16" t="n">
        <x:v>46167</x:v>
      </x:c>
      <x:c r="D1228" t="str">
        <x:v>06:02:00</x:v>
      </x:c>
      <x:c r="E1228" t="str">
        <x:v>Card</x:v>
      </x:c>
      <x:c r="F1228" t="str">
        <x:v>Utilities</x:v>
      </x:c>
      <x:c r="G1228" s="18" t="n">
        <x:v>393.41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10</x:v>
      </x:c>
      <x:c r="M1228" t="n">
        <x:v>0</x:v>
      </x:c>
      <x:c r="N1228" t="str">
        <x:v>Approved</x:v>
      </x:c>
      <x:c r="O1228" t="n">
        <x:v>0</x:v>
      </x:c>
      <x:c r="P1228" t="str">
        <x:f>IF(L1228&gt;=75,"High",IF(L1228&gt;=55,"Medium","Low"))</x:f>
        <x:v>Low</x:v>
      </x:c>
    </x:row>
    <x:row r="1229">
      <x:c r="A1229" t="n">
        <x:v>1228</x:v>
      </x:c>
      <x:c r="B1229" t="n">
        <x:v>10239</x:v>
      </x:c>
      <x:c r="C1229" s="16" t="n">
        <x:v>46241</x:v>
      </x:c>
      <x:c r="D1229" t="str">
        <x:v>23:01:00</x:v>
      </x:c>
      <x:c r="E1229" t="str">
        <x:v>Bank Transfer</x:v>
      </x:c>
      <x:c r="F1229" t="str">
        <x:v>Retail</x:v>
      </x:c>
      <x:c r="G1229" s="18" t="n">
        <x:v>98.21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10</x:v>
      </x:c>
      <x:c r="M1229" t="n">
        <x:v>0</x:v>
      </x:c>
      <x:c r="N1229" t="str">
        <x:v>Approved</x:v>
      </x:c>
      <x:c r="O1229" t="n">
        <x:v>0</x:v>
      </x:c>
      <x:c r="P1229" t="str">
        <x:f>IF(L1229&gt;=75,"High",IF(L1229&gt;=55,"Medium","Low"))</x:f>
        <x:v>Low</x:v>
      </x:c>
    </x:row>
    <x:row r="1230">
      <x:c r="A1230" t="n">
        <x:v>1229</x:v>
      </x:c>
      <x:c r="B1230" t="n">
        <x:v>10107</x:v>
      </x:c>
      <x:c r="C1230" s="16" t="n">
        <x:v>46279</x:v>
      </x:c>
      <x:c r="D1230" t="str">
        <x:v>19:42:00</x:v>
      </x:c>
      <x:c r="E1230" t="str">
        <x:v>Card</x:v>
      </x:c>
      <x:c r="F1230" t="str">
        <x:v>Travel</x:v>
      </x:c>
      <x:c r="G1230" s="18" t="n">
        <x:v>78.28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10</x:v>
      </x:c>
      <x:c r="M1230" t="n">
        <x:v>0</x:v>
      </x:c>
      <x:c r="N1230" t="str">
        <x:v>Approved</x:v>
      </x:c>
      <x:c r="O1230" t="n">
        <x:v>0</x:v>
      </x:c>
      <x:c r="P1230" t="str">
        <x:f>IF(L1230&gt;=75,"High",IF(L1230&gt;=55,"Medium","Low"))</x:f>
        <x:v>Low</x:v>
      </x:c>
    </x:row>
    <x:row r="1231">
      <x:c r="A1231" t="n">
        <x:v>1230</x:v>
      </x:c>
      <x:c r="B1231" t="n">
        <x:v>10041</x:v>
      </x:c>
      <x:c r="C1231" s="16" t="n">
        <x:v>46269</x:v>
      </x:c>
      <x:c r="D1231" t="str">
        <x:v>18:28:00</x:v>
      </x:c>
      <x:c r="E1231" t="str">
        <x:v>Bank Transfer</x:v>
      </x:c>
      <x:c r="F1231" t="str">
        <x:v>Dining</x:v>
      </x:c>
      <x:c r="G1231" s="18" t="n">
        <x:v>33.61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10</x:v>
      </x:c>
      <x:c r="M1231" t="n">
        <x:v>0</x:v>
      </x:c>
      <x:c r="N1231" t="str">
        <x:v>Approved</x:v>
      </x:c>
      <x:c r="O1231" t="n">
        <x:v>0</x:v>
      </x:c>
      <x:c r="P1231" t="str">
        <x:f>IF(L1231&gt;=75,"High",IF(L1231&gt;=55,"Medium","Low"))</x:f>
        <x:v>Low</x:v>
      </x:c>
    </x:row>
    <x:row r="1232">
      <x:c r="A1232" t="n">
        <x:v>1231</x:v>
      </x:c>
      <x:c r="B1232" t="n">
        <x:v>10112</x:v>
      </x:c>
      <x:c r="C1232" s="16" t="n">
        <x:v>46195</x:v>
      </x:c>
      <x:c r="D1232" t="str">
        <x:v>10:24:00</x:v>
      </x:c>
      <x:c r="E1232" t="str">
        <x:v>Card</x:v>
      </x:c>
      <x:c r="F1232" t="str">
        <x:v>Subscriptions</x:v>
      </x:c>
      <x:c r="G1232" s="18" t="n">
        <x:v>33.92</x:v>
      </x:c>
      <x:c r="H1232" t="n">
        <x:v>1</x:v>
      </x:c>
      <x:c r="I1232" t="n">
        <x:v>0</x:v>
      </x:c>
      <x:c r="J1232" t="n">
        <x:v>0</x:v>
      </x:c>
      <x:c r="K1232" t="n">
        <x:v>0</x:v>
      </x:c>
      <x:c r="L1232" t="n">
        <x:v>36</x:v>
      </x:c>
      <x:c r="M1232" t="n">
        <x:v>0</x:v>
      </x:c>
      <x:c r="N1232" t="str">
        <x:v>Approved</x:v>
      </x:c>
      <x:c r="O1232" t="n">
        <x:v>0</x:v>
      </x:c>
      <x:c r="P1232" t="str">
        <x:f>IF(L1232&gt;=75,"High",IF(L1232&gt;=55,"Medium","Low"))</x:f>
        <x:v>Low</x:v>
      </x:c>
    </x:row>
    <x:row r="1233">
      <x:c r="A1233" t="n">
        <x:v>1232</x:v>
      </x:c>
      <x:c r="B1233" t="n">
        <x:v>10184</x:v>
      </x:c>
      <x:c r="C1233" s="16" t="n">
        <x:v>46220</x:v>
      </x:c>
      <x:c r="D1233" t="str">
        <x:v>10:19:00</x:v>
      </x:c>
      <x:c r="E1233" t="str">
        <x:v>Card</x:v>
      </x:c>
      <x:c r="F1233" t="str">
        <x:v>Utilities</x:v>
      </x:c>
      <x:c r="G1233" s="18" t="n">
        <x:v>235.75</x:v>
      </x:c>
      <x:c r="H1233" t="n">
        <x:v>0</x:v>
      </x:c>
      <x:c r="I1233" t="n">
        <x:v>0</x:v>
      </x:c>
      <x:c r="J1233" t="n">
        <x:v>0</x:v>
      </x:c>
      <x:c r="K1233" t="n">
        <x:v>0</x:v>
      </x:c>
      <x:c r="L1233" t="n">
        <x:v>10</x:v>
      </x:c>
      <x:c r="M1233" t="n">
        <x:v>0</x:v>
      </x:c>
      <x:c r="N1233" t="str">
        <x:v>Approved</x:v>
      </x:c>
      <x:c r="O1233" t="n">
        <x:v>0</x:v>
      </x:c>
      <x:c r="P1233" t="str">
        <x:f>IF(L1233&gt;=75,"High",IF(L1233&gt;=55,"Medium","Low"))</x:f>
        <x:v>Low</x:v>
      </x:c>
    </x:row>
    <x:row r="1234">
      <x:c r="A1234" t="n">
        <x:v>1233</x:v>
      </x:c>
      <x:c r="B1234" t="n">
        <x:v>10263</x:v>
      </x:c>
      <x:c r="C1234" s="16" t="n">
        <x:v>46281</x:v>
      </x:c>
      <x:c r="D1234" t="str">
        <x:v>21:16:00</x:v>
      </x:c>
      <x:c r="E1234" t="str">
        <x:v>Bank Transfer</x:v>
      </x:c>
      <x:c r="F1234" t="str">
        <x:v>Travel</x:v>
      </x:c>
      <x:c r="G1234" s="18" t="n">
        <x:v>1092.01</x:v>
      </x:c>
      <x:c r="H1234" t="n">
        <x:v>1</x:v>
      </x:c>
      <x:c r="I1234" t="n">
        <x:v>0</x:v>
      </x:c>
      <x:c r="J1234" t="n">
        <x:v>1</x:v>
      </x:c>
      <x:c r="K1234" t="n">
        <x:v>0</x:v>
      </x:c>
      <x:c r="L1234" t="n">
        <x:v>70</x:v>
      </x:c>
      <x:c r="M1234" t="n">
        <x:v>1</x:v>
      </x:c>
      <x:c r="N1234" t="str">
        <x:v>Approved</x:v>
      </x:c>
      <x:c r="O1234" t="n">
        <x:v>0</x:v>
      </x:c>
      <x:c r="P1234" t="str">
        <x:f>IF(L1234&gt;=75,"High",IF(L1234&gt;=55,"Medium","Low"))</x:f>
        <x:v>Medium</x:v>
      </x:c>
    </x:row>
    <x:row r="1235">
      <x:c r="A1235" t="n">
        <x:v>1234</x:v>
      </x:c>
      <x:c r="B1235" t="n">
        <x:v>10328</x:v>
      </x:c>
      <x:c r="C1235" s="16" t="n">
        <x:v>46191</x:v>
      </x:c>
      <x:c r="D1235" t="str">
        <x:v>12:33:00</x:v>
      </x:c>
      <x:c r="E1235" t="str">
        <x:v>Bank Transfer</x:v>
      </x:c>
      <x:c r="F1235" t="str">
        <x:v>Utilities</x:v>
      </x:c>
      <x:c r="G1235" s="18" t="n">
        <x:v>32.87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10</x:v>
      </x:c>
      <x:c r="M1235" t="n">
        <x:v>0</x:v>
      </x:c>
      <x:c r="N1235" t="str">
        <x:v>Approved</x:v>
      </x:c>
      <x:c r="O1235" t="n">
        <x:v>0</x:v>
      </x:c>
      <x:c r="P1235" t="str">
        <x:f>IF(L1235&gt;=75,"High",IF(L1235&gt;=55,"Medium","Low"))</x:f>
        <x:v>Low</x:v>
      </x:c>
    </x:row>
    <x:row r="1236">
      <x:c r="A1236" t="n">
        <x:v>1235</x:v>
      </x:c>
      <x:c r="B1236" t="n">
        <x:v>10038</x:v>
      </x:c>
      <x:c r="C1236" s="16" t="n">
        <x:v>46245</x:v>
      </x:c>
      <x:c r="D1236" t="str">
        <x:v>04:03:00</x:v>
      </x:c>
      <x:c r="E1236" t="str">
        <x:v>Card</x:v>
      </x:c>
      <x:c r="F1236" t="str">
        <x:v>Dining</x:v>
      </x:c>
      <x:c r="G1236" s="18" t="n">
        <x:v>77.22</x:v>
      </x:c>
      <x:c r="H1236" t="n">
        <x:v>0</x:v>
      </x:c>
      <x:c r="I1236" t="n">
        <x:v>0</x:v>
      </x:c>
      <x:c r="J1236" t="n">
        <x:v>0</x:v>
      </x:c>
      <x:c r="K1236" t="n">
        <x:v>1</x:v>
      </x:c>
      <x:c r="L1236" t="n">
        <x:v>25</x:v>
      </x:c>
      <x:c r="M1236" t="n">
        <x:v>0</x:v>
      </x:c>
      <x:c r="N1236" t="str">
        <x:v>Declined</x:v>
      </x:c>
      <x:c r="O1236" t="n">
        <x:v>0</x:v>
      </x:c>
      <x:c r="P1236" t="str">
        <x:f>IF(L1236&gt;=75,"High",IF(L1236&gt;=55,"Medium","Low"))</x:f>
        <x:v>Low</x:v>
      </x:c>
    </x:row>
    <x:row r="1237">
      <x:c r="A1237" t="n">
        <x:v>1236</x:v>
      </x:c>
      <x:c r="B1237" t="n">
        <x:v>10102</x:v>
      </x:c>
      <x:c r="C1237" s="16" t="n">
        <x:v>46233</x:v>
      </x:c>
      <x:c r="D1237" t="str">
        <x:v>20:41:00</x:v>
      </x:c>
      <x:c r="E1237" t="str">
        <x:v>P2P</x:v>
      </x:c>
      <x:c r="F1237" t="str">
        <x:v>Dining</x:v>
      </x:c>
      <x:c r="G1237" s="18" t="n">
        <x:v>32.94</x:v>
      </x:c>
      <x:c r="H1237" t="n">
        <x:v>0</x:v>
      </x:c>
      <x:c r="I1237" t="n">
        <x:v>0</x:v>
      </x:c>
      <x:c r="J1237" t="n">
        <x:v>0</x:v>
      </x:c>
      <x:c r="K1237" t="n">
        <x:v>0</x:v>
      </x:c>
      <x:c r="L1237" t="n">
        <x:v>10</x:v>
      </x:c>
      <x:c r="M1237" t="n">
        <x:v>0</x:v>
      </x:c>
      <x:c r="N1237" t="str">
        <x:v>Approved</x:v>
      </x:c>
      <x:c r="O1237" t="n">
        <x:v>0</x:v>
      </x:c>
      <x:c r="P1237" t="str">
        <x:f>IF(L1237&gt;=75,"High",IF(L1237&gt;=55,"Medium","Low"))</x:f>
        <x:v>Low</x:v>
      </x:c>
    </x:row>
    <x:row r="1238">
      <x:c r="A1238" t="n">
        <x:v>1237</x:v>
      </x:c>
      <x:c r="B1238" t="n">
        <x:v>10114</x:v>
      </x:c>
      <x:c r="C1238" s="16" t="n">
        <x:v>46125</x:v>
      </x:c>
      <x:c r="D1238" t="str">
        <x:v>11:31:00</x:v>
      </x:c>
      <x:c r="E1238" t="str">
        <x:v>Card</x:v>
      </x:c>
      <x:c r="F1238" t="str">
        <x:v>Subscriptions</x:v>
      </x:c>
      <x:c r="G1238" s="18" t="n">
        <x:v>120.72</x:v>
      </x:c>
      <x:c r="H1238" t="n">
        <x:v>1</x:v>
      </x:c>
      <x:c r="I1238" t="n">
        <x:v>0</x:v>
      </x:c>
      <x:c r="J1238" t="n">
        <x:v>0</x:v>
      </x:c>
      <x:c r="K1238" t="n">
        <x:v>0</x:v>
      </x:c>
      <x:c r="L1238" t="n">
        <x:v>36</x:v>
      </x:c>
      <x:c r="M1238" t="n">
        <x:v>0</x:v>
      </x:c>
      <x:c r="N1238" t="str">
        <x:v>Approved</x:v>
      </x:c>
      <x:c r="O1238" t="n">
        <x:v>0</x:v>
      </x:c>
      <x:c r="P1238" t="str">
        <x:f>IF(L1238&gt;=75,"High",IF(L1238&gt;=55,"Medium","Low"))</x:f>
        <x:v>Low</x:v>
      </x:c>
    </x:row>
    <x:row r="1239">
      <x:c r="A1239" t="n">
        <x:v>1238</x:v>
      </x:c>
      <x:c r="B1239" t="n">
        <x:v>10257</x:v>
      </x:c>
      <x:c r="C1239" s="16" t="n">
        <x:v>46144</x:v>
      </x:c>
      <x:c r="D1239" t="str">
        <x:v>17:30:00</x:v>
      </x:c>
      <x:c r="E1239" t="str">
        <x:v>Card</x:v>
      </x:c>
      <x:c r="F1239" t="str">
        <x:v>Electronics</x:v>
      </x:c>
      <x:c r="G1239" s="18" t="n">
        <x:v>60.02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10</x:v>
      </x:c>
      <x:c r="M1239" t="n">
        <x:v>0</x:v>
      </x:c>
      <x:c r="N1239" t="str">
        <x:v>Approved</x:v>
      </x:c>
      <x:c r="O1239" t="n">
        <x:v>0</x:v>
      </x:c>
      <x:c r="P1239" t="str">
        <x:f>IF(L1239&gt;=75,"High",IF(L1239&gt;=55,"Medium","Low"))</x:f>
        <x:v>Low</x:v>
      </x:c>
    </x:row>
    <x:row r="1240">
      <x:c r="A1240" t="n">
        <x:v>1239</x:v>
      </x:c>
      <x:c r="B1240" t="n">
        <x:v>10234</x:v>
      </x:c>
      <x:c r="C1240" s="16" t="n">
        <x:v>46141</x:v>
      </x:c>
      <x:c r="D1240" t="str">
        <x:v>20:25:00</x:v>
      </x:c>
      <x:c r="E1240" t="str">
        <x:v>Card</x:v>
      </x:c>
      <x:c r="F1240" t="str">
        <x:v>Transfer</x:v>
      </x:c>
      <x:c r="G1240" s="18" t="n">
        <x:v>470.52</x:v>
      </x:c>
      <x:c r="H1240" t="n">
        <x:v>0</x:v>
      </x:c>
      <x:c r="I1240" t="n">
        <x:v>0</x:v>
      </x:c>
      <x:c r="J1240" t="n">
        <x:v>0</x:v>
      </x:c>
      <x:c r="K1240" t="n">
        <x:v>0</x:v>
      </x:c>
      <x:c r="L1240" t="n">
        <x:v>10</x:v>
      </x:c>
      <x:c r="M1240" t="n">
        <x:v>0</x:v>
      </x:c>
      <x:c r="N1240" t="str">
        <x:v>Approved</x:v>
      </x:c>
      <x:c r="O1240" t="n">
        <x:v>0</x:v>
      </x:c>
      <x:c r="P1240" t="str">
        <x:f>IF(L1240&gt;=75,"High",IF(L1240&gt;=55,"Medium","Low"))</x:f>
        <x:v>Low</x:v>
      </x:c>
    </x:row>
    <x:row r="1241">
      <x:c r="A1241" t="n">
        <x:v>1240</x:v>
      </x:c>
      <x:c r="B1241" t="n">
        <x:v>10101</x:v>
      </x:c>
      <x:c r="C1241" s="16" t="n">
        <x:v>46213</x:v>
      </x:c>
      <x:c r="D1241" t="str">
        <x:v>09:36:00</x:v>
      </x:c>
      <x:c r="E1241" t="str">
        <x:v>Card</x:v>
      </x:c>
      <x:c r="F1241" t="str">
        <x:v>Retail</x:v>
      </x:c>
      <x:c r="G1241" s="18" t="n">
        <x:v>28.34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10</x:v>
      </x:c>
      <x:c r="M1241" t="n">
        <x:v>0</x:v>
      </x:c>
      <x:c r="N1241" t="str">
        <x:v>Approved</x:v>
      </x:c>
      <x:c r="O1241" t="n">
        <x:v>0</x:v>
      </x:c>
      <x:c r="P1241" t="str">
        <x:f>IF(L1241&gt;=75,"High",IF(L1241&gt;=55,"Medium","Low"))</x:f>
        <x:v>Low</x:v>
      </x:c>
    </x:row>
    <x:row r="1242">
      <x:c r="A1242" t="n">
        <x:v>1241</x:v>
      </x:c>
      <x:c r="B1242" t="n">
        <x:v>10171</x:v>
      </x:c>
      <x:c r="C1242" s="16" t="n">
        <x:v>46184</x:v>
      </x:c>
      <x:c r="D1242" t="str">
        <x:v>23:37:00</x:v>
      </x:c>
      <x:c r="E1242" t="str">
        <x:v>P2P</x:v>
      </x:c>
      <x:c r="F1242" t="str">
        <x:v>Subscriptions</x:v>
      </x:c>
      <x:c r="G1242" s="18" t="n">
        <x:v>39.03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10</x:v>
      </x:c>
      <x:c r="M1242" t="n">
        <x:v>0</x:v>
      </x:c>
      <x:c r="N1242" t="str">
        <x:v>Approved</x:v>
      </x:c>
      <x:c r="O1242" t="n">
        <x:v>0</x:v>
      </x:c>
      <x:c r="P1242" t="str">
        <x:f>IF(L1242&gt;=75,"High",IF(L1242&gt;=55,"Medium","Low"))</x:f>
        <x:v>Low</x:v>
      </x:c>
    </x:row>
    <x:row r="1243">
      <x:c r="A1243" t="n">
        <x:v>1242</x:v>
      </x:c>
      <x:c r="B1243" t="n">
        <x:v>10333</x:v>
      </x:c>
      <x:c r="C1243" s="16" t="n">
        <x:v>46217</x:v>
      </x:c>
      <x:c r="D1243" t="str">
        <x:v>01:19:00</x:v>
      </x:c>
      <x:c r="E1243" t="str">
        <x:v>Card</x:v>
      </x:c>
      <x:c r="F1243" t="str">
        <x:v>Electronics</x:v>
      </x:c>
      <x:c r="G1243" s="18" t="n">
        <x:v>94.51</x:v>
      </x:c>
      <x:c r="H1243" t="n">
        <x:v>0</x:v>
      </x:c>
      <x:c r="I1243" t="n">
        <x:v>1</x:v>
      </x:c>
      <x:c r="J1243" t="n">
        <x:v>0</x:v>
      </x:c>
      <x:c r="K1243" t="n">
        <x:v>1</x:v>
      </x:c>
      <x:c r="L1243" t="n">
        <x:v>45</x:v>
      </x:c>
      <x:c r="M1243" t="n">
        <x:v>0</x:v>
      </x:c>
      <x:c r="N1243" t="str">
        <x:v>Approved</x:v>
      </x:c>
      <x:c r="O1243" t="n">
        <x:v>0</x:v>
      </x:c>
      <x:c r="P1243" t="str">
        <x:f>IF(L1243&gt;=75,"High",IF(L1243&gt;=55,"Medium","Low"))</x:f>
        <x:v>Low</x:v>
      </x:c>
    </x:row>
    <x:row r="1244">
      <x:c r="A1244" t="n">
        <x:v>1243</x:v>
      </x:c>
      <x:c r="B1244" t="n">
        <x:v>10340</x:v>
      </x:c>
      <x:c r="C1244" s="16" t="n">
        <x:v>46196</x:v>
      </x:c>
      <x:c r="D1244" t="str">
        <x:v>17:06:00</x:v>
      </x:c>
      <x:c r="E1244" t="str">
        <x:v>Card</x:v>
      </x:c>
      <x:c r="F1244" t="str">
        <x:v>Utilities</x:v>
      </x:c>
      <x:c r="G1244" s="18" t="n">
        <x:v>30.86</x:v>
      </x:c>
      <x:c r="H1244" t="n">
        <x:v>1</x:v>
      </x:c>
      <x:c r="I1244" t="n">
        <x:v>1</x:v>
      </x:c>
      <x:c r="J1244" t="n">
        <x:v>0</x:v>
      </x:c>
      <x:c r="K1244" t="n">
        <x:v>0</x:v>
      </x:c>
      <x:c r="L1244" t="n">
        <x:v>56</x:v>
      </x:c>
      <x:c r="M1244" t="n">
        <x:v>1</x:v>
      </x:c>
      <x:c r="N1244" t="str">
        <x:v>Declined</x:v>
      </x:c>
      <x:c r="O1244" t="n">
        <x:v>0</x:v>
      </x:c>
      <x:c r="P1244" t="str">
        <x:f>IF(L1244&gt;=75,"High",IF(L1244&gt;=55,"Medium","Low"))</x:f>
        <x:v>Medium</x:v>
      </x:c>
    </x:row>
    <x:row r="1245">
      <x:c r="A1245" t="n">
        <x:v>1244</x:v>
      </x:c>
      <x:c r="B1245" t="n">
        <x:v>10068</x:v>
      </x:c>
      <x:c r="C1245" s="16" t="n">
        <x:v>46166</x:v>
      </x:c>
      <x:c r="D1245" t="str">
        <x:v>02:35:00</x:v>
      </x:c>
      <x:c r="E1245" t="str">
        <x:v>Card</x:v>
      </x:c>
      <x:c r="F1245" t="str">
        <x:v>Transfer</x:v>
      </x:c>
      <x:c r="G1245" s="18" t="n">
        <x:v>45.62</x:v>
      </x:c>
      <x:c r="H1245" t="n">
        <x:v>0</x:v>
      </x:c>
      <x:c r="I1245" t="n">
        <x:v>1</x:v>
      </x:c>
      <x:c r="J1245" t="n">
        <x:v>0</x:v>
      </x:c>
      <x:c r="K1245" t="n">
        <x:v>1</x:v>
      </x:c>
      <x:c r="L1245" t="n">
        <x:v>45</x:v>
      </x:c>
      <x:c r="M1245" t="n">
        <x:v>0</x:v>
      </x:c>
      <x:c r="N1245" t="str">
        <x:v>Approved</x:v>
      </x:c>
      <x:c r="O1245" t="n">
        <x:v>0</x:v>
      </x:c>
      <x:c r="P1245" t="str">
        <x:f>IF(L1245&gt;=75,"High",IF(L1245&gt;=55,"Medium","Low"))</x:f>
        <x:v>Low</x:v>
      </x:c>
    </x:row>
    <x:row r="1246">
      <x:c r="A1246" t="n">
        <x:v>1245</x:v>
      </x:c>
      <x:c r="B1246" t="n">
        <x:v>10179</x:v>
      </x:c>
      <x:c r="C1246" s="16" t="n">
        <x:v>46200</x:v>
      </x:c>
      <x:c r="D1246" t="str">
        <x:v>02:48:00</x:v>
      </x:c>
      <x:c r="E1246" t="str">
        <x:v>Card</x:v>
      </x:c>
      <x:c r="F1246" t="str">
        <x:v>Transfer</x:v>
      </x:c>
      <x:c r="G1246" s="18" t="n">
        <x:v>49.78</x:v>
      </x:c>
      <x:c r="H1246" t="n">
        <x:v>0</x:v>
      </x:c>
      <x:c r="I1246" t="n">
        <x:v>0</x:v>
      </x:c>
      <x:c r="J1246" t="n">
        <x:v>0</x:v>
      </x:c>
      <x:c r="K1246" t="n">
        <x:v>1</x:v>
      </x:c>
      <x:c r="L1246" t="n">
        <x:v>25</x:v>
      </x:c>
      <x:c r="M1246" t="n">
        <x:v>0</x:v>
      </x:c>
      <x:c r="N1246" t="str">
        <x:v>Approved</x:v>
      </x:c>
      <x:c r="O1246" t="n">
        <x:v>0</x:v>
      </x:c>
      <x:c r="P1246" t="str">
        <x:f>IF(L1246&gt;=75,"High",IF(L1246&gt;=55,"Medium","Low"))</x:f>
        <x:v>Low</x:v>
      </x:c>
    </x:row>
    <x:row r="1247">
      <x:c r="A1247" t="n">
        <x:v>1246</x:v>
      </x:c>
      <x:c r="B1247" t="n">
        <x:v>10224</x:v>
      </x:c>
      <x:c r="C1247" s="16" t="n">
        <x:v>46152</x:v>
      </x:c>
      <x:c r="D1247" t="str">
        <x:v>02:19:00</x:v>
      </x:c>
      <x:c r="E1247" t="str">
        <x:v>Card</x:v>
      </x:c>
      <x:c r="F1247" t="str">
        <x:v>Transfer</x:v>
      </x:c>
      <x:c r="G1247" s="18" t="n">
        <x:v>33.89</x:v>
      </x:c>
      <x:c r="H1247" t="n">
        <x:v>0</x:v>
      </x:c>
      <x:c r="I1247" t="n">
        <x:v>1</x:v>
      </x:c>
      <x:c r="J1247" t="n">
        <x:v>0</x:v>
      </x:c>
      <x:c r="K1247" t="n">
        <x:v>1</x:v>
      </x:c>
      <x:c r="L1247" t="n">
        <x:v>45</x:v>
      </x:c>
      <x:c r="M1247" t="n">
        <x:v>0</x:v>
      </x:c>
      <x:c r="N1247" t="str">
        <x:v>Approved</x:v>
      </x:c>
      <x:c r="O1247" t="n">
        <x:v>0</x:v>
      </x:c>
      <x:c r="P1247" t="str">
        <x:f>IF(L1247&gt;=75,"High",IF(L1247&gt;=55,"Medium","Low"))</x:f>
        <x:v>Low</x:v>
      </x:c>
    </x:row>
    <x:row r="1248">
      <x:c r="A1248" t="n">
        <x:v>1247</x:v>
      </x:c>
      <x:c r="B1248" t="n">
        <x:v>10357</x:v>
      </x:c>
      <x:c r="C1248" s="16" t="n">
        <x:v>46180</x:v>
      </x:c>
      <x:c r="D1248" t="str">
        <x:v>05:20:00</x:v>
      </x:c>
      <x:c r="E1248" t="str">
        <x:v>Card</x:v>
      </x:c>
      <x:c r="F1248" t="str">
        <x:v>Retail</x:v>
      </x:c>
      <x:c r="G1248" s="18" t="n">
        <x:v>109.17</x:v>
      </x:c>
      <x:c r="H1248" t="n">
        <x:v>0</x:v>
      </x:c>
      <x:c r="I1248" t="n">
        <x:v>0</x:v>
      </x:c>
      <x:c r="J1248" t="n">
        <x:v>0</x:v>
      </x:c>
      <x:c r="K1248" t="n">
        <x:v>0</x:v>
      </x:c>
      <x:c r="L1248" t="n">
        <x:v>10</x:v>
      </x:c>
      <x:c r="M1248" t="n">
        <x:v>0</x:v>
      </x:c>
      <x:c r="N1248" t="str">
        <x:v>Approved</x:v>
      </x:c>
      <x:c r="O1248" t="n">
        <x:v>0</x:v>
      </x:c>
      <x:c r="P1248" t="str">
        <x:f>IF(L1248&gt;=75,"High",IF(L1248&gt;=55,"Medium","Low"))</x:f>
        <x:v>Low</x:v>
      </x:c>
    </x:row>
    <x:row r="1249">
      <x:c r="A1249" t="n">
        <x:v>1248</x:v>
      </x:c>
      <x:c r="B1249" t="n">
        <x:v>10218</x:v>
      </x:c>
      <x:c r="C1249" s="16" t="n">
        <x:v>46287</x:v>
      </x:c>
      <x:c r="D1249" t="str">
        <x:v>00:01:00</x:v>
      </x:c>
      <x:c r="E1249" t="str">
        <x:v>Card</x:v>
      </x:c>
      <x:c r="F1249" t="str">
        <x:v>Subscriptions</x:v>
      </x:c>
      <x:c r="G1249" s="18" t="n">
        <x:v>411.58</x:v>
      </x:c>
      <x:c r="H1249" t="n">
        <x:v>0</x:v>
      </x:c>
      <x:c r="I1249" t="n">
        <x:v>0</x:v>
      </x:c>
      <x:c r="J1249" t="n">
        <x:v>0</x:v>
      </x:c>
      <x:c r="K1249" t="n">
        <x:v>1</x:v>
      </x:c>
      <x:c r="L1249" t="n">
        <x:v>25</x:v>
      </x:c>
      <x:c r="M1249" t="n">
        <x:v>0</x:v>
      </x:c>
      <x:c r="N1249" t="str">
        <x:v>Approved</x:v>
      </x:c>
      <x:c r="O1249" t="n">
        <x:v>0</x:v>
      </x:c>
      <x:c r="P1249" t="str">
        <x:f>IF(L1249&gt;=75,"High",IF(L1249&gt;=55,"Medium","Low"))</x:f>
        <x:v>Low</x:v>
      </x:c>
    </x:row>
    <x:row r="1250">
      <x:c r="A1250" t="n">
        <x:v>1249</x:v>
      </x:c>
      <x:c r="B1250" t="n">
        <x:v>10245</x:v>
      </x:c>
      <x:c r="C1250" s="16" t="n">
        <x:v>46158</x:v>
      </x:c>
      <x:c r="D1250" t="str">
        <x:v>06:03:00</x:v>
      </x:c>
      <x:c r="E1250" t="str">
        <x:v>Card</x:v>
      </x:c>
      <x:c r="F1250" t="str">
        <x:v>Retail</x:v>
      </x:c>
      <x:c r="G1250" s="18" t="n">
        <x:v>124.5</x:v>
      </x:c>
      <x:c r="H1250" t="n">
        <x:v>0</x:v>
      </x:c>
      <x:c r="I1250" t="n">
        <x:v>0</x:v>
      </x:c>
      <x:c r="J1250" t="n">
        <x:v>0</x:v>
      </x:c>
      <x:c r="K1250" t="n">
        <x:v>0</x:v>
      </x:c>
      <x:c r="L1250" t="n">
        <x:v>10</x:v>
      </x:c>
      <x:c r="M1250" t="n">
        <x:v>0</x:v>
      </x:c>
      <x:c r="N1250" t="str">
        <x:v>Declined</x:v>
      </x:c>
      <x:c r="O1250" t="n">
        <x:v>0</x:v>
      </x:c>
      <x:c r="P1250" t="str">
        <x:f>IF(L1250&gt;=75,"High",IF(L1250&gt;=55,"Medium","Low"))</x:f>
        <x:v>Low</x:v>
      </x:c>
    </x:row>
    <x:row r="1251">
      <x:c r="A1251" t="n">
        <x:v>1250</x:v>
      </x:c>
      <x:c r="B1251" t="n">
        <x:v>10204</x:v>
      </x:c>
      <x:c r="C1251" s="16" t="n">
        <x:v>46204</x:v>
      </x:c>
      <x:c r="D1251" t="str">
        <x:v>23:56:00</x:v>
      </x:c>
      <x:c r="E1251" t="str">
        <x:v>P2P</x:v>
      </x:c>
      <x:c r="F1251" t="str">
        <x:v>Utilities</x:v>
      </x:c>
      <x:c r="G1251" s="18" t="n">
        <x:v>120.11</x:v>
      </x:c>
      <x:c r="H1251" t="n">
        <x:v>0</x:v>
      </x:c>
      <x:c r="I1251" t="n">
        <x:v>0</x:v>
      </x:c>
      <x:c r="J1251" t="n">
        <x:v>0</x:v>
      </x:c>
      <x:c r="K1251" t="n">
        <x:v>0</x:v>
      </x:c>
      <x:c r="L1251" t="n">
        <x:v>10</x:v>
      </x:c>
      <x:c r="M1251" t="n">
        <x:v>0</x:v>
      </x:c>
      <x:c r="N1251" t="str">
        <x:v>Approved</x:v>
      </x:c>
      <x:c r="O1251" t="n">
        <x:v>0</x:v>
      </x:c>
      <x:c r="P1251" t="str">
        <x:f>IF(L1251&gt;=75,"High",IF(L1251&gt;=55,"Medium","Low"))</x:f>
        <x:v>Low</x:v>
      </x:c>
    </x:row>
    <x:row r="1252">
      <x:c r="A1252" t="n">
        <x:v>1251</x:v>
      </x:c>
      <x:c r="B1252" t="n">
        <x:v>10026</x:v>
      </x:c>
      <x:c r="C1252" s="16" t="n">
        <x:v>46247</x:v>
      </x:c>
      <x:c r="D1252" t="str">
        <x:v>09:19:00</x:v>
      </x:c>
      <x:c r="E1252" t="str">
        <x:v>P2P</x:v>
      </x:c>
      <x:c r="F1252" t="str">
        <x:v>Utilities</x:v>
      </x:c>
      <x:c r="G1252" s="18" t="n">
        <x:v>140.92</x:v>
      </x:c>
      <x:c r="H1252" t="n">
        <x:v>0</x:v>
      </x:c>
      <x:c r="I1252" t="n">
        <x:v>0</x:v>
      </x:c>
      <x:c r="J1252" t="n">
        <x:v>0</x:v>
      </x:c>
      <x:c r="K1252" t="n">
        <x:v>0</x:v>
      </x:c>
      <x:c r="L1252" t="n">
        <x:v>10</x:v>
      </x:c>
      <x:c r="M1252" t="n">
        <x:v>0</x:v>
      </x:c>
      <x:c r="N1252" t="str">
        <x:v>Approved</x:v>
      </x:c>
      <x:c r="O1252" t="n">
        <x:v>0</x:v>
      </x:c>
      <x:c r="P1252" t="str">
        <x:f>IF(L1252&gt;=75,"High",IF(L1252&gt;=55,"Medium","Low"))</x:f>
        <x:v>Low</x:v>
      </x:c>
    </x:row>
    <x:row r="1253">
      <x:c r="A1253" t="n">
        <x:v>1252</x:v>
      </x:c>
      <x:c r="B1253" t="n">
        <x:v>10162</x:v>
      </x:c>
      <x:c r="C1253" s="16" t="n">
        <x:v>46226</x:v>
      </x:c>
      <x:c r="D1253" t="str">
        <x:v>11:02:00</x:v>
      </x:c>
      <x:c r="E1253" t="str">
        <x:v>Card</x:v>
      </x:c>
      <x:c r="F1253" t="str">
        <x:v>Transfer</x:v>
      </x:c>
      <x:c r="G1253" s="18" t="n">
        <x:v>51.53</x:v>
      </x:c>
      <x:c r="H1253" t="n">
        <x:v>0</x:v>
      </x:c>
      <x:c r="I1253" t="n">
        <x:v>0</x:v>
      </x:c>
      <x:c r="J1253" t="n">
        <x:v>0</x:v>
      </x:c>
      <x:c r="K1253" t="n">
        <x:v>0</x:v>
      </x:c>
      <x:c r="L1253" t="n">
        <x:v>10</x:v>
      </x:c>
      <x:c r="M1253" t="n">
        <x:v>0</x:v>
      </x:c>
      <x:c r="N1253" t="str">
        <x:v>Approved</x:v>
      </x:c>
      <x:c r="O1253" t="n">
        <x:v>0</x:v>
      </x:c>
      <x:c r="P1253" t="str">
        <x:f>IF(L1253&gt;=75,"High",IF(L1253&gt;=55,"Medium","Low"))</x:f>
        <x:v>Low</x:v>
      </x:c>
    </x:row>
    <x:row r="1254">
      <x:c r="A1254" t="n">
        <x:v>1253</x:v>
      </x:c>
      <x:c r="B1254" t="n">
        <x:v>10310</x:v>
      </x:c>
      <x:c r="C1254" s="16" t="n">
        <x:v>46181</x:v>
      </x:c>
      <x:c r="D1254" t="str">
        <x:v>10:50:00</x:v>
      </x:c>
      <x:c r="E1254" t="str">
        <x:v>Card</x:v>
      </x:c>
      <x:c r="F1254" t="str">
        <x:v>Subscriptions</x:v>
      </x:c>
      <x:c r="G1254" s="18" t="n">
        <x:v>173.81</x:v>
      </x:c>
      <x:c r="H1254" t="n">
        <x:v>0</x:v>
      </x:c>
      <x:c r="I1254" t="n">
        <x:v>1</x:v>
      </x:c>
      <x:c r="J1254" t="n">
        <x:v>0</x:v>
      </x:c>
      <x:c r="K1254" t="n">
        <x:v>0</x:v>
      </x:c>
      <x:c r="L1254" t="n">
        <x:v>30</x:v>
      </x:c>
      <x:c r="M1254" t="n">
        <x:v>0</x:v>
      </x:c>
      <x:c r="N1254" t="str">
        <x:v>Approved</x:v>
      </x:c>
      <x:c r="O1254" t="n">
        <x:v>0</x:v>
      </x:c>
      <x:c r="P1254" t="str">
        <x:f>IF(L1254&gt;=75,"High",IF(L1254&gt;=55,"Medium","Low"))</x:f>
        <x:v>Low</x:v>
      </x:c>
    </x:row>
    <x:row r="1255">
      <x:c r="A1255" t="n">
        <x:v>1254</x:v>
      </x:c>
      <x:c r="B1255" t="n">
        <x:v>10018</x:v>
      </x:c>
      <x:c r="C1255" s="16" t="n">
        <x:v>46115</x:v>
      </x:c>
      <x:c r="D1255" t="str">
        <x:v>06:58:00</x:v>
      </x:c>
      <x:c r="E1255" t="str">
        <x:v>Bank Transfer</x:v>
      </x:c>
      <x:c r="F1255" t="str">
        <x:v>Travel</x:v>
      </x:c>
      <x:c r="G1255" s="18" t="n">
        <x:v>43.25</x:v>
      </x:c>
      <x:c r="H1255" t="n">
        <x:v>0</x:v>
      </x:c>
      <x:c r="I1255" t="n">
        <x:v>0</x:v>
      </x:c>
      <x:c r="J1255" t="n">
        <x:v>0</x:v>
      </x:c>
      <x:c r="K1255" t="n">
        <x:v>0</x:v>
      </x:c>
      <x:c r="L1255" t="n">
        <x:v>10</x:v>
      </x:c>
      <x:c r="M1255" t="n">
        <x:v>0</x:v>
      </x:c>
      <x:c r="N1255" t="str">
        <x:v>Approved</x:v>
      </x:c>
      <x:c r="O1255" t="n">
        <x:v>0</x:v>
      </x:c>
      <x:c r="P1255" t="str">
        <x:f>IF(L1255&gt;=75,"High",IF(L1255&gt;=55,"Medium","Low"))</x:f>
        <x:v>Low</x:v>
      </x:c>
    </x:row>
    <x:row r="1256">
      <x:c r="A1256" t="n">
        <x:v>1255</x:v>
      </x:c>
      <x:c r="B1256" t="n">
        <x:v>10007</x:v>
      </x:c>
      <x:c r="C1256" s="16" t="n">
        <x:v>46257</x:v>
      </x:c>
      <x:c r="D1256" t="str">
        <x:v>11:30:00</x:v>
      </x:c>
      <x:c r="E1256" t="str">
        <x:v>Bank Transfer</x:v>
      </x:c>
      <x:c r="F1256" t="str">
        <x:v>Utilities</x:v>
      </x:c>
      <x:c r="G1256" s="18" t="n">
        <x:v>100.45</x:v>
      </x:c>
      <x:c r="H1256" t="n">
        <x:v>0</x:v>
      </x:c>
      <x:c r="I1256" t="n">
        <x:v>0</x:v>
      </x:c>
      <x:c r="J1256" t="n">
        <x:v>0</x:v>
      </x:c>
      <x:c r="K1256" t="n">
        <x:v>0</x:v>
      </x:c>
      <x:c r="L1256" t="n">
        <x:v>10</x:v>
      </x:c>
      <x:c r="M1256" t="n">
        <x:v>0</x:v>
      </x:c>
      <x:c r="N1256" t="str">
        <x:v>Approved</x:v>
      </x:c>
      <x:c r="O1256" t="n">
        <x:v>0</x:v>
      </x:c>
      <x:c r="P1256" t="str">
        <x:f>IF(L1256&gt;=75,"High",IF(L1256&gt;=55,"Medium","Low"))</x:f>
        <x:v>Low</x:v>
      </x:c>
    </x:row>
    <x:row r="1257">
      <x:c r="A1257" t="n">
        <x:v>1256</x:v>
      </x:c>
      <x:c r="B1257" t="n">
        <x:v>10060</x:v>
      </x:c>
      <x:c r="C1257" s="16" t="n">
        <x:v>46289</x:v>
      </x:c>
      <x:c r="D1257" t="str">
        <x:v>02:55:00</x:v>
      </x:c>
      <x:c r="E1257" t="str">
        <x:v>Card</x:v>
      </x:c>
      <x:c r="F1257" t="str">
        <x:v>Transfer</x:v>
      </x:c>
      <x:c r="G1257" s="18" t="n">
        <x:v>30.03</x:v>
      </x:c>
      <x:c r="H1257" t="n">
        <x:v>0</x:v>
      </x:c>
      <x:c r="I1257" t="n">
        <x:v>0</x:v>
      </x:c>
      <x:c r="J1257" t="n">
        <x:v>0</x:v>
      </x:c>
      <x:c r="K1257" t="n">
        <x:v>1</x:v>
      </x:c>
      <x:c r="L1257" t="n">
        <x:v>25</x:v>
      </x:c>
      <x:c r="M1257" t="n">
        <x:v>0</x:v>
      </x:c>
      <x:c r="N1257" t="str">
        <x:v>Approved</x:v>
      </x:c>
      <x:c r="O1257" t="n">
        <x:v>0</x:v>
      </x:c>
      <x:c r="P1257" t="str">
        <x:f>IF(L1257&gt;=75,"High",IF(L1257&gt;=55,"Medium","Low"))</x:f>
        <x:v>Low</x:v>
      </x:c>
    </x:row>
    <x:row r="1258">
      <x:c r="A1258" t="n">
        <x:v>1257</x:v>
      </x:c>
      <x:c r="B1258" t="n">
        <x:v>10073</x:v>
      </x:c>
      <x:c r="C1258" s="16" t="n">
        <x:v>46143</x:v>
      </x:c>
      <x:c r="D1258" t="str">
        <x:v>12:46:00</x:v>
      </x:c>
      <x:c r="E1258" t="str">
        <x:v>P2P</x:v>
      </x:c>
      <x:c r="F1258" t="str">
        <x:v>Subscriptions</x:v>
      </x:c>
      <x:c r="G1258" s="18" t="n">
        <x:v>36.02</x:v>
      </x:c>
      <x:c r="H1258" t="n">
        <x:v>1</x:v>
      </x:c>
      <x:c r="I1258" t="n">
        <x:v>0</x:v>
      </x:c>
      <x:c r="J1258" t="n">
        <x:v>0</x:v>
      </x:c>
      <x:c r="K1258" t="n">
        <x:v>0</x:v>
      </x:c>
      <x:c r="L1258" t="n">
        <x:v>36</x:v>
      </x:c>
      <x:c r="M1258" t="n">
        <x:v>0</x:v>
      </x:c>
      <x:c r="N1258" t="str">
        <x:v>Approved</x:v>
      </x:c>
      <x:c r="O1258" t="n">
        <x:v>0</x:v>
      </x:c>
      <x:c r="P1258" t="str">
        <x:f>IF(L1258&gt;=75,"High",IF(L1258&gt;=55,"Medium","Low"))</x:f>
        <x:v>Low</x:v>
      </x:c>
    </x:row>
    <x:row r="1259">
      <x:c r="A1259" t="n">
        <x:v>1258</x:v>
      </x:c>
      <x:c r="B1259" t="n">
        <x:v>10310</x:v>
      </x:c>
      <x:c r="C1259" s="16" t="n">
        <x:v>46269</x:v>
      </x:c>
      <x:c r="D1259" t="str">
        <x:v>13:07:00</x:v>
      </x:c>
      <x:c r="E1259" t="str">
        <x:v>Card</x:v>
      </x:c>
      <x:c r="F1259" t="str">
        <x:v>Dining</x:v>
      </x:c>
      <x:c r="G1259" s="18" t="n">
        <x:v>71.73</x:v>
      </x:c>
      <x:c r="H1259" t="n">
        <x:v>1</x:v>
      </x:c>
      <x:c r="I1259" t="n">
        <x:v>0</x:v>
      </x:c>
      <x:c r="J1259" t="n">
        <x:v>0</x:v>
      </x:c>
      <x:c r="K1259" t="n">
        <x:v>0</x:v>
      </x:c>
      <x:c r="L1259" t="n">
        <x:v>36</x:v>
      </x:c>
      <x:c r="M1259" t="n">
        <x:v>0</x:v>
      </x:c>
      <x:c r="N1259" t="str">
        <x:v>Approved</x:v>
      </x:c>
      <x:c r="O1259" t="n">
        <x:v>0</x:v>
      </x:c>
      <x:c r="P1259" t="str">
        <x:f>IF(L1259&gt;=75,"High",IF(L1259&gt;=55,"Medium","Low"))</x:f>
        <x:v>Low</x:v>
      </x:c>
    </x:row>
    <x:row r="1260">
      <x:c r="A1260" t="n">
        <x:v>1259</x:v>
      </x:c>
      <x:c r="B1260" t="n">
        <x:v>10358</x:v>
      </x:c>
      <x:c r="C1260" s="16" t="n">
        <x:v>46191</x:v>
      </x:c>
      <x:c r="D1260" t="str">
        <x:v>12:40:00</x:v>
      </x:c>
      <x:c r="E1260" t="str">
        <x:v>P2P</x:v>
      </x:c>
      <x:c r="F1260" t="str">
        <x:v>Electronics</x:v>
      </x:c>
      <x:c r="G1260" s="18" t="n">
        <x:v>99.02</x:v>
      </x:c>
      <x:c r="H1260" t="n">
        <x:v>1</x:v>
      </x:c>
      <x:c r="I1260" t="n">
        <x:v>0</x:v>
      </x:c>
      <x:c r="J1260" t="n">
        <x:v>0</x:v>
      </x:c>
      <x:c r="K1260" t="n">
        <x:v>0</x:v>
      </x:c>
      <x:c r="L1260" t="n">
        <x:v>36</x:v>
      </x:c>
      <x:c r="M1260" t="n">
        <x:v>0</x:v>
      </x:c>
      <x:c r="N1260" t="str">
        <x:v>Approved</x:v>
      </x:c>
      <x:c r="O1260" t="n">
        <x:v>0</x:v>
      </x:c>
      <x:c r="P1260" t="str">
        <x:f>IF(L1260&gt;=75,"High",IF(L1260&gt;=55,"Medium","Low"))</x:f>
        <x:v>Low</x:v>
      </x:c>
    </x:row>
    <x:row r="1261">
      <x:c r="A1261" t="n">
        <x:v>1260</x:v>
      </x:c>
      <x:c r="B1261" t="n">
        <x:v>10174</x:v>
      </x:c>
      <x:c r="C1261" s="16" t="n">
        <x:v>46150</x:v>
      </x:c>
      <x:c r="D1261" t="str">
        <x:v>11:39:00</x:v>
      </x:c>
      <x:c r="E1261" t="str">
        <x:v>Card</x:v>
      </x:c>
      <x:c r="F1261" t="str">
        <x:v>Electronics</x:v>
      </x:c>
      <x:c r="G1261" s="18" t="n">
        <x:v>26.03</x:v>
      </x:c>
      <x:c r="H1261" t="n">
        <x:v>0</x:v>
      </x:c>
      <x:c r="I1261" t="n">
        <x:v>0</x:v>
      </x:c>
      <x:c r="J1261" t="n">
        <x:v>0</x:v>
      </x:c>
      <x:c r="K1261" t="n">
        <x:v>0</x:v>
      </x:c>
      <x:c r="L1261" t="n">
        <x:v>10</x:v>
      </x:c>
      <x:c r="M1261" t="n">
        <x:v>0</x:v>
      </x:c>
      <x:c r="N1261" t="str">
        <x:v>Approved</x:v>
      </x:c>
      <x:c r="O1261" t="n">
        <x:v>0</x:v>
      </x:c>
      <x:c r="P1261" t="str">
        <x:f>IF(L1261&gt;=75,"High",IF(L1261&gt;=55,"Medium","Low"))</x:f>
        <x:v>Low</x:v>
      </x:c>
    </x:row>
    <x:row r="1262">
      <x:c r="A1262" t="n">
        <x:v>1261</x:v>
      </x:c>
      <x:c r="B1262" t="n">
        <x:v>10236</x:v>
      </x:c>
      <x:c r="C1262" s="16" t="n">
        <x:v>46271</x:v>
      </x:c>
      <x:c r="D1262" t="str">
        <x:v>20:41:00</x:v>
      </x:c>
      <x:c r="E1262" t="str">
        <x:v>Card</x:v>
      </x:c>
      <x:c r="F1262" t="str">
        <x:v>Travel</x:v>
      </x:c>
      <x:c r="G1262" s="18" t="n">
        <x:v>315.26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10</x:v>
      </x:c>
      <x:c r="M1262" t="n">
        <x:v>0</x:v>
      </x:c>
      <x:c r="N1262" t="str">
        <x:v>Approved</x:v>
      </x:c>
      <x:c r="O1262" t="n">
        <x:v>0</x:v>
      </x:c>
      <x:c r="P1262" t="str">
        <x:f>IF(L1262&gt;=75,"High",IF(L1262&gt;=55,"Medium","Low"))</x:f>
        <x:v>Low</x:v>
      </x:c>
    </x:row>
    <x:row r="1263">
      <x:c r="A1263" t="n">
        <x:v>1262</x:v>
      </x:c>
      <x:c r="B1263" t="n">
        <x:v>10030</x:v>
      </x:c>
      <x:c r="C1263" s="16" t="n">
        <x:v>46286</x:v>
      </x:c>
      <x:c r="D1263" t="str">
        <x:v>09:10:00</x:v>
      </x:c>
      <x:c r="E1263" t="str">
        <x:v>Card</x:v>
      </x:c>
      <x:c r="F1263" t="str">
        <x:v>Travel</x:v>
      </x:c>
      <x:c r="G1263" s="18" t="n">
        <x:v>89.12</x:v>
      </x:c>
      <x:c r="H1263" t="n">
        <x:v>0</x:v>
      </x:c>
      <x:c r="I1263" t="n">
        <x:v>0</x:v>
      </x:c>
      <x:c r="J1263" t="n">
        <x:v>0</x:v>
      </x:c>
      <x:c r="K1263" t="n">
        <x:v>0</x:v>
      </x:c>
      <x:c r="L1263" t="n">
        <x:v>10</x:v>
      </x:c>
      <x:c r="M1263" t="n">
        <x:v>0</x:v>
      </x:c>
      <x:c r="N1263" t="str">
        <x:v>Approved</x:v>
      </x:c>
      <x:c r="O1263" t="n">
        <x:v>0</x:v>
      </x:c>
      <x:c r="P1263" t="str">
        <x:f>IF(L1263&gt;=75,"High",IF(L1263&gt;=55,"Medium","Low"))</x:f>
        <x:v>Low</x:v>
      </x:c>
    </x:row>
    <x:row r="1264">
      <x:c r="A1264" t="n">
        <x:v>1263</x:v>
      </x:c>
      <x:c r="B1264" t="n">
        <x:v>10036</x:v>
      </x:c>
      <x:c r="C1264" s="16" t="n">
        <x:v>46153</x:v>
      </x:c>
      <x:c r="D1264" t="str">
        <x:v>09:25:00</x:v>
      </x:c>
      <x:c r="E1264" t="str">
        <x:v>Card</x:v>
      </x:c>
      <x:c r="F1264" t="str">
        <x:v>Transfer</x:v>
      </x:c>
      <x:c r="G1264" s="18" t="n">
        <x:v>38.13</x:v>
      </x:c>
      <x:c r="H1264" t="n">
        <x:v>0</x:v>
      </x:c>
      <x:c r="I1264" t="n">
        <x:v>0</x:v>
      </x:c>
      <x:c r="J1264" t="n">
        <x:v>0</x:v>
      </x:c>
      <x:c r="K1264" t="n">
        <x:v>0</x:v>
      </x:c>
      <x:c r="L1264" t="n">
        <x:v>10</x:v>
      </x:c>
      <x:c r="M1264" t="n">
        <x:v>0</x:v>
      </x:c>
      <x:c r="N1264" t="str">
        <x:v>Declined</x:v>
      </x:c>
      <x:c r="O1264" t="n">
        <x:v>0</x:v>
      </x:c>
      <x:c r="P1264" t="str">
        <x:f>IF(L1264&gt;=75,"High",IF(L1264&gt;=55,"Medium","Low"))</x:f>
        <x:v>Low</x:v>
      </x:c>
    </x:row>
    <x:row r="1265">
      <x:c r="A1265" t="n">
        <x:v>1264</x:v>
      </x:c>
      <x:c r="B1265" t="n">
        <x:v>10223</x:v>
      </x:c>
      <x:c r="C1265" s="16" t="n">
        <x:v>46251</x:v>
      </x:c>
      <x:c r="D1265" t="str">
        <x:v>04:21:00</x:v>
      </x:c>
      <x:c r="E1265" t="str">
        <x:v>P2P</x:v>
      </x:c>
      <x:c r="F1265" t="str">
        <x:v>Subscriptions</x:v>
      </x:c>
      <x:c r="G1265" s="18" t="n">
        <x:v>123.57</x:v>
      </x:c>
      <x:c r="H1265" t="n">
        <x:v>1</x:v>
      </x:c>
      <x:c r="I1265" t="n">
        <x:v>0</x:v>
      </x:c>
      <x:c r="J1265" t="n">
        <x:v>0</x:v>
      </x:c>
      <x:c r="K1265" t="n">
        <x:v>1</x:v>
      </x:c>
      <x:c r="L1265" t="n">
        <x:v>51</x:v>
      </x:c>
      <x:c r="M1265" t="n">
        <x:v>0</x:v>
      </x:c>
      <x:c r="N1265" t="str">
        <x:v>Approved</x:v>
      </x:c>
      <x:c r="O1265" t="n">
        <x:v>0</x:v>
      </x:c>
      <x:c r="P1265" t="str">
        <x:f>IF(L1265&gt;=75,"High",IF(L1265&gt;=55,"Medium","Low"))</x:f>
        <x:v>Low</x:v>
      </x:c>
    </x:row>
    <x:row r="1266">
      <x:c r="A1266" t="n">
        <x:v>1265</x:v>
      </x:c>
      <x:c r="B1266" t="n">
        <x:v>10281</x:v>
      </x:c>
      <x:c r="C1266" s="16" t="n">
        <x:v>46241</x:v>
      </x:c>
      <x:c r="D1266" t="str">
        <x:v>07:26:00</x:v>
      </x:c>
      <x:c r="E1266" t="str">
        <x:v>Bank Transfer</x:v>
      </x:c>
      <x:c r="F1266" t="str">
        <x:v>Retail</x:v>
      </x:c>
      <x:c r="G1266" s="18" t="n">
        <x:v>39.15</x:v>
      </x:c>
      <x:c r="H1266" t="n">
        <x:v>0</x:v>
      </x:c>
      <x:c r="I1266" t="n">
        <x:v>1</x:v>
      </x:c>
      <x:c r="J1266" t="n">
        <x:v>0</x:v>
      </x:c>
      <x:c r="K1266" t="n">
        <x:v>0</x:v>
      </x:c>
      <x:c r="L1266" t="n">
        <x:v>30</x:v>
      </x:c>
      <x:c r="M1266" t="n">
        <x:v>0</x:v>
      </x:c>
      <x:c r="N1266" t="str">
        <x:v>Approved</x:v>
      </x:c>
      <x:c r="O1266" t="n">
        <x:v>0</x:v>
      </x:c>
      <x:c r="P1266" t="str">
        <x:f>IF(L1266&gt;=75,"High",IF(L1266&gt;=55,"Medium","Low"))</x:f>
        <x:v>Low</x:v>
      </x:c>
    </x:row>
    <x:row r="1267">
      <x:c r="A1267" t="n">
        <x:v>1266</x:v>
      </x:c>
      <x:c r="B1267" t="n">
        <x:v>10008</x:v>
      </x:c>
      <x:c r="C1267" s="16" t="n">
        <x:v>46161</x:v>
      </x:c>
      <x:c r="D1267" t="str">
        <x:v>04:45:00</x:v>
      </x:c>
      <x:c r="E1267" t="str">
        <x:v>Bank Transfer</x:v>
      </x:c>
      <x:c r="F1267" t="str">
        <x:v>Transfer</x:v>
      </x:c>
      <x:c r="G1267" s="18" t="n">
        <x:v>61.18</x:v>
      </x:c>
      <x:c r="H1267" t="n">
        <x:v>0</x:v>
      </x:c>
      <x:c r="I1267" t="n">
        <x:v>1</x:v>
      </x:c>
      <x:c r="J1267" t="n">
        <x:v>0</x:v>
      </x:c>
      <x:c r="K1267" t="n">
        <x:v>1</x:v>
      </x:c>
      <x:c r="L1267" t="n">
        <x:v>45</x:v>
      </x:c>
      <x:c r="M1267" t="n">
        <x:v>0</x:v>
      </x:c>
      <x:c r="N1267" t="str">
        <x:v>Approved</x:v>
      </x:c>
      <x:c r="O1267" t="n">
        <x:v>0</x:v>
      </x:c>
      <x:c r="P1267" t="str">
        <x:f>IF(L1267&gt;=75,"High",IF(L1267&gt;=55,"Medium","Low"))</x:f>
        <x:v>Low</x:v>
      </x:c>
    </x:row>
    <x:row r="1268">
      <x:c r="A1268" t="n">
        <x:v>1267</x:v>
      </x:c>
      <x:c r="B1268" t="n">
        <x:v>10325</x:v>
      </x:c>
      <x:c r="C1268" s="16" t="n">
        <x:v>46155</x:v>
      </x:c>
      <x:c r="D1268" t="str">
        <x:v>14:26:00</x:v>
      </x:c>
      <x:c r="E1268" t="str">
        <x:v>Card</x:v>
      </x:c>
      <x:c r="F1268" t="str">
        <x:v>Utilities</x:v>
      </x:c>
      <x:c r="G1268" s="18" t="n">
        <x:v>164.95</x:v>
      </x:c>
      <x:c r="H1268" t="n">
        <x:v>0</x:v>
      </x:c>
      <x:c r="I1268" t="n">
        <x:v>0</x:v>
      </x:c>
      <x:c r="J1268" t="n">
        <x:v>0</x:v>
      </x:c>
      <x:c r="K1268" t="n">
        <x:v>0</x:v>
      </x:c>
      <x:c r="L1268" t="n">
        <x:v>10</x:v>
      </x:c>
      <x:c r="M1268" t="n">
        <x:v>0</x:v>
      </x:c>
      <x:c r="N1268" t="str">
        <x:v>Approved</x:v>
      </x:c>
      <x:c r="O1268" t="n">
        <x:v>0</x:v>
      </x:c>
      <x:c r="P1268" t="str">
        <x:f>IF(L1268&gt;=75,"High",IF(L1268&gt;=55,"Medium","Low"))</x:f>
        <x:v>Low</x:v>
      </x:c>
    </x:row>
    <x:row r="1269">
      <x:c r="A1269" t="n">
        <x:v>1268</x:v>
      </x:c>
      <x:c r="B1269" t="n">
        <x:v>10111</x:v>
      </x:c>
      <x:c r="C1269" s="16" t="n">
        <x:v>46260</x:v>
      </x:c>
      <x:c r="D1269" t="str">
        <x:v>01:34:00</x:v>
      </x:c>
      <x:c r="E1269" t="str">
        <x:v>Bank Transfer</x:v>
      </x:c>
      <x:c r="F1269" t="str">
        <x:v>Retail</x:v>
      </x:c>
      <x:c r="G1269" s="18" t="n">
        <x:v>593.8</x:v>
      </x:c>
      <x:c r="H1269" t="n">
        <x:v>0</x:v>
      </x:c>
      <x:c r="I1269" t="n">
        <x:v>0</x:v>
      </x:c>
      <x:c r="J1269" t="n">
        <x:v>0</x:v>
      </x:c>
      <x:c r="K1269" t="n">
        <x:v>1</x:v>
      </x:c>
      <x:c r="L1269" t="n">
        <x:v>25</x:v>
      </x:c>
      <x:c r="M1269" t="n">
        <x:v>0</x:v>
      </x:c>
      <x:c r="N1269" t="str">
        <x:v>Approved</x:v>
      </x:c>
      <x:c r="O1269" t="n">
        <x:v>0</x:v>
      </x:c>
      <x:c r="P1269" t="str">
        <x:f>IF(L1269&gt;=75,"High",IF(L1269&gt;=55,"Medium","Low"))</x:f>
        <x:v>Low</x:v>
      </x:c>
    </x:row>
    <x:row r="1270">
      <x:c r="A1270" t="n">
        <x:v>1269</x:v>
      </x:c>
      <x:c r="B1270" t="n">
        <x:v>10293</x:v>
      </x:c>
      <x:c r="C1270" s="16" t="n">
        <x:v>46280</x:v>
      </x:c>
      <x:c r="D1270" t="str">
        <x:v>05:20:00</x:v>
      </x:c>
      <x:c r="E1270" t="str">
        <x:v>P2P</x:v>
      </x:c>
      <x:c r="F1270" t="str">
        <x:v>Electronics</x:v>
      </x:c>
      <x:c r="G1270" s="18" t="n">
        <x:v>86.04</x:v>
      </x:c>
      <x:c r="H1270" t="n">
        <x:v>0</x:v>
      </x:c>
      <x:c r="I1270" t="n">
        <x:v>0</x:v>
      </x:c>
      <x:c r="J1270" t="n">
        <x:v>0</x:v>
      </x:c>
      <x:c r="K1270" t="n">
        <x:v>0</x:v>
      </x:c>
      <x:c r="L1270" t="n">
        <x:v>10</x:v>
      </x:c>
      <x:c r="M1270" t="n">
        <x:v>0</x:v>
      </x:c>
      <x:c r="N1270" t="str">
        <x:v>Approved</x:v>
      </x:c>
      <x:c r="O1270" t="n">
        <x:v>0</x:v>
      </x:c>
      <x:c r="P1270" t="str">
        <x:f>IF(L1270&gt;=75,"High",IF(L1270&gt;=55,"Medium","Low"))</x:f>
        <x:v>Low</x:v>
      </x:c>
    </x:row>
    <x:row r="1271">
      <x:c r="A1271" t="n">
        <x:v>1270</x:v>
      </x:c>
      <x:c r="B1271" t="n">
        <x:v>10090</x:v>
      </x:c>
      <x:c r="C1271" s="16" t="n">
        <x:v>46225</x:v>
      </x:c>
      <x:c r="D1271" t="str">
        <x:v>11:39:00</x:v>
      </x:c>
      <x:c r="E1271" t="str">
        <x:v>Card</x:v>
      </x:c>
      <x:c r="F1271" t="str">
        <x:v>Dining</x:v>
      </x:c>
      <x:c r="G1271" s="18" t="n">
        <x:v>36.66</x:v>
      </x:c>
      <x:c r="H1271" t="n">
        <x:v>0</x:v>
      </x:c>
      <x:c r="I1271" t="n">
        <x:v>0</x:v>
      </x:c>
      <x:c r="J1271" t="n">
        <x:v>0</x:v>
      </x:c>
      <x:c r="K1271" t="n">
        <x:v>0</x:v>
      </x:c>
      <x:c r="L1271" t="n">
        <x:v>10</x:v>
      </x:c>
      <x:c r="M1271" t="n">
        <x:v>0</x:v>
      </x:c>
      <x:c r="N1271" t="str">
        <x:v>Approved</x:v>
      </x:c>
      <x:c r="O1271" t="n">
        <x:v>0</x:v>
      </x:c>
      <x:c r="P1271" t="str">
        <x:f>IF(L1271&gt;=75,"High",IF(L1271&gt;=55,"Medium","Low"))</x:f>
        <x:v>Low</x:v>
      </x:c>
    </x:row>
    <x:row r="1272">
      <x:c r="A1272" t="n">
        <x:v>1271</x:v>
      </x:c>
      <x:c r="B1272" t="n">
        <x:v>10259</x:v>
      </x:c>
      <x:c r="C1272" s="16" t="n">
        <x:v>46185</x:v>
      </x:c>
      <x:c r="D1272" t="str">
        <x:v>18:52:00</x:v>
      </x:c>
      <x:c r="E1272" t="str">
        <x:v>Card</x:v>
      </x:c>
      <x:c r="F1272" t="str">
        <x:v>Dining</x:v>
      </x:c>
      <x:c r="G1272" s="18" t="n">
        <x:v>203.26</x:v>
      </x:c>
      <x:c r="H1272" t="n">
        <x:v>0</x:v>
      </x:c>
      <x:c r="I1272" t="n">
        <x:v>0</x:v>
      </x:c>
      <x:c r="J1272" t="n">
        <x:v>0</x:v>
      </x:c>
      <x:c r="K1272" t="n">
        <x:v>0</x:v>
      </x:c>
      <x:c r="L1272" t="n">
        <x:v>10</x:v>
      </x:c>
      <x:c r="M1272" t="n">
        <x:v>0</x:v>
      </x:c>
      <x:c r="N1272" t="str">
        <x:v>Approved</x:v>
      </x:c>
      <x:c r="O1272" t="n">
        <x:v>0</x:v>
      </x:c>
      <x:c r="P1272" t="str">
        <x:f>IF(L1272&gt;=75,"High",IF(L1272&gt;=55,"Medium","Low"))</x:f>
        <x:v>Low</x:v>
      </x:c>
    </x:row>
    <x:row r="1273">
      <x:c r="A1273" t="n">
        <x:v>1272</x:v>
      </x:c>
      <x:c r="B1273" t="n">
        <x:v>10192</x:v>
      </x:c>
      <x:c r="C1273" s="16" t="n">
        <x:v>46282</x:v>
      </x:c>
      <x:c r="D1273" t="str">
        <x:v>20:42:00</x:v>
      </x:c>
      <x:c r="E1273" t="str">
        <x:v>Card</x:v>
      </x:c>
      <x:c r="F1273" t="str">
        <x:v>Travel</x:v>
      </x:c>
      <x:c r="G1273" s="18" t="n">
        <x:v>72.7</x:v>
      </x:c>
      <x:c r="H1273" t="n">
        <x:v>0</x:v>
      </x:c>
      <x:c r="I1273" t="n">
        <x:v>0</x:v>
      </x:c>
      <x:c r="J1273" t="n">
        <x:v>0</x:v>
      </x:c>
      <x:c r="K1273" t="n">
        <x:v>0</x:v>
      </x:c>
      <x:c r="L1273" t="n">
        <x:v>10</x:v>
      </x:c>
      <x:c r="M1273" t="n">
        <x:v>0</x:v>
      </x:c>
      <x:c r="N1273" t="str">
        <x:v>Approved</x:v>
      </x:c>
      <x:c r="O1273" t="n">
        <x:v>0</x:v>
      </x:c>
      <x:c r="P1273" t="str">
        <x:f>IF(L1273&gt;=75,"High",IF(L1273&gt;=55,"Medium","Low"))</x:f>
        <x:v>Low</x:v>
      </x:c>
    </x:row>
    <x:row r="1274">
      <x:c r="A1274" t="n">
        <x:v>1273</x:v>
      </x:c>
      <x:c r="B1274" t="n">
        <x:v>10139</x:v>
      </x:c>
      <x:c r="C1274" s="16" t="n">
        <x:v>46226</x:v>
      </x:c>
      <x:c r="D1274" t="str">
        <x:v>04:22:00</x:v>
      </x:c>
      <x:c r="E1274" t="str">
        <x:v>Bank Transfer</x:v>
      </x:c>
      <x:c r="F1274" t="str">
        <x:v>Transfer</x:v>
      </x:c>
      <x:c r="G1274" s="18" t="n">
        <x:v>185.36</x:v>
      </x:c>
      <x:c r="H1274" t="n">
        <x:v>0</x:v>
      </x:c>
      <x:c r="I1274" t="n">
        <x:v>0</x:v>
      </x:c>
      <x:c r="J1274" t="n">
        <x:v>0</x:v>
      </x:c>
      <x:c r="K1274" t="n">
        <x:v>1</x:v>
      </x:c>
      <x:c r="L1274" t="n">
        <x:v>25</x:v>
      </x:c>
      <x:c r="M1274" t="n">
        <x:v>0</x:v>
      </x:c>
      <x:c r="N1274" t="str">
        <x:v>Approved</x:v>
      </x:c>
      <x:c r="O1274" t="n">
        <x:v>0</x:v>
      </x:c>
      <x:c r="P1274" t="str">
        <x:f>IF(L1274&gt;=75,"High",IF(L1274&gt;=55,"Medium","Low"))</x:f>
        <x:v>Low</x:v>
      </x:c>
    </x:row>
    <x:row r="1275">
      <x:c r="A1275" t="n">
        <x:v>1274</x:v>
      </x:c>
      <x:c r="B1275" t="n">
        <x:v>10322</x:v>
      </x:c>
      <x:c r="C1275" s="16" t="n">
        <x:v>46136</x:v>
      </x:c>
      <x:c r="D1275" t="str">
        <x:v>08:52:00</x:v>
      </x:c>
      <x:c r="E1275" t="str">
        <x:v>P2P</x:v>
      </x:c>
      <x:c r="F1275" t="str">
        <x:v>Utilities</x:v>
      </x:c>
      <x:c r="G1275" s="18" t="n">
        <x:v>11.86</x:v>
      </x:c>
      <x:c r="H1275" t="n">
        <x:v>0</x:v>
      </x:c>
      <x:c r="I1275" t="n">
        <x:v>1</x:v>
      </x:c>
      <x:c r="J1275" t="n">
        <x:v>0</x:v>
      </x:c>
      <x:c r="K1275" t="n">
        <x:v>0</x:v>
      </x:c>
      <x:c r="L1275" t="n">
        <x:v>30</x:v>
      </x:c>
      <x:c r="M1275" t="n">
        <x:v>0</x:v>
      </x:c>
      <x:c r="N1275" t="str">
        <x:v>Approved</x:v>
      </x:c>
      <x:c r="O1275" t="n">
        <x:v>0</x:v>
      </x:c>
      <x:c r="P1275" t="str">
        <x:f>IF(L1275&gt;=75,"High",IF(L1275&gt;=55,"Medium","Low"))</x:f>
        <x:v>Low</x:v>
      </x:c>
    </x:row>
    <x:row r="1276">
      <x:c r="A1276" t="n">
        <x:v>1275</x:v>
      </x:c>
      <x:c r="B1276" t="n">
        <x:v>10326</x:v>
      </x:c>
      <x:c r="C1276" s="16" t="n">
        <x:v>46131</x:v>
      </x:c>
      <x:c r="D1276" t="str">
        <x:v>19:36:00</x:v>
      </x:c>
      <x:c r="E1276" t="str">
        <x:v>Card</x:v>
      </x:c>
      <x:c r="F1276" t="str">
        <x:v>Dining</x:v>
      </x:c>
      <x:c r="G1276" s="18" t="n">
        <x:v>67.75</x:v>
      </x:c>
      <x:c r="H1276" t="n">
        <x:v>0</x:v>
      </x:c>
      <x:c r="I1276" t="n">
        <x:v>0</x:v>
      </x:c>
      <x:c r="J1276" t="n">
        <x:v>0</x:v>
      </x:c>
      <x:c r="K1276" t="n">
        <x:v>0</x:v>
      </x:c>
      <x:c r="L1276" t="n">
        <x:v>10</x:v>
      </x:c>
      <x:c r="M1276" t="n">
        <x:v>0</x:v>
      </x:c>
      <x:c r="N1276" t="str">
        <x:v>Approved</x:v>
      </x:c>
      <x:c r="O1276" t="n">
        <x:v>0</x:v>
      </x:c>
      <x:c r="P1276" t="str">
        <x:f>IF(L1276&gt;=75,"High",IF(L1276&gt;=55,"Medium","Low"))</x:f>
        <x:v>Low</x:v>
      </x:c>
    </x:row>
    <x:row r="1277">
      <x:c r="A1277" t="n">
        <x:v>1276</x:v>
      </x:c>
      <x:c r="B1277" t="n">
        <x:v>10144</x:v>
      </x:c>
      <x:c r="C1277" s="16" t="n">
        <x:v>46271</x:v>
      </x:c>
      <x:c r="D1277" t="str">
        <x:v>04:43:00</x:v>
      </x:c>
      <x:c r="E1277" t="str">
        <x:v>Card</x:v>
      </x:c>
      <x:c r="F1277" t="str">
        <x:v>Electronics</x:v>
      </x:c>
      <x:c r="G1277" s="18" t="n">
        <x:v>100.32</x:v>
      </x:c>
      <x:c r="H1277" t="n">
        <x:v>1</x:v>
      </x:c>
      <x:c r="I1277" t="n">
        <x:v>0</x:v>
      </x:c>
      <x:c r="J1277" t="n">
        <x:v>0</x:v>
      </x:c>
      <x:c r="K1277" t="n">
        <x:v>1</x:v>
      </x:c>
      <x:c r="L1277" t="n">
        <x:v>51</x:v>
      </x:c>
      <x:c r="M1277" t="n">
        <x:v>0</x:v>
      </x:c>
      <x:c r="N1277" t="str">
        <x:v>Approved</x:v>
      </x:c>
      <x:c r="O1277" t="n">
        <x:v>0</x:v>
      </x:c>
      <x:c r="P1277" t="str">
        <x:f>IF(L1277&gt;=75,"High",IF(L1277&gt;=55,"Medium","Low"))</x:f>
        <x:v>Low</x:v>
      </x:c>
    </x:row>
    <x:row r="1278">
      <x:c r="A1278" t="n">
        <x:v>1277</x:v>
      </x:c>
      <x:c r="B1278" t="n">
        <x:v>10186</x:v>
      </x:c>
      <x:c r="C1278" s="16" t="n">
        <x:v>46158</x:v>
      </x:c>
      <x:c r="D1278" t="str">
        <x:v>23:15:00</x:v>
      </x:c>
      <x:c r="E1278" t="str">
        <x:v>Card</x:v>
      </x:c>
      <x:c r="F1278" t="str">
        <x:v>Dining</x:v>
      </x:c>
      <x:c r="G1278" s="18" t="n">
        <x:v>43.25</x:v>
      </x:c>
      <x:c r="H1278" t="n">
        <x:v>0</x:v>
      </x:c>
      <x:c r="I1278" t="n">
        <x:v>0</x:v>
      </x:c>
      <x:c r="J1278" t="n">
        <x:v>0</x:v>
      </x:c>
      <x:c r="K1278" t="n">
        <x:v>0</x:v>
      </x:c>
      <x:c r="L1278" t="n">
        <x:v>10</x:v>
      </x:c>
      <x:c r="M1278" t="n">
        <x:v>0</x:v>
      </x:c>
      <x:c r="N1278" t="str">
        <x:v>Approved</x:v>
      </x:c>
      <x:c r="O1278" t="n">
        <x:v>0</x:v>
      </x:c>
      <x:c r="P1278" t="str">
        <x:f>IF(L1278&gt;=75,"High",IF(L1278&gt;=55,"Medium","Low"))</x:f>
        <x:v>Low</x:v>
      </x:c>
    </x:row>
    <x:row r="1279">
      <x:c r="A1279" t="n">
        <x:v>1278</x:v>
      </x:c>
      <x:c r="B1279" t="n">
        <x:v>10135</x:v>
      </x:c>
      <x:c r="C1279" s="16" t="n">
        <x:v>46276</x:v>
      </x:c>
      <x:c r="D1279" t="str">
        <x:v>14:08:00</x:v>
      </x:c>
      <x:c r="E1279" t="str">
        <x:v>Card</x:v>
      </x:c>
      <x:c r="F1279" t="str">
        <x:v>Subscriptions</x:v>
      </x:c>
      <x:c r="G1279" s="18" t="n">
        <x:v>70.06</x:v>
      </x:c>
      <x:c r="H1279" t="n">
        <x:v>0</x:v>
      </x:c>
      <x:c r="I1279" t="n">
        <x:v>0</x:v>
      </x:c>
      <x:c r="J1279" t="n">
        <x:v>0</x:v>
      </x:c>
      <x:c r="K1279" t="n">
        <x:v>0</x:v>
      </x:c>
      <x:c r="L1279" t="n">
        <x:v>10</x:v>
      </x:c>
      <x:c r="M1279" t="n">
        <x:v>0</x:v>
      </x:c>
      <x:c r="N1279" t="str">
        <x:v>Approved</x:v>
      </x:c>
      <x:c r="O1279" t="n">
        <x:v>1</x:v>
      </x:c>
      <x:c r="P1279" t="str">
        <x:f>IF(L1279&gt;=75,"High",IF(L1279&gt;=55,"Medium","Low"))</x:f>
        <x:v>Low</x:v>
      </x:c>
    </x:row>
    <x:row r="1280">
      <x:c r="A1280" t="n">
        <x:v>1279</x:v>
      </x:c>
      <x:c r="B1280" t="n">
        <x:v>10314</x:v>
      </x:c>
      <x:c r="C1280" s="16" t="n">
        <x:v>46216</x:v>
      </x:c>
      <x:c r="D1280" t="str">
        <x:v>03:13:00</x:v>
      </x:c>
      <x:c r="E1280" t="str">
        <x:v>Card</x:v>
      </x:c>
      <x:c r="F1280" t="str">
        <x:v>Utilities</x:v>
      </x:c>
      <x:c r="G1280" s="18" t="n">
        <x:v>13.9</x:v>
      </x:c>
      <x:c r="H1280" t="n">
        <x:v>0</x:v>
      </x:c>
      <x:c r="I1280" t="n">
        <x:v>1</x:v>
      </x:c>
      <x:c r="J1280" t="n">
        <x:v>0</x:v>
      </x:c>
      <x:c r="K1280" t="n">
        <x:v>1</x:v>
      </x:c>
      <x:c r="L1280" t="n">
        <x:v>45</x:v>
      </x:c>
      <x:c r="M1280" t="n">
        <x:v>0</x:v>
      </x:c>
      <x:c r="N1280" t="str">
        <x:v>Approved</x:v>
      </x:c>
      <x:c r="O1280" t="n">
        <x:v>0</x:v>
      </x:c>
      <x:c r="P1280" t="str">
        <x:f>IF(L1280&gt;=75,"High",IF(L1280&gt;=55,"Medium","Low"))</x:f>
        <x:v>Low</x:v>
      </x:c>
    </x:row>
    <x:row r="1281">
      <x:c r="A1281" t="n">
        <x:v>1280</x:v>
      </x:c>
      <x:c r="B1281" t="n">
        <x:v>10217</x:v>
      </x:c>
      <x:c r="C1281" s="16" t="n">
        <x:v>46209</x:v>
      </x:c>
      <x:c r="D1281" t="str">
        <x:v>12:17:00</x:v>
      </x:c>
      <x:c r="E1281" t="str">
        <x:v>Card</x:v>
      </x:c>
      <x:c r="F1281" t="str">
        <x:v>Subscriptions</x:v>
      </x:c>
      <x:c r="G1281" s="18" t="n">
        <x:v>146.45</x:v>
      </x:c>
      <x:c r="H1281" t="n">
        <x:v>0</x:v>
      </x:c>
      <x:c r="I1281" t="n">
        <x:v>0</x:v>
      </x:c>
      <x:c r="J1281" t="n">
        <x:v>0</x:v>
      </x:c>
      <x:c r="K1281" t="n">
        <x:v>0</x:v>
      </x:c>
      <x:c r="L1281" t="n">
        <x:v>10</x:v>
      </x:c>
      <x:c r="M1281" t="n">
        <x:v>0</x:v>
      </x:c>
      <x:c r="N1281" t="str">
        <x:v>Approved</x:v>
      </x:c>
      <x:c r="O1281" t="n">
        <x:v>0</x:v>
      </x:c>
      <x:c r="P1281" t="str">
        <x:f>IF(L1281&gt;=75,"High",IF(L1281&gt;=55,"Medium","Low"))</x:f>
        <x:v>Low</x:v>
      </x:c>
    </x:row>
    <x:row r="1282">
      <x:c r="A1282" t="n">
        <x:v>1281</x:v>
      </x:c>
      <x:c r="B1282" t="n">
        <x:v>10276</x:v>
      </x:c>
      <x:c r="C1282" s="16" t="n">
        <x:v>46243</x:v>
      </x:c>
      <x:c r="D1282" t="str">
        <x:v>21:23:00</x:v>
      </x:c>
      <x:c r="E1282" t="str">
        <x:v>Bank Transfer</x:v>
      </x:c>
      <x:c r="F1282" t="str">
        <x:v>Utilities</x:v>
      </x:c>
      <x:c r="G1282" s="18" t="n">
        <x:v>1266.34</x:v>
      </x:c>
      <x:c r="H1282" t="n">
        <x:v>0</x:v>
      </x:c>
      <x:c r="I1282" t="n">
        <x:v>0</x:v>
      </x:c>
      <x:c r="J1282" t="n">
        <x:v>1</x:v>
      </x:c>
      <x:c r="K1282" t="n">
        <x:v>0</x:v>
      </x:c>
      <x:c r="L1282" t="n">
        <x:v>44</x:v>
      </x:c>
      <x:c r="M1282" t="n">
        <x:v>0</x:v>
      </x:c>
      <x:c r="N1282" t="str">
        <x:v>Approved</x:v>
      </x:c>
      <x:c r="O1282" t="n">
        <x:v>0</x:v>
      </x:c>
      <x:c r="P1282" t="str">
        <x:f>IF(L1282&gt;=75,"High",IF(L1282&gt;=55,"Medium","Low"))</x:f>
        <x:v>Low</x:v>
      </x:c>
    </x:row>
    <x:row r="1283">
      <x:c r="A1283" t="n">
        <x:v>1282</x:v>
      </x:c>
      <x:c r="B1283" t="n">
        <x:v>10108</x:v>
      </x:c>
      <x:c r="C1283" s="16" t="n">
        <x:v>46193</x:v>
      </x:c>
      <x:c r="D1283" t="str">
        <x:v>11:14:00</x:v>
      </x:c>
      <x:c r="E1283" t="str">
        <x:v>P2P</x:v>
      </x:c>
      <x:c r="F1283" t="str">
        <x:v>Electronics</x:v>
      </x:c>
      <x:c r="G1283" s="18" t="n">
        <x:v>716.07</x:v>
      </x:c>
      <x:c r="H1283" t="n">
        <x:v>0</x:v>
      </x:c>
      <x:c r="I1283" t="n">
        <x:v>0</x:v>
      </x:c>
      <x:c r="J1283" t="n">
        <x:v>1</x:v>
      </x:c>
      <x:c r="K1283" t="n">
        <x:v>0</x:v>
      </x:c>
      <x:c r="L1283" t="n">
        <x:v>44</x:v>
      </x:c>
      <x:c r="M1283" t="n">
        <x:v>0</x:v>
      </x:c>
      <x:c r="N1283" t="str">
        <x:v>Approved</x:v>
      </x:c>
      <x:c r="O1283" t="n">
        <x:v>0</x:v>
      </x:c>
      <x:c r="P1283" t="str">
        <x:f>IF(L1283&gt;=75,"High",IF(L1283&gt;=55,"Medium","Low"))</x:f>
        <x:v>Low</x:v>
      </x:c>
    </x:row>
    <x:row r="1284">
      <x:c r="A1284" t="n">
        <x:v>1283</x:v>
      </x:c>
      <x:c r="B1284" t="n">
        <x:v>10313</x:v>
      </x:c>
      <x:c r="C1284" s="16" t="n">
        <x:v>46259</x:v>
      </x:c>
      <x:c r="D1284" t="str">
        <x:v>14:17:00</x:v>
      </x:c>
      <x:c r="E1284" t="str">
        <x:v>Card</x:v>
      </x:c>
      <x:c r="F1284" t="str">
        <x:v>Utilities</x:v>
      </x:c>
      <x:c r="G1284" s="18" t="n">
        <x:v>55.68</x:v>
      </x:c>
      <x:c r="H1284" t="n">
        <x:v>0</x:v>
      </x:c>
      <x:c r="I1284" t="n">
        <x:v>0</x:v>
      </x:c>
      <x:c r="J1284" t="n">
        <x:v>0</x:v>
      </x:c>
      <x:c r="K1284" t="n">
        <x:v>0</x:v>
      </x:c>
      <x:c r="L1284" t="n">
        <x:v>10</x:v>
      </x:c>
      <x:c r="M1284" t="n">
        <x:v>0</x:v>
      </x:c>
      <x:c r="N1284" t="str">
        <x:v>Approved</x:v>
      </x:c>
      <x:c r="O1284" t="n">
        <x:v>0</x:v>
      </x:c>
      <x:c r="P1284" t="str">
        <x:f>IF(L1284&gt;=75,"High",IF(L1284&gt;=55,"Medium","Low"))</x:f>
        <x:v>Low</x:v>
      </x:c>
    </x:row>
    <x:row r="1285">
      <x:c r="A1285" t="n">
        <x:v>1284</x:v>
      </x:c>
      <x:c r="B1285" t="n">
        <x:v>10176</x:v>
      </x:c>
      <x:c r="C1285" s="16" t="n">
        <x:v>46219</x:v>
      </x:c>
      <x:c r="D1285" t="str">
        <x:v>00:44:00</x:v>
      </x:c>
      <x:c r="E1285" t="str">
        <x:v>Bank Transfer</x:v>
      </x:c>
      <x:c r="F1285" t="str">
        <x:v>Electronics</x:v>
      </x:c>
      <x:c r="G1285" s="18" t="n">
        <x:v>2340.66</x:v>
      </x:c>
      <x:c r="H1285" t="n">
        <x:v>1</x:v>
      </x:c>
      <x:c r="I1285" t="n">
        <x:v>0</x:v>
      </x:c>
      <x:c r="J1285" t="n">
        <x:v>1</x:v>
      </x:c>
      <x:c r="K1285" t="n">
        <x:v>1</x:v>
      </x:c>
      <x:c r="L1285" t="n">
        <x:v>97</x:v>
      </x:c>
      <x:c r="M1285" t="n">
        <x:v>1</x:v>
      </x:c>
      <x:c r="N1285" t="str">
        <x:v>Declined</x:v>
      </x:c>
      <x:c r="O1285" t="n">
        <x:v>0</x:v>
      </x:c>
      <x:c r="P1285" t="str">
        <x:f>IF(L1285&gt;=75,"High",IF(L1285&gt;=55,"Medium","Low"))</x:f>
        <x:v>High</x:v>
      </x:c>
    </x:row>
    <x:row r="1286">
      <x:c r="A1286" t="n">
        <x:v>1285</x:v>
      </x:c>
      <x:c r="B1286" t="n">
        <x:v>10318</x:v>
      </x:c>
      <x:c r="C1286" s="16" t="n">
        <x:v>46263</x:v>
      </x:c>
      <x:c r="D1286" t="str">
        <x:v>02:21:00</x:v>
      </x:c>
      <x:c r="E1286" t="str">
        <x:v>Card</x:v>
      </x:c>
      <x:c r="F1286" t="str">
        <x:v>Utilities</x:v>
      </x:c>
      <x:c r="G1286" s="18" t="n">
        <x:v>197.72</x:v>
      </x:c>
      <x:c r="H1286" t="n">
        <x:v>0</x:v>
      </x:c>
      <x:c r="I1286" t="n">
        <x:v>0</x:v>
      </x:c>
      <x:c r="J1286" t="n">
        <x:v>0</x:v>
      </x:c>
      <x:c r="K1286" t="n">
        <x:v>1</x:v>
      </x:c>
      <x:c r="L1286" t="n">
        <x:v>25</x:v>
      </x:c>
      <x:c r="M1286" t="n">
        <x:v>0</x:v>
      </x:c>
      <x:c r="N1286" t="str">
        <x:v>Approved</x:v>
      </x:c>
      <x:c r="O1286" t="n">
        <x:v>0</x:v>
      </x:c>
      <x:c r="P1286" t="str">
        <x:f>IF(L1286&gt;=75,"High",IF(L1286&gt;=55,"Medium","Low"))</x:f>
        <x:v>Low</x:v>
      </x:c>
    </x:row>
    <x:row r="1287">
      <x:c r="A1287" t="n">
        <x:v>1286</x:v>
      </x:c>
      <x:c r="B1287" t="n">
        <x:v>10112</x:v>
      </x:c>
      <x:c r="C1287" s="16" t="n">
        <x:v>46252</x:v>
      </x:c>
      <x:c r="D1287" t="str">
        <x:v>08:40:00</x:v>
      </x:c>
      <x:c r="E1287" t="str">
        <x:v>Card</x:v>
      </x:c>
      <x:c r="F1287" t="str">
        <x:v>Dining</x:v>
      </x:c>
      <x:c r="G1287" s="18" t="n">
        <x:v>398.85</x:v>
      </x:c>
      <x:c r="H1287" t="n">
        <x:v>0</x:v>
      </x:c>
      <x:c r="I1287" t="n">
        <x:v>0</x:v>
      </x:c>
      <x:c r="J1287" t="n">
        <x:v>0</x:v>
      </x:c>
      <x:c r="K1287" t="n">
        <x:v>0</x:v>
      </x:c>
      <x:c r="L1287" t="n">
        <x:v>10</x:v>
      </x:c>
      <x:c r="M1287" t="n">
        <x:v>0</x:v>
      </x:c>
      <x:c r="N1287" t="str">
        <x:v>Approved</x:v>
      </x:c>
      <x:c r="O1287" t="n">
        <x:v>0</x:v>
      </x:c>
      <x:c r="P1287" t="str">
        <x:f>IF(L1287&gt;=75,"High",IF(L1287&gt;=55,"Medium","Low"))</x:f>
        <x:v>Low</x:v>
      </x:c>
    </x:row>
    <x:row r="1288">
      <x:c r="A1288" t="n">
        <x:v>1287</x:v>
      </x:c>
      <x:c r="B1288" t="n">
        <x:v>10337</x:v>
      </x:c>
      <x:c r="C1288" s="16" t="n">
        <x:v>46254</x:v>
      </x:c>
      <x:c r="D1288" t="str">
        <x:v>02:29:00</x:v>
      </x:c>
      <x:c r="E1288" t="str">
        <x:v>Card</x:v>
      </x:c>
      <x:c r="F1288" t="str">
        <x:v>Electronics</x:v>
      </x:c>
      <x:c r="G1288" s="18" t="n">
        <x:v>617.43</x:v>
      </x:c>
      <x:c r="H1288" t="n">
        <x:v>0</x:v>
      </x:c>
      <x:c r="I1288" t="n">
        <x:v>0</x:v>
      </x:c>
      <x:c r="J1288" t="n">
        <x:v>0</x:v>
      </x:c>
      <x:c r="K1288" t="n">
        <x:v>1</x:v>
      </x:c>
      <x:c r="L1288" t="n">
        <x:v>25</x:v>
      </x:c>
      <x:c r="M1288" t="n">
        <x:v>0</x:v>
      </x:c>
      <x:c r="N1288" t="str">
        <x:v>Approved</x:v>
      </x:c>
      <x:c r="O1288" t="n">
        <x:v>0</x:v>
      </x:c>
      <x:c r="P1288" t="str">
        <x:f>IF(L1288&gt;=75,"High",IF(L1288&gt;=55,"Medium","Low"))</x:f>
        <x:v>Low</x:v>
      </x:c>
    </x:row>
    <x:row r="1289">
      <x:c r="A1289" t="n">
        <x:v>1288</x:v>
      </x:c>
      <x:c r="B1289" t="n">
        <x:v>10291</x:v>
      </x:c>
      <x:c r="C1289" s="16" t="n">
        <x:v>46259</x:v>
      </x:c>
      <x:c r="D1289" t="str">
        <x:v>14:21:00</x:v>
      </x:c>
      <x:c r="E1289" t="str">
        <x:v>Bank Transfer</x:v>
      </x:c>
      <x:c r="F1289" t="str">
        <x:v>Retail</x:v>
      </x:c>
      <x:c r="G1289" s="18" t="n">
        <x:v>37.84</x:v>
      </x:c>
      <x:c r="H1289" t="n">
        <x:v>1</x:v>
      </x:c>
      <x:c r="I1289" t="n">
        <x:v>0</x:v>
      </x:c>
      <x:c r="J1289" t="n">
        <x:v>0</x:v>
      </x:c>
      <x:c r="K1289" t="n">
        <x:v>0</x:v>
      </x:c>
      <x:c r="L1289" t="n">
        <x:v>36</x:v>
      </x:c>
      <x:c r="M1289" t="n">
        <x:v>0</x:v>
      </x:c>
      <x:c r="N1289" t="str">
        <x:v>Approved</x:v>
      </x:c>
      <x:c r="O1289" t="n">
        <x:v>0</x:v>
      </x:c>
      <x:c r="P1289" t="str">
        <x:f>IF(L1289&gt;=75,"High",IF(L1289&gt;=55,"Medium","Low"))</x:f>
        <x:v>Low</x:v>
      </x:c>
    </x:row>
    <x:row r="1290">
      <x:c r="A1290" t="n">
        <x:v>1289</x:v>
      </x:c>
      <x:c r="B1290" t="n">
        <x:v>10201</x:v>
      </x:c>
      <x:c r="C1290" s="16" t="n">
        <x:v>46137</x:v>
      </x:c>
      <x:c r="D1290" t="str">
        <x:v>18:40:00</x:v>
      </x:c>
      <x:c r="E1290" t="str">
        <x:v>Card</x:v>
      </x:c>
      <x:c r="F1290" t="str">
        <x:v>Utilities</x:v>
      </x:c>
      <x:c r="G1290" s="18" t="n">
        <x:v>36.95</x:v>
      </x:c>
      <x:c r="H1290" t="n">
        <x:v>0</x:v>
      </x:c>
      <x:c r="I1290" t="n">
        <x:v>0</x:v>
      </x:c>
      <x:c r="J1290" t="n">
        <x:v>0</x:v>
      </x:c>
      <x:c r="K1290" t="n">
        <x:v>0</x:v>
      </x:c>
      <x:c r="L1290" t="n">
        <x:v>10</x:v>
      </x:c>
      <x:c r="M1290" t="n">
        <x:v>0</x:v>
      </x:c>
      <x:c r="N1290" t="str">
        <x:v>Approved</x:v>
      </x:c>
      <x:c r="O1290" t="n">
        <x:v>0</x:v>
      </x:c>
      <x:c r="P1290" t="str">
        <x:f>IF(L1290&gt;=75,"High",IF(L1290&gt;=55,"Medium","Low"))</x:f>
        <x:v>Low</x:v>
      </x:c>
    </x:row>
    <x:row r="1291">
      <x:c r="A1291" t="n">
        <x:v>1290</x:v>
      </x:c>
      <x:c r="B1291" t="n">
        <x:v>10044</x:v>
      </x:c>
      <x:c r="C1291" s="16" t="n">
        <x:v>46218</x:v>
      </x:c>
      <x:c r="D1291" t="str">
        <x:v>20:16:00</x:v>
      </x:c>
      <x:c r="E1291" t="str">
        <x:v>Bank Transfer</x:v>
      </x:c>
      <x:c r="F1291" t="str">
        <x:v>Electronics</x:v>
      </x:c>
      <x:c r="G1291" s="18" t="n">
        <x:v>29.12</x:v>
      </x:c>
      <x:c r="H1291" t="n">
        <x:v>0</x:v>
      </x:c>
      <x:c r="I1291" t="n">
        <x:v>0</x:v>
      </x:c>
      <x:c r="J1291" t="n">
        <x:v>0</x:v>
      </x:c>
      <x:c r="K1291" t="n">
        <x:v>0</x:v>
      </x:c>
      <x:c r="L1291" t="n">
        <x:v>10</x:v>
      </x:c>
      <x:c r="M1291" t="n">
        <x:v>0</x:v>
      </x:c>
      <x:c r="N1291" t="str">
        <x:v>Approved</x:v>
      </x:c>
      <x:c r="O1291" t="n">
        <x:v>0</x:v>
      </x:c>
      <x:c r="P1291" t="str">
        <x:f>IF(L1291&gt;=75,"High",IF(L1291&gt;=55,"Medium","Low"))</x:f>
        <x:v>Low</x:v>
      </x:c>
    </x:row>
    <x:row r="1292">
      <x:c r="A1292" t="n">
        <x:v>1291</x:v>
      </x:c>
      <x:c r="B1292" t="n">
        <x:v>10121</x:v>
      </x:c>
      <x:c r="C1292" s="16" t="n">
        <x:v>46156</x:v>
      </x:c>
      <x:c r="D1292" t="str">
        <x:v>11:31:00</x:v>
      </x:c>
      <x:c r="E1292" t="str">
        <x:v>Bank Transfer</x:v>
      </x:c>
      <x:c r="F1292" t="str">
        <x:v>Utilities</x:v>
      </x:c>
      <x:c r="G1292" s="18" t="n">
        <x:v>256.34</x:v>
      </x:c>
      <x:c r="H1292" t="n">
        <x:v>0</x:v>
      </x:c>
      <x:c r="I1292" t="n">
        <x:v>0</x:v>
      </x:c>
      <x:c r="J1292" t="n">
        <x:v>0</x:v>
      </x:c>
      <x:c r="K1292" t="n">
        <x:v>0</x:v>
      </x:c>
      <x:c r="L1292" t="n">
        <x:v>10</x:v>
      </x:c>
      <x:c r="M1292" t="n">
        <x:v>0</x:v>
      </x:c>
      <x:c r="N1292" t="str">
        <x:v>Approved</x:v>
      </x:c>
      <x:c r="O1292" t="n">
        <x:v>1</x:v>
      </x:c>
      <x:c r="P1292" t="str">
        <x:f>IF(L1292&gt;=75,"High",IF(L1292&gt;=55,"Medium","Low"))</x:f>
        <x:v>Low</x:v>
      </x:c>
    </x:row>
    <x:row r="1293">
      <x:c r="A1293" t="n">
        <x:v>1292</x:v>
      </x:c>
      <x:c r="B1293" t="n">
        <x:v>10271</x:v>
      </x:c>
      <x:c r="C1293" s="16" t="n">
        <x:v>46185</x:v>
      </x:c>
      <x:c r="D1293" t="str">
        <x:v>07:17:00</x:v>
      </x:c>
      <x:c r="E1293" t="str">
        <x:v>Card</x:v>
      </x:c>
      <x:c r="F1293" t="str">
        <x:v>Subscriptions</x:v>
      </x:c>
      <x:c r="G1293" s="18" t="n">
        <x:v>59.03</x:v>
      </x:c>
      <x:c r="H1293" t="n">
        <x:v>1</x:v>
      </x:c>
      <x:c r="I1293" t="n">
        <x:v>0</x:v>
      </x:c>
      <x:c r="J1293" t="n">
        <x:v>0</x:v>
      </x:c>
      <x:c r="K1293" t="n">
        <x:v>0</x:v>
      </x:c>
      <x:c r="L1293" t="n">
        <x:v>36</x:v>
      </x:c>
      <x:c r="M1293" t="n">
        <x:v>0</x:v>
      </x:c>
      <x:c r="N1293" t="str">
        <x:v>Approved</x:v>
      </x:c>
      <x:c r="O1293" t="n">
        <x:v>0</x:v>
      </x:c>
      <x:c r="P1293" t="str">
        <x:f>IF(L1293&gt;=75,"High",IF(L1293&gt;=55,"Medium","Low"))</x:f>
        <x:v>Low</x:v>
      </x:c>
    </x:row>
    <x:row r="1294">
      <x:c r="A1294" t="n">
        <x:v>1293</x:v>
      </x:c>
      <x:c r="B1294" t="n">
        <x:v>10142</x:v>
      </x:c>
      <x:c r="C1294" s="16" t="n">
        <x:v>46211</x:v>
      </x:c>
      <x:c r="D1294" t="str">
        <x:v>10:10:00</x:v>
      </x:c>
      <x:c r="E1294" t="str">
        <x:v>Bank Transfer</x:v>
      </x:c>
      <x:c r="F1294" t="str">
        <x:v>Retail</x:v>
      </x:c>
      <x:c r="G1294" s="18" t="n">
        <x:v>382.1</x:v>
      </x:c>
      <x:c r="H1294" t="n">
        <x:v>1</x:v>
      </x:c>
      <x:c r="I1294" t="n">
        <x:v>0</x:v>
      </x:c>
      <x:c r="J1294" t="n">
        <x:v>0</x:v>
      </x:c>
      <x:c r="K1294" t="n">
        <x:v>0</x:v>
      </x:c>
      <x:c r="L1294" t="n">
        <x:v>36</x:v>
      </x:c>
      <x:c r="M1294" t="n">
        <x:v>0</x:v>
      </x:c>
      <x:c r="N1294" t="str">
        <x:v>Approved</x:v>
      </x:c>
      <x:c r="O1294" t="n">
        <x:v>0</x:v>
      </x:c>
      <x:c r="P1294" t="str">
        <x:f>IF(L1294&gt;=75,"High",IF(L1294&gt;=55,"Medium","Low"))</x:f>
        <x:v>Low</x:v>
      </x:c>
    </x:row>
    <x:row r="1295">
      <x:c r="A1295" t="n">
        <x:v>1294</x:v>
      </x:c>
      <x:c r="B1295" t="n">
        <x:v>10132</x:v>
      </x:c>
      <x:c r="C1295" s="16" t="n">
        <x:v>46207</x:v>
      </x:c>
      <x:c r="D1295" t="str">
        <x:v>02:51:00</x:v>
      </x:c>
      <x:c r="E1295" t="str">
        <x:v>Card</x:v>
      </x:c>
      <x:c r="F1295" t="str">
        <x:v>Subscriptions</x:v>
      </x:c>
      <x:c r="G1295" s="18" t="n">
        <x:v>169.07</x:v>
      </x:c>
      <x:c r="H1295" t="n">
        <x:v>1</x:v>
      </x:c>
      <x:c r="I1295" t="n">
        <x:v>0</x:v>
      </x:c>
      <x:c r="J1295" t="n">
        <x:v>0</x:v>
      </x:c>
      <x:c r="K1295" t="n">
        <x:v>1</x:v>
      </x:c>
      <x:c r="L1295" t="n">
        <x:v>51</x:v>
      </x:c>
      <x:c r="M1295" t="n">
        <x:v>0</x:v>
      </x:c>
      <x:c r="N1295" t="str">
        <x:v>Approved</x:v>
      </x:c>
      <x:c r="O1295" t="n">
        <x:v>0</x:v>
      </x:c>
      <x:c r="P1295" t="str">
        <x:f>IF(L1295&gt;=75,"High",IF(L1295&gt;=55,"Medium","Low"))</x:f>
        <x:v>Low</x:v>
      </x:c>
    </x:row>
    <x:row r="1296">
      <x:c r="A1296" t="n">
        <x:v>1295</x:v>
      </x:c>
      <x:c r="B1296" t="n">
        <x:v>10352</x:v>
      </x:c>
      <x:c r="C1296" s="16" t="n">
        <x:v>46210</x:v>
      </x:c>
      <x:c r="D1296" t="str">
        <x:v>14:11:00</x:v>
      </x:c>
      <x:c r="E1296" t="str">
        <x:v>Bank Transfer</x:v>
      </x:c>
      <x:c r="F1296" t="str">
        <x:v>Transfer</x:v>
      </x:c>
      <x:c r="G1296" s="18" t="n">
        <x:v>1006.37</x:v>
      </x:c>
      <x:c r="H1296" t="n">
        <x:v>1</x:v>
      </x:c>
      <x:c r="I1296" t="n">
        <x:v>0</x:v>
      </x:c>
      <x:c r="J1296" t="n">
        <x:v>1</x:v>
      </x:c>
      <x:c r="K1296" t="n">
        <x:v>0</x:v>
      </x:c>
      <x:c r="L1296" t="n">
        <x:v>70</x:v>
      </x:c>
      <x:c r="M1296" t="n">
        <x:v>1</x:v>
      </x:c>
      <x:c r="N1296" t="str">
        <x:v>Declined</x:v>
      </x:c>
      <x:c r="O1296" t="n">
        <x:v>0</x:v>
      </x:c>
      <x:c r="P1296" t="str">
        <x:f>IF(L1296&gt;=75,"High",IF(L1296&gt;=55,"Medium","Low"))</x:f>
        <x:v>Medium</x:v>
      </x:c>
    </x:row>
    <x:row r="1297">
      <x:c r="A1297" t="n">
        <x:v>1296</x:v>
      </x:c>
      <x:c r="B1297" t="n">
        <x:v>10050</x:v>
      </x:c>
      <x:c r="C1297" s="16" t="n">
        <x:v>46193</x:v>
      </x:c>
      <x:c r="D1297" t="str">
        <x:v>09:40:00</x:v>
      </x:c>
      <x:c r="E1297" t="str">
        <x:v>Card</x:v>
      </x:c>
      <x:c r="F1297" t="str">
        <x:v>Transfer</x:v>
      </x:c>
      <x:c r="G1297" s="18" t="n">
        <x:v>959.93</x:v>
      </x:c>
      <x:c r="H1297" t="n">
        <x:v>0</x:v>
      </x:c>
      <x:c r="I1297" t="n">
        <x:v>0</x:v>
      </x:c>
      <x:c r="J1297" t="n">
        <x:v>1</x:v>
      </x:c>
      <x:c r="K1297" t="n">
        <x:v>0</x:v>
      </x:c>
      <x:c r="L1297" t="n">
        <x:v>44</x:v>
      </x:c>
      <x:c r="M1297" t="n">
        <x:v>0</x:v>
      </x:c>
      <x:c r="N1297" t="str">
        <x:v>Approved</x:v>
      </x:c>
      <x:c r="O1297" t="n">
        <x:v>0</x:v>
      </x:c>
      <x:c r="P1297" t="str">
        <x:f>IF(L1297&gt;=75,"High",IF(L1297&gt;=55,"Medium","Low"))</x:f>
        <x:v>Low</x:v>
      </x:c>
    </x:row>
    <x:row r="1298">
      <x:c r="A1298" t="n">
        <x:v>1297</x:v>
      </x:c>
      <x:c r="B1298" t="n">
        <x:v>10243</x:v>
      </x:c>
      <x:c r="C1298" s="16" t="n">
        <x:v>46254</x:v>
      </x:c>
      <x:c r="D1298" t="str">
        <x:v>03:27:00</x:v>
      </x:c>
      <x:c r="E1298" t="str">
        <x:v>Card</x:v>
      </x:c>
      <x:c r="F1298" t="str">
        <x:v>Dining</x:v>
      </x:c>
      <x:c r="G1298" s="18" t="n">
        <x:v>16.81</x:v>
      </x:c>
      <x:c r="H1298" t="n">
        <x:v>0</x:v>
      </x:c>
      <x:c r="I1298" t="n">
        <x:v>0</x:v>
      </x:c>
      <x:c r="J1298" t="n">
        <x:v>0</x:v>
      </x:c>
      <x:c r="K1298" t="n">
        <x:v>1</x:v>
      </x:c>
      <x:c r="L1298" t="n">
        <x:v>25</x:v>
      </x:c>
      <x:c r="M1298" t="n">
        <x:v>0</x:v>
      </x:c>
      <x:c r="N1298" t="str">
        <x:v>Approved</x:v>
      </x:c>
      <x:c r="O1298" t="n">
        <x:v>0</x:v>
      </x:c>
      <x:c r="P1298" t="str">
        <x:f>IF(L1298&gt;=75,"High",IF(L1298&gt;=55,"Medium","Low"))</x:f>
        <x:v>Low</x:v>
      </x:c>
    </x:row>
    <x:row r="1299">
      <x:c r="A1299" t="n">
        <x:v>1298</x:v>
      </x:c>
      <x:c r="B1299" t="n">
        <x:v>10211</x:v>
      </x:c>
      <x:c r="C1299" s="16" t="n">
        <x:v>46181</x:v>
      </x:c>
      <x:c r="D1299" t="str">
        <x:v>00:02:00</x:v>
      </x:c>
      <x:c r="E1299" t="str">
        <x:v>Card</x:v>
      </x:c>
      <x:c r="F1299" t="str">
        <x:v>Utilities</x:v>
      </x:c>
      <x:c r="G1299" s="18" t="n">
        <x:v>72.25</x:v>
      </x:c>
      <x:c r="H1299" t="n">
        <x:v>0</x:v>
      </x:c>
      <x:c r="I1299" t="n">
        <x:v>0</x:v>
      </x:c>
      <x:c r="J1299" t="n">
        <x:v>0</x:v>
      </x:c>
      <x:c r="K1299" t="n">
        <x:v>1</x:v>
      </x:c>
      <x:c r="L1299" t="n">
        <x:v>25</x:v>
      </x:c>
      <x:c r="M1299" t="n">
        <x:v>0</x:v>
      </x:c>
      <x:c r="N1299" t="str">
        <x:v>Approved</x:v>
      </x:c>
      <x:c r="O1299" t="n">
        <x:v>0</x:v>
      </x:c>
      <x:c r="P1299" t="str">
        <x:f>IF(L1299&gt;=75,"High",IF(L1299&gt;=55,"Medium","Low"))</x:f>
        <x:v>Low</x:v>
      </x:c>
    </x:row>
    <x:row r="1300">
      <x:c r="A1300" t="n">
        <x:v>1299</x:v>
      </x:c>
      <x:c r="B1300" t="n">
        <x:v>10217</x:v>
      </x:c>
      <x:c r="C1300" s="16" t="n">
        <x:v>46234</x:v>
      </x:c>
      <x:c r="D1300" t="str">
        <x:v>22:04:00</x:v>
      </x:c>
      <x:c r="E1300" t="str">
        <x:v>Card</x:v>
      </x:c>
      <x:c r="F1300" t="str">
        <x:v>Dining</x:v>
      </x:c>
      <x:c r="G1300" s="18" t="n">
        <x:v>328.25</x:v>
      </x:c>
      <x:c r="H1300" t="n">
        <x:v>0</x:v>
      </x:c>
      <x:c r="I1300" t="n">
        <x:v>0</x:v>
      </x:c>
      <x:c r="J1300" t="n">
        <x:v>0</x:v>
      </x:c>
      <x:c r="K1300" t="n">
        <x:v>0</x:v>
      </x:c>
      <x:c r="L1300" t="n">
        <x:v>10</x:v>
      </x:c>
      <x:c r="M1300" t="n">
        <x:v>0</x:v>
      </x:c>
      <x:c r="N1300" t="str">
        <x:v>Approved</x:v>
      </x:c>
      <x:c r="O1300" t="n">
        <x:v>0</x:v>
      </x:c>
      <x:c r="P1300" t="str">
        <x:f>IF(L1300&gt;=75,"High",IF(L1300&gt;=55,"Medium","Low"))</x:f>
        <x:v>Low</x:v>
      </x:c>
    </x:row>
    <x:row r="1301">
      <x:c r="A1301" t="n">
        <x:v>1300</x:v>
      </x:c>
      <x:c r="B1301" t="n">
        <x:v>10022</x:v>
      </x:c>
      <x:c r="C1301" s="16" t="n">
        <x:v>46272</x:v>
      </x:c>
      <x:c r="D1301" t="str">
        <x:v>22:33:00</x:v>
      </x:c>
      <x:c r="E1301" t="str">
        <x:v>Card</x:v>
      </x:c>
      <x:c r="F1301" t="str">
        <x:v>Transfer</x:v>
      </x:c>
      <x:c r="G1301" s="18" t="n">
        <x:v>181.64</x:v>
      </x:c>
      <x:c r="H1301" t="n">
        <x:v>0</x:v>
      </x:c>
      <x:c r="I1301" t="n">
        <x:v>1</x:v>
      </x:c>
      <x:c r="J1301" t="n">
        <x:v>0</x:v>
      </x:c>
      <x:c r="K1301" t="n">
        <x:v>0</x:v>
      </x:c>
      <x:c r="L1301" t="n">
        <x:v>30</x:v>
      </x:c>
      <x:c r="M1301" t="n">
        <x:v>0</x:v>
      </x:c>
      <x:c r="N1301" t="str">
        <x:v>Approved</x:v>
      </x:c>
      <x:c r="O1301" t="n">
        <x:v>0</x:v>
      </x:c>
      <x:c r="P1301" t="str">
        <x:f>IF(L1301&gt;=75,"High",IF(L1301&gt;=55,"Medium","Low"))</x:f>
        <x:v>Low</x:v>
      </x:c>
    </x:row>
    <x:row r="1302">
      <x:c r="A1302" t="n">
        <x:v>1301</x:v>
      </x:c>
      <x:c r="B1302" t="n">
        <x:v>10190</x:v>
      </x:c>
      <x:c r="C1302" s="16" t="n">
        <x:v>46169</x:v>
      </x:c>
      <x:c r="D1302" t="str">
        <x:v>12:42:00</x:v>
      </x:c>
      <x:c r="E1302" t="str">
        <x:v>Bank Transfer</x:v>
      </x:c>
      <x:c r="F1302" t="str">
        <x:v>Utilities</x:v>
      </x:c>
      <x:c r="G1302" s="18" t="n">
        <x:v>27.18</x:v>
      </x:c>
      <x:c r="H1302" t="n">
        <x:v>0</x:v>
      </x:c>
      <x:c r="I1302" t="n">
        <x:v>0</x:v>
      </x:c>
      <x:c r="J1302" t="n">
        <x:v>0</x:v>
      </x:c>
      <x:c r="K1302" t="n">
        <x:v>0</x:v>
      </x:c>
      <x:c r="L1302" t="n">
        <x:v>10</x:v>
      </x:c>
      <x:c r="M1302" t="n">
        <x:v>0</x:v>
      </x:c>
      <x:c r="N1302" t="str">
        <x:v>Approved</x:v>
      </x:c>
      <x:c r="O1302" t="n">
        <x:v>0</x:v>
      </x:c>
      <x:c r="P1302" t="str">
        <x:f>IF(L1302&gt;=75,"High",IF(L1302&gt;=55,"Medium","Low"))</x:f>
        <x:v>Low</x:v>
      </x:c>
    </x:row>
    <x:row r="1303">
      <x:c r="A1303" t="n">
        <x:v>1302</x:v>
      </x:c>
      <x:c r="B1303" t="n">
        <x:v>10125</x:v>
      </x:c>
      <x:c r="C1303" s="16" t="n">
        <x:v>46127</x:v>
      </x:c>
      <x:c r="D1303" t="str">
        <x:v>08:50:00</x:v>
      </x:c>
      <x:c r="E1303" t="str">
        <x:v>Card</x:v>
      </x:c>
      <x:c r="F1303" t="str">
        <x:v>Utilities</x:v>
      </x:c>
      <x:c r="G1303" s="18" t="n">
        <x:v>63.15</x:v>
      </x:c>
      <x:c r="H1303" t="n">
        <x:v>0</x:v>
      </x:c>
      <x:c r="I1303" t="n">
        <x:v>0</x:v>
      </x:c>
      <x:c r="J1303" t="n">
        <x:v>0</x:v>
      </x:c>
      <x:c r="K1303" t="n">
        <x:v>0</x:v>
      </x:c>
      <x:c r="L1303" t="n">
        <x:v>10</x:v>
      </x:c>
      <x:c r="M1303" t="n">
        <x:v>0</x:v>
      </x:c>
      <x:c r="N1303" t="str">
        <x:v>Approved</x:v>
      </x:c>
      <x:c r="O1303" t="n">
        <x:v>0</x:v>
      </x:c>
      <x:c r="P1303" t="str">
        <x:f>IF(L1303&gt;=75,"High",IF(L1303&gt;=55,"Medium","Low"))</x:f>
        <x:v>Low</x:v>
      </x:c>
    </x:row>
    <x:row r="1304">
      <x:c r="A1304" t="n">
        <x:v>1303</x:v>
      </x:c>
      <x:c r="B1304" t="n">
        <x:v>10207</x:v>
      </x:c>
      <x:c r="C1304" s="16" t="n">
        <x:v>46201</x:v>
      </x:c>
      <x:c r="D1304" t="str">
        <x:v>05:48:00</x:v>
      </x:c>
      <x:c r="E1304" t="str">
        <x:v>P2P</x:v>
      </x:c>
      <x:c r="F1304" t="str">
        <x:v>Transfer</x:v>
      </x:c>
      <x:c r="G1304" s="18" t="n">
        <x:v>48.1</x:v>
      </x:c>
      <x:c r="H1304" t="n">
        <x:v>0</x:v>
      </x:c>
      <x:c r="I1304" t="n">
        <x:v>0</x:v>
      </x:c>
      <x:c r="J1304" t="n">
        <x:v>0</x:v>
      </x:c>
      <x:c r="K1304" t="n">
        <x:v>0</x:v>
      </x:c>
      <x:c r="L1304" t="n">
        <x:v>10</x:v>
      </x:c>
      <x:c r="M1304" t="n">
        <x:v>0</x:v>
      </x:c>
      <x:c r="N1304" t="str">
        <x:v>Approved</x:v>
      </x:c>
      <x:c r="O1304" t="n">
        <x:v>0</x:v>
      </x:c>
      <x:c r="P1304" t="str">
        <x:f>IF(L1304&gt;=75,"High",IF(L1304&gt;=55,"Medium","Low"))</x:f>
        <x:v>Low</x:v>
      </x:c>
    </x:row>
    <x:row r="1305">
      <x:c r="A1305" t="n">
        <x:v>1304</x:v>
      </x:c>
      <x:c r="B1305" t="n">
        <x:v>10336</x:v>
      </x:c>
      <x:c r="C1305" s="16" t="n">
        <x:v>46244</x:v>
      </x:c>
      <x:c r="D1305" t="str">
        <x:v>08:42:00</x:v>
      </x:c>
      <x:c r="E1305" t="str">
        <x:v>Card</x:v>
      </x:c>
      <x:c r="F1305" t="str">
        <x:v>Retail</x:v>
      </x:c>
      <x:c r="G1305" s="18" t="n">
        <x:v>23.1</x:v>
      </x:c>
      <x:c r="H1305" t="n">
        <x:v>1</x:v>
      </x:c>
      <x:c r="I1305" t="n">
        <x:v>0</x:v>
      </x:c>
      <x:c r="J1305" t="n">
        <x:v>0</x:v>
      </x:c>
      <x:c r="K1305" t="n">
        <x:v>0</x:v>
      </x:c>
      <x:c r="L1305" t="n">
        <x:v>36</x:v>
      </x:c>
      <x:c r="M1305" t="n">
        <x:v>0</x:v>
      </x:c>
      <x:c r="N1305" t="str">
        <x:v>Approved</x:v>
      </x:c>
      <x:c r="O1305" t="n">
        <x:v>0</x:v>
      </x:c>
      <x:c r="P1305" t="str">
        <x:f>IF(L1305&gt;=75,"High",IF(L1305&gt;=55,"Medium","Low"))</x:f>
        <x:v>Low</x:v>
      </x:c>
    </x:row>
    <x:row r="1306">
      <x:c r="A1306" t="n">
        <x:v>1305</x:v>
      </x:c>
      <x:c r="B1306" t="n">
        <x:v>10184</x:v>
      </x:c>
      <x:c r="C1306" s="16" t="n">
        <x:v>46229</x:v>
      </x:c>
      <x:c r="D1306" t="str">
        <x:v>06:01:00</x:v>
      </x:c>
      <x:c r="E1306" t="str">
        <x:v>Card</x:v>
      </x:c>
      <x:c r="F1306" t="str">
        <x:v>Retail</x:v>
      </x:c>
      <x:c r="G1306" s="18" t="n">
        <x:v>32.64</x:v>
      </x:c>
      <x:c r="H1306" t="n">
        <x:v>0</x:v>
      </x:c>
      <x:c r="I1306" t="n">
        <x:v>0</x:v>
      </x:c>
      <x:c r="J1306" t="n">
        <x:v>0</x:v>
      </x:c>
      <x:c r="K1306" t="n">
        <x:v>0</x:v>
      </x:c>
      <x:c r="L1306" t="n">
        <x:v>10</x:v>
      </x:c>
      <x:c r="M1306" t="n">
        <x:v>0</x:v>
      </x:c>
      <x:c r="N1306" t="str">
        <x:v>Approved</x:v>
      </x:c>
      <x:c r="O1306" t="n">
        <x:v>0</x:v>
      </x:c>
      <x:c r="P1306" t="str">
        <x:f>IF(L1306&gt;=75,"High",IF(L1306&gt;=55,"Medium","Low"))</x:f>
        <x:v>Low</x:v>
      </x:c>
    </x:row>
    <x:row r="1307">
      <x:c r="A1307" t="n">
        <x:v>1306</x:v>
      </x:c>
      <x:c r="B1307" t="n">
        <x:v>10164</x:v>
      </x:c>
      <x:c r="C1307" s="16" t="n">
        <x:v>46203</x:v>
      </x:c>
      <x:c r="D1307" t="str">
        <x:v>10:33:00</x:v>
      </x:c>
      <x:c r="E1307" t="str">
        <x:v>P2P</x:v>
      </x:c>
      <x:c r="F1307" t="str">
        <x:v>Electronics</x:v>
      </x:c>
      <x:c r="G1307" s="18" t="n">
        <x:v>62.82</x:v>
      </x:c>
      <x:c r="H1307" t="n">
        <x:v>0</x:v>
      </x:c>
      <x:c r="I1307" t="n">
        <x:v>0</x:v>
      </x:c>
      <x:c r="J1307" t="n">
        <x:v>0</x:v>
      </x:c>
      <x:c r="K1307" t="n">
        <x:v>0</x:v>
      </x:c>
      <x:c r="L1307" t="n">
        <x:v>10</x:v>
      </x:c>
      <x:c r="M1307" t="n">
        <x:v>0</x:v>
      </x:c>
      <x:c r="N1307" t="str">
        <x:v>Approved</x:v>
      </x:c>
      <x:c r="O1307" t="n">
        <x:v>0</x:v>
      </x:c>
      <x:c r="P1307" t="str">
        <x:f>IF(L1307&gt;=75,"High",IF(L1307&gt;=55,"Medium","Low"))</x:f>
        <x:v>Low</x:v>
      </x:c>
    </x:row>
    <x:row r="1308">
      <x:c r="A1308" t="n">
        <x:v>1307</x:v>
      </x:c>
      <x:c r="B1308" t="n">
        <x:v>10052</x:v>
      </x:c>
      <x:c r="C1308" s="16" t="n">
        <x:v>46191</x:v>
      </x:c>
      <x:c r="D1308" t="str">
        <x:v>01:27:00</x:v>
      </x:c>
      <x:c r="E1308" t="str">
        <x:v>Card</x:v>
      </x:c>
      <x:c r="F1308" t="str">
        <x:v>Retail</x:v>
      </x:c>
      <x:c r="G1308" s="18" t="n">
        <x:v>96.42</x:v>
      </x:c>
      <x:c r="H1308" t="n">
        <x:v>0</x:v>
      </x:c>
      <x:c r="I1308" t="n">
        <x:v>0</x:v>
      </x:c>
      <x:c r="J1308" t="n">
        <x:v>0</x:v>
      </x:c>
      <x:c r="K1308" t="n">
        <x:v>1</x:v>
      </x:c>
      <x:c r="L1308" t="n">
        <x:v>25</x:v>
      </x:c>
      <x:c r="M1308" t="n">
        <x:v>0</x:v>
      </x:c>
      <x:c r="N1308" t="str">
        <x:v>Approved</x:v>
      </x:c>
      <x:c r="O1308" t="n">
        <x:v>0</x:v>
      </x:c>
      <x:c r="P1308" t="str">
        <x:f>IF(L1308&gt;=75,"High",IF(L1308&gt;=55,"Medium","Low"))</x:f>
        <x:v>Low</x:v>
      </x:c>
    </x:row>
    <x:row r="1309">
      <x:c r="A1309" t="n">
        <x:v>1308</x:v>
      </x:c>
      <x:c r="B1309" t="n">
        <x:v>10329</x:v>
      </x:c>
      <x:c r="C1309" s="16" t="n">
        <x:v>46143</x:v>
      </x:c>
      <x:c r="D1309" t="str">
        <x:v>11:15:00</x:v>
      </x:c>
      <x:c r="E1309" t="str">
        <x:v>Card</x:v>
      </x:c>
      <x:c r="F1309" t="str">
        <x:v>Retail</x:v>
      </x:c>
      <x:c r="G1309" s="18" t="n">
        <x:v>26.95</x:v>
      </x:c>
      <x:c r="H1309" t="n">
        <x:v>0</x:v>
      </x:c>
      <x:c r="I1309" t="n">
        <x:v>0</x:v>
      </x:c>
      <x:c r="J1309" t="n">
        <x:v>0</x:v>
      </x:c>
      <x:c r="K1309" t="n">
        <x:v>0</x:v>
      </x:c>
      <x:c r="L1309" t="n">
        <x:v>10</x:v>
      </x:c>
      <x:c r="M1309" t="n">
        <x:v>0</x:v>
      </x:c>
      <x:c r="N1309" t="str">
        <x:v>Approved</x:v>
      </x:c>
      <x:c r="O1309" t="n">
        <x:v>0</x:v>
      </x:c>
      <x:c r="P1309" t="str">
        <x:f>IF(L1309&gt;=75,"High",IF(L1309&gt;=55,"Medium","Low"))</x:f>
        <x:v>Low</x:v>
      </x:c>
    </x:row>
    <x:row r="1310">
      <x:c r="A1310" t="n">
        <x:v>1309</x:v>
      </x:c>
      <x:c r="B1310" t="n">
        <x:v>10241</x:v>
      </x:c>
      <x:c r="C1310" s="16" t="n">
        <x:v>46183</x:v>
      </x:c>
      <x:c r="D1310" t="str">
        <x:v>12:47:00</x:v>
      </x:c>
      <x:c r="E1310" t="str">
        <x:v>Bank Transfer</x:v>
      </x:c>
      <x:c r="F1310" t="str">
        <x:v>Utilities</x:v>
      </x:c>
      <x:c r="G1310" s="18" t="n">
        <x:v>22.87</x:v>
      </x:c>
      <x:c r="H1310" t="n">
        <x:v>1</x:v>
      </x:c>
      <x:c r="I1310" t="n">
        <x:v>0</x:v>
      </x:c>
      <x:c r="J1310" t="n">
        <x:v>0</x:v>
      </x:c>
      <x:c r="K1310" t="n">
        <x:v>0</x:v>
      </x:c>
      <x:c r="L1310" t="n">
        <x:v>36</x:v>
      </x:c>
      <x:c r="M1310" t="n">
        <x:v>0</x:v>
      </x:c>
      <x:c r="N1310" t="str">
        <x:v>Approved</x:v>
      </x:c>
      <x:c r="O1310" t="n">
        <x:v>0</x:v>
      </x:c>
      <x:c r="P1310" t="str">
        <x:f>IF(L1310&gt;=75,"High",IF(L1310&gt;=55,"Medium","Low"))</x:f>
        <x:v>Low</x:v>
      </x:c>
    </x:row>
    <x:row r="1311">
      <x:c r="A1311" t="n">
        <x:v>1310</x:v>
      </x:c>
      <x:c r="B1311" t="n">
        <x:v>10175</x:v>
      </x:c>
      <x:c r="C1311" s="16" t="n">
        <x:v>46234</x:v>
      </x:c>
      <x:c r="D1311" t="str">
        <x:v>08:36:00</x:v>
      </x:c>
      <x:c r="E1311" t="str">
        <x:v>Bank Transfer</x:v>
      </x:c>
      <x:c r="F1311" t="str">
        <x:v>Electronics</x:v>
      </x:c>
      <x:c r="G1311" s="18" t="n">
        <x:v>113.74</x:v>
      </x:c>
      <x:c r="H1311" t="n">
        <x:v>0</x:v>
      </x:c>
      <x:c r="I1311" t="n">
        <x:v>0</x:v>
      </x:c>
      <x:c r="J1311" t="n">
        <x:v>0</x:v>
      </x:c>
      <x:c r="K1311" t="n">
        <x:v>0</x:v>
      </x:c>
      <x:c r="L1311" t="n">
        <x:v>10</x:v>
      </x:c>
      <x:c r="M1311" t="n">
        <x:v>0</x:v>
      </x:c>
      <x:c r="N1311" t="str">
        <x:v>Approved</x:v>
      </x:c>
      <x:c r="O1311" t="n">
        <x:v>0</x:v>
      </x:c>
      <x:c r="P1311" t="str">
        <x:f>IF(L1311&gt;=75,"High",IF(L1311&gt;=55,"Medium","Low"))</x:f>
        <x:v>Low</x:v>
      </x:c>
    </x:row>
    <x:row r="1312">
      <x:c r="A1312" t="n">
        <x:v>1311</x:v>
      </x:c>
      <x:c r="B1312" t="n">
        <x:v>10239</x:v>
      </x:c>
      <x:c r="C1312" s="16" t="n">
        <x:v>46153</x:v>
      </x:c>
      <x:c r="D1312" t="str">
        <x:v>05:53:00</x:v>
      </x:c>
      <x:c r="E1312" t="str">
        <x:v>Bank Transfer</x:v>
      </x:c>
      <x:c r="F1312" t="str">
        <x:v>Travel</x:v>
      </x:c>
      <x:c r="G1312" s="18" t="n">
        <x:v>126.76</x:v>
      </x:c>
      <x:c r="H1312" t="n">
        <x:v>0</x:v>
      </x:c>
      <x:c r="I1312" t="n">
        <x:v>0</x:v>
      </x:c>
      <x:c r="J1312" t="n">
        <x:v>0</x:v>
      </x:c>
      <x:c r="K1312" t="n">
        <x:v>0</x:v>
      </x:c>
      <x:c r="L1312" t="n">
        <x:v>10</x:v>
      </x:c>
      <x:c r="M1312" t="n">
        <x:v>0</x:v>
      </x:c>
      <x:c r="N1312" t="str">
        <x:v>Approved</x:v>
      </x:c>
      <x:c r="O1312" t="n">
        <x:v>0</x:v>
      </x:c>
      <x:c r="P1312" t="str">
        <x:f>IF(L1312&gt;=75,"High",IF(L1312&gt;=55,"Medium","Low"))</x:f>
        <x:v>Low</x:v>
      </x:c>
    </x:row>
    <x:row r="1313">
      <x:c r="A1313" t="n">
        <x:v>1312</x:v>
      </x:c>
      <x:c r="B1313" t="n">
        <x:v>10258</x:v>
      </x:c>
      <x:c r="C1313" s="16" t="n">
        <x:v>46162</x:v>
      </x:c>
      <x:c r="D1313" t="str">
        <x:v>11:35:00</x:v>
      </x:c>
      <x:c r="E1313" t="str">
        <x:v>Card</x:v>
      </x:c>
      <x:c r="F1313" t="str">
        <x:v>Utilities</x:v>
      </x:c>
      <x:c r="G1313" s="18" t="n">
        <x:v>194.41</x:v>
      </x:c>
      <x:c r="H1313" t="n">
        <x:v>0</x:v>
      </x:c>
      <x:c r="I1313" t="n">
        <x:v>0</x:v>
      </x:c>
      <x:c r="J1313" t="n">
        <x:v>0</x:v>
      </x:c>
      <x:c r="K1313" t="n">
        <x:v>0</x:v>
      </x:c>
      <x:c r="L1313" t="n">
        <x:v>10</x:v>
      </x:c>
      <x:c r="M1313" t="n">
        <x:v>0</x:v>
      </x:c>
      <x:c r="N1313" t="str">
        <x:v>Approved</x:v>
      </x:c>
      <x:c r="O1313" t="n">
        <x:v>0</x:v>
      </x:c>
      <x:c r="P1313" t="str">
        <x:f>IF(L1313&gt;=75,"High",IF(L1313&gt;=55,"Medium","Low"))</x:f>
        <x:v>Low</x:v>
      </x:c>
    </x:row>
    <x:row r="1314">
      <x:c r="A1314" t="n">
        <x:v>1313</x:v>
      </x:c>
      <x:c r="B1314" t="n">
        <x:v>10170</x:v>
      </x:c>
      <x:c r="C1314" s="16" t="n">
        <x:v>46123</x:v>
      </x:c>
      <x:c r="D1314" t="str">
        <x:v>12:55:00</x:v>
      </x:c>
      <x:c r="E1314" t="str">
        <x:v>P2P</x:v>
      </x:c>
      <x:c r="F1314" t="str">
        <x:v>Utilities</x:v>
      </x:c>
      <x:c r="G1314" s="18" t="n">
        <x:v>306.66</x:v>
      </x:c>
      <x:c r="H1314" t="n">
        <x:v>0</x:v>
      </x:c>
      <x:c r="I1314" t="n">
        <x:v>0</x:v>
      </x:c>
      <x:c r="J1314" t="n">
        <x:v>0</x:v>
      </x:c>
      <x:c r="K1314" t="n">
        <x:v>0</x:v>
      </x:c>
      <x:c r="L1314" t="n">
        <x:v>10</x:v>
      </x:c>
      <x:c r="M1314" t="n">
        <x:v>0</x:v>
      </x:c>
      <x:c r="N1314" t="str">
        <x:v>Approved</x:v>
      </x:c>
      <x:c r="O1314" t="n">
        <x:v>0</x:v>
      </x:c>
      <x:c r="P1314" t="str">
        <x:f>IF(L1314&gt;=75,"High",IF(L1314&gt;=55,"Medium","Low"))</x:f>
        <x:v>Low</x:v>
      </x:c>
    </x:row>
    <x:row r="1315">
      <x:c r="A1315" t="n">
        <x:v>1314</x:v>
      </x:c>
      <x:c r="B1315" t="n">
        <x:v>10069</x:v>
      </x:c>
      <x:c r="C1315" s="16" t="n">
        <x:v>46162</x:v>
      </x:c>
      <x:c r="D1315" t="str">
        <x:v>01:48:00</x:v>
      </x:c>
      <x:c r="E1315" t="str">
        <x:v>Bank Transfer</x:v>
      </x:c>
      <x:c r="F1315" t="str">
        <x:v>Dining</x:v>
      </x:c>
      <x:c r="G1315" s="18" t="n">
        <x:v>38.27</x:v>
      </x:c>
      <x:c r="H1315" t="n">
        <x:v>1</x:v>
      </x:c>
      <x:c r="I1315" t="n">
        <x:v>0</x:v>
      </x:c>
      <x:c r="J1315" t="n">
        <x:v>0</x:v>
      </x:c>
      <x:c r="K1315" t="n">
        <x:v>1</x:v>
      </x:c>
      <x:c r="L1315" t="n">
        <x:v>51</x:v>
      </x:c>
      <x:c r="M1315" t="n">
        <x:v>0</x:v>
      </x:c>
      <x:c r="N1315" t="str">
        <x:v>Declined</x:v>
      </x:c>
      <x:c r="O1315" t="n">
        <x:v>0</x:v>
      </x:c>
      <x:c r="P1315" t="str">
        <x:f>IF(L1315&gt;=75,"High",IF(L1315&gt;=55,"Medium","Low"))</x:f>
        <x:v>Low</x:v>
      </x:c>
    </x:row>
    <x:row r="1316">
      <x:c r="A1316" t="n">
        <x:v>1315</x:v>
      </x:c>
      <x:c r="B1316" t="n">
        <x:v>10263</x:v>
      </x:c>
      <x:c r="C1316" s="16" t="n">
        <x:v>46127</x:v>
      </x:c>
      <x:c r="D1316" t="str">
        <x:v>23:41:00</x:v>
      </x:c>
      <x:c r="E1316" t="str">
        <x:v>Card</x:v>
      </x:c>
      <x:c r="F1316" t="str">
        <x:v>Transfer</x:v>
      </x:c>
      <x:c r="G1316" s="18" t="n">
        <x:v>587</x:v>
      </x:c>
      <x:c r="H1316" t="n">
        <x:v>0</x:v>
      </x:c>
      <x:c r="I1316" t="n">
        <x:v>0</x:v>
      </x:c>
      <x:c r="J1316" t="n">
        <x:v>0</x:v>
      </x:c>
      <x:c r="K1316" t="n">
        <x:v>0</x:v>
      </x:c>
      <x:c r="L1316" t="n">
        <x:v>10</x:v>
      </x:c>
      <x:c r="M1316" t="n">
        <x:v>0</x:v>
      </x:c>
      <x:c r="N1316" t="str">
        <x:v>Approved</x:v>
      </x:c>
      <x:c r="O1316" t="n">
        <x:v>0</x:v>
      </x:c>
      <x:c r="P1316" t="str">
        <x:f>IF(L1316&gt;=75,"High",IF(L1316&gt;=55,"Medium","Low"))</x:f>
        <x:v>Low</x:v>
      </x:c>
    </x:row>
    <x:row r="1317">
      <x:c r="A1317" t="n">
        <x:v>1316</x:v>
      </x:c>
      <x:c r="B1317" t="n">
        <x:v>10321</x:v>
      </x:c>
      <x:c r="C1317" s="16" t="n">
        <x:v>46216</x:v>
      </x:c>
      <x:c r="D1317" t="str">
        <x:v>07:07:00</x:v>
      </x:c>
      <x:c r="E1317" t="str">
        <x:v>P2P</x:v>
      </x:c>
      <x:c r="F1317" t="str">
        <x:v>Transfer</x:v>
      </x:c>
      <x:c r="G1317" s="18" t="n">
        <x:v>105.26</x:v>
      </x:c>
      <x:c r="H1317" t="n">
        <x:v>0</x:v>
      </x:c>
      <x:c r="I1317" t="n">
        <x:v>0</x:v>
      </x:c>
      <x:c r="J1317" t="n">
        <x:v>0</x:v>
      </x:c>
      <x:c r="K1317" t="n">
        <x:v>0</x:v>
      </x:c>
      <x:c r="L1317" t="n">
        <x:v>10</x:v>
      </x:c>
      <x:c r="M1317" t="n">
        <x:v>0</x:v>
      </x:c>
      <x:c r="N1317" t="str">
        <x:v>Approved</x:v>
      </x:c>
      <x:c r="O1317" t="n">
        <x:v>0</x:v>
      </x:c>
      <x:c r="P1317" t="str">
        <x:f>IF(L1317&gt;=75,"High",IF(L1317&gt;=55,"Medium","Low"))</x:f>
        <x:v>Low</x:v>
      </x:c>
    </x:row>
    <x:row r="1318">
      <x:c r="A1318" t="n">
        <x:v>1317</x:v>
      </x:c>
      <x:c r="B1318" t="n">
        <x:v>10022</x:v>
      </x:c>
      <x:c r="C1318" s="16" t="n">
        <x:v>46210</x:v>
      </x:c>
      <x:c r="D1318" t="str">
        <x:v>23:57:00</x:v>
      </x:c>
      <x:c r="E1318" t="str">
        <x:v>Card</x:v>
      </x:c>
      <x:c r="F1318" t="str">
        <x:v>Transfer</x:v>
      </x:c>
      <x:c r="G1318" s="18" t="n">
        <x:v>47.18</x:v>
      </x:c>
      <x:c r="H1318" t="n">
        <x:v>0</x:v>
      </x:c>
      <x:c r="I1318" t="n">
        <x:v>1</x:v>
      </x:c>
      <x:c r="J1318" t="n">
        <x:v>0</x:v>
      </x:c>
      <x:c r="K1318" t="n">
        <x:v>0</x:v>
      </x:c>
      <x:c r="L1318" t="n">
        <x:v>30</x:v>
      </x:c>
      <x:c r="M1318" t="n">
        <x:v>0</x:v>
      </x:c>
      <x:c r="N1318" t="str">
        <x:v>Approved</x:v>
      </x:c>
      <x:c r="O1318" t="n">
        <x:v>0</x:v>
      </x:c>
      <x:c r="P1318" t="str">
        <x:f>IF(L1318&gt;=75,"High",IF(L1318&gt;=55,"Medium","Low"))</x:f>
        <x:v>Low</x:v>
      </x:c>
    </x:row>
    <x:row r="1319">
      <x:c r="A1319" t="n">
        <x:v>1318</x:v>
      </x:c>
      <x:c r="B1319" t="n">
        <x:v>10147</x:v>
      </x:c>
      <x:c r="C1319" s="16" t="n">
        <x:v>46230</x:v>
      </x:c>
      <x:c r="D1319" t="str">
        <x:v>21:53:00</x:v>
      </x:c>
      <x:c r="E1319" t="str">
        <x:v>Bank Transfer</x:v>
      </x:c>
      <x:c r="F1319" t="str">
        <x:v>Dining</x:v>
      </x:c>
      <x:c r="G1319" s="18" t="n">
        <x:v>74.14</x:v>
      </x:c>
      <x:c r="H1319" t="n">
        <x:v>0</x:v>
      </x:c>
      <x:c r="I1319" t="n">
        <x:v>0</x:v>
      </x:c>
      <x:c r="J1319" t="n">
        <x:v>0</x:v>
      </x:c>
      <x:c r="K1319" t="n">
        <x:v>0</x:v>
      </x:c>
      <x:c r="L1319" t="n">
        <x:v>10</x:v>
      </x:c>
      <x:c r="M1319" t="n">
        <x:v>0</x:v>
      </x:c>
      <x:c r="N1319" t="str">
        <x:v>Approved</x:v>
      </x:c>
      <x:c r="O1319" t="n">
        <x:v>0</x:v>
      </x:c>
      <x:c r="P1319" t="str">
        <x:f>IF(L1319&gt;=75,"High",IF(L1319&gt;=55,"Medium","Low"))</x:f>
        <x:v>Low</x:v>
      </x:c>
    </x:row>
    <x:row r="1320">
      <x:c r="A1320" t="n">
        <x:v>1319</x:v>
      </x:c>
      <x:c r="B1320" t="n">
        <x:v>10053</x:v>
      </x:c>
      <x:c r="C1320" s="16" t="n">
        <x:v>46168</x:v>
      </x:c>
      <x:c r="D1320" t="str">
        <x:v>05:19:00</x:v>
      </x:c>
      <x:c r="E1320" t="str">
        <x:v>Bank Transfer</x:v>
      </x:c>
      <x:c r="F1320" t="str">
        <x:v>Subscriptions</x:v>
      </x:c>
      <x:c r="G1320" s="18" t="n">
        <x:v>15.06</x:v>
      </x:c>
      <x:c r="H1320" t="n">
        <x:v>1</x:v>
      </x:c>
      <x:c r="I1320" t="n">
        <x:v>0</x:v>
      </x:c>
      <x:c r="J1320" t="n">
        <x:v>0</x:v>
      </x:c>
      <x:c r="K1320" t="n">
        <x:v>0</x:v>
      </x:c>
      <x:c r="L1320" t="n">
        <x:v>36</x:v>
      </x:c>
      <x:c r="M1320" t="n">
        <x:v>0</x:v>
      </x:c>
      <x:c r="N1320" t="str">
        <x:v>Approved</x:v>
      </x:c>
      <x:c r="O1320" t="n">
        <x:v>0</x:v>
      </x:c>
      <x:c r="P1320" t="str">
        <x:f>IF(L1320&gt;=75,"High",IF(L1320&gt;=55,"Medium","Low"))</x:f>
        <x:v>Low</x:v>
      </x:c>
    </x:row>
    <x:row r="1321">
      <x:c r="A1321" t="n">
        <x:v>1320</x:v>
      </x:c>
      <x:c r="B1321" t="n">
        <x:v>10265</x:v>
      </x:c>
      <x:c r="C1321" s="16" t="n">
        <x:v>46290</x:v>
      </x:c>
      <x:c r="D1321" t="str">
        <x:v>20:14:00</x:v>
      </x:c>
      <x:c r="E1321" t="str">
        <x:v>P2P</x:v>
      </x:c>
      <x:c r="F1321" t="str">
        <x:v>Retail</x:v>
      </x:c>
      <x:c r="G1321" s="18" t="n">
        <x:v>47.43</x:v>
      </x:c>
      <x:c r="H1321" t="n">
        <x:v>0</x:v>
      </x:c>
      <x:c r="I1321" t="n">
        <x:v>1</x:v>
      </x:c>
      <x:c r="J1321" t="n">
        <x:v>0</x:v>
      </x:c>
      <x:c r="K1321" t="n">
        <x:v>0</x:v>
      </x:c>
      <x:c r="L1321" t="n">
        <x:v>30</x:v>
      </x:c>
      <x:c r="M1321" t="n">
        <x:v>0</x:v>
      </x:c>
      <x:c r="N1321" t="str">
        <x:v>Approved</x:v>
      </x:c>
      <x:c r="O1321" t="n">
        <x:v>0</x:v>
      </x:c>
      <x:c r="P1321" t="str">
        <x:f>IF(L1321&gt;=75,"High",IF(L1321&gt;=55,"Medium","Low"))</x:f>
        <x:v>Low</x:v>
      </x:c>
    </x:row>
    <x:row r="1322">
      <x:c r="A1322" t="n">
        <x:v>1321</x:v>
      </x:c>
      <x:c r="B1322" t="n">
        <x:v>10313</x:v>
      </x:c>
      <x:c r="C1322" s="16" t="n">
        <x:v>46131</x:v>
      </x:c>
      <x:c r="D1322" t="str">
        <x:v>07:36:00</x:v>
      </x:c>
      <x:c r="E1322" t="str">
        <x:v>Card</x:v>
      </x:c>
      <x:c r="F1322" t="str">
        <x:v>Utilities</x:v>
      </x:c>
      <x:c r="G1322" s="18" t="n">
        <x:v>17.9</x:v>
      </x:c>
      <x:c r="H1322" t="n">
        <x:v>0</x:v>
      </x:c>
      <x:c r="I1322" t="n">
        <x:v>0</x:v>
      </x:c>
      <x:c r="J1322" t="n">
        <x:v>0</x:v>
      </x:c>
      <x:c r="K1322" t="n">
        <x:v>0</x:v>
      </x:c>
      <x:c r="L1322" t="n">
        <x:v>10</x:v>
      </x:c>
      <x:c r="M1322" t="n">
        <x:v>0</x:v>
      </x:c>
      <x:c r="N1322" t="str">
        <x:v>Approved</x:v>
      </x:c>
      <x:c r="O1322" t="n">
        <x:v>0</x:v>
      </x:c>
      <x:c r="P1322" t="str">
        <x:f>IF(L1322&gt;=75,"High",IF(L1322&gt;=55,"Medium","Low"))</x:f>
        <x:v>Low</x:v>
      </x:c>
    </x:row>
    <x:row r="1323">
      <x:c r="A1323" t="n">
        <x:v>1322</x:v>
      </x:c>
      <x:c r="B1323" t="n">
        <x:v>10208</x:v>
      </x:c>
      <x:c r="C1323" s="16" t="n">
        <x:v>46259</x:v>
      </x:c>
      <x:c r="D1323" t="str">
        <x:v>02:06:00</x:v>
      </x:c>
      <x:c r="E1323" t="str">
        <x:v>Bank Transfer</x:v>
      </x:c>
      <x:c r="F1323" t="str">
        <x:v>Travel</x:v>
      </x:c>
      <x:c r="G1323" s="18" t="n">
        <x:v>262.67</x:v>
      </x:c>
      <x:c r="H1323" t="n">
        <x:v>0</x:v>
      </x:c>
      <x:c r="I1323" t="n">
        <x:v>0</x:v>
      </x:c>
      <x:c r="J1323" t="n">
        <x:v>0</x:v>
      </x:c>
      <x:c r="K1323" t="n">
        <x:v>1</x:v>
      </x:c>
      <x:c r="L1323" t="n">
        <x:v>25</x:v>
      </x:c>
      <x:c r="M1323" t="n">
        <x:v>0</x:v>
      </x:c>
      <x:c r="N1323" t="str">
        <x:v>Approved</x:v>
      </x:c>
      <x:c r="O1323" t="n">
        <x:v>0</x:v>
      </x:c>
      <x:c r="P1323" t="str">
        <x:f>IF(L1323&gt;=75,"High",IF(L1323&gt;=55,"Medium","Low"))</x:f>
        <x:v>Low</x:v>
      </x:c>
    </x:row>
    <x:row r="1324">
      <x:c r="A1324" t="n">
        <x:v>1323</x:v>
      </x:c>
      <x:c r="B1324" t="n">
        <x:v>10175</x:v>
      </x:c>
      <x:c r="C1324" s="16" t="n">
        <x:v>46278</x:v>
      </x:c>
      <x:c r="D1324" t="str">
        <x:v>14:49:00</x:v>
      </x:c>
      <x:c r="E1324" t="str">
        <x:v>Card</x:v>
      </x:c>
      <x:c r="F1324" t="str">
        <x:v>Subscriptions</x:v>
      </x:c>
      <x:c r="G1324" s="18" t="n">
        <x:v>36.97</x:v>
      </x:c>
      <x:c r="H1324" t="n">
        <x:v>0</x:v>
      </x:c>
      <x:c r="I1324" t="n">
        <x:v>0</x:v>
      </x:c>
      <x:c r="J1324" t="n">
        <x:v>0</x:v>
      </x:c>
      <x:c r="K1324" t="n">
        <x:v>0</x:v>
      </x:c>
      <x:c r="L1324" t="n">
        <x:v>10</x:v>
      </x:c>
      <x:c r="M1324" t="n">
        <x:v>0</x:v>
      </x:c>
      <x:c r="N1324" t="str">
        <x:v>Approved</x:v>
      </x:c>
      <x:c r="O1324" t="n">
        <x:v>0</x:v>
      </x:c>
      <x:c r="P1324" t="str">
        <x:f>IF(L1324&gt;=75,"High",IF(L1324&gt;=55,"Medium","Low"))</x:f>
        <x:v>Low</x:v>
      </x:c>
    </x:row>
    <x:row r="1325">
      <x:c r="A1325" t="n">
        <x:v>1324</x:v>
      </x:c>
      <x:c r="B1325" t="n">
        <x:v>10292</x:v>
      </x:c>
      <x:c r="C1325" s="16" t="n">
        <x:v>46243</x:v>
      </x:c>
      <x:c r="D1325" t="str">
        <x:v>05:07:00</x:v>
      </x:c>
      <x:c r="E1325" t="str">
        <x:v>Card</x:v>
      </x:c>
      <x:c r="F1325" t="str">
        <x:v>Retail</x:v>
      </x:c>
      <x:c r="G1325" s="18" t="n">
        <x:v>25.36</x:v>
      </x:c>
      <x:c r="H1325" t="n">
        <x:v>0</x:v>
      </x:c>
      <x:c r="I1325" t="n">
        <x:v>1</x:v>
      </x:c>
      <x:c r="J1325" t="n">
        <x:v>0</x:v>
      </x:c>
      <x:c r="K1325" t="n">
        <x:v>0</x:v>
      </x:c>
      <x:c r="L1325" t="n">
        <x:v>30</x:v>
      </x:c>
      <x:c r="M1325" t="n">
        <x:v>0</x:v>
      </x:c>
      <x:c r="N1325" t="str">
        <x:v>Approved</x:v>
      </x:c>
      <x:c r="O1325" t="n">
        <x:v>0</x:v>
      </x:c>
      <x:c r="P1325" t="str">
        <x:f>IF(L1325&gt;=75,"High",IF(L1325&gt;=55,"Medium","Low"))</x:f>
        <x:v>Low</x:v>
      </x:c>
    </x:row>
    <x:row r="1326">
      <x:c r="A1326" t="n">
        <x:v>1325</x:v>
      </x:c>
      <x:c r="B1326" t="n">
        <x:v>10052</x:v>
      </x:c>
      <x:c r="C1326" s="16" t="n">
        <x:v>46153</x:v>
      </x:c>
      <x:c r="D1326" t="str">
        <x:v>17:33:00</x:v>
      </x:c>
      <x:c r="E1326" t="str">
        <x:v>Card</x:v>
      </x:c>
      <x:c r="F1326" t="str">
        <x:v>Electronics</x:v>
      </x:c>
      <x:c r="G1326" s="18" t="n">
        <x:v>91.4</x:v>
      </x:c>
      <x:c r="H1326" t="n">
        <x:v>0</x:v>
      </x:c>
      <x:c r="I1326" t="n">
        <x:v>0</x:v>
      </x:c>
      <x:c r="J1326" t="n">
        <x:v>0</x:v>
      </x:c>
      <x:c r="K1326" t="n">
        <x:v>0</x:v>
      </x:c>
      <x:c r="L1326" t="n">
        <x:v>10</x:v>
      </x:c>
      <x:c r="M1326" t="n">
        <x:v>0</x:v>
      </x:c>
      <x:c r="N1326" t="str">
        <x:v>Approved</x:v>
      </x:c>
      <x:c r="O1326" t="n">
        <x:v>0</x:v>
      </x:c>
      <x:c r="P1326" t="str">
        <x:f>IF(L1326&gt;=75,"High",IF(L1326&gt;=55,"Medium","Low"))</x:f>
        <x:v>Low</x:v>
      </x:c>
    </x:row>
    <x:row r="1327">
      <x:c r="A1327" t="n">
        <x:v>1326</x:v>
      </x:c>
      <x:c r="B1327" t="n">
        <x:v>10162</x:v>
      </x:c>
      <x:c r="C1327" s="16" t="n">
        <x:v>46128</x:v>
      </x:c>
      <x:c r="D1327" t="str">
        <x:v>10:58:00</x:v>
      </x:c>
      <x:c r="E1327" t="str">
        <x:v>Card</x:v>
      </x:c>
      <x:c r="F1327" t="str">
        <x:v>Dining</x:v>
      </x:c>
      <x:c r="G1327" s="18" t="n">
        <x:v>76.4</x:v>
      </x:c>
      <x:c r="H1327" t="n">
        <x:v>0</x:v>
      </x:c>
      <x:c r="I1327" t="n">
        <x:v>0</x:v>
      </x:c>
      <x:c r="J1327" t="n">
        <x:v>0</x:v>
      </x:c>
      <x:c r="K1327" t="n">
        <x:v>0</x:v>
      </x:c>
      <x:c r="L1327" t="n">
        <x:v>10</x:v>
      </x:c>
      <x:c r="M1327" t="n">
        <x:v>0</x:v>
      </x:c>
      <x:c r="N1327" t="str">
        <x:v>Declined</x:v>
      </x:c>
      <x:c r="O1327" t="n">
        <x:v>0</x:v>
      </x:c>
      <x:c r="P1327" t="str">
        <x:f>IF(L1327&gt;=75,"High",IF(L1327&gt;=55,"Medium","Low"))</x:f>
        <x:v>Low</x:v>
      </x:c>
    </x:row>
    <x:row r="1328">
      <x:c r="A1328" t="n">
        <x:v>1327</x:v>
      </x:c>
      <x:c r="B1328" t="n">
        <x:v>10247</x:v>
      </x:c>
      <x:c r="C1328" s="16" t="n">
        <x:v>46237</x:v>
      </x:c>
      <x:c r="D1328" t="str">
        <x:v>08:12:00</x:v>
      </x:c>
      <x:c r="E1328" t="str">
        <x:v>Bank Transfer</x:v>
      </x:c>
      <x:c r="F1328" t="str">
        <x:v>Subscriptions</x:v>
      </x:c>
      <x:c r="G1328" s="18" t="n">
        <x:v>35.41</x:v>
      </x:c>
      <x:c r="H1328" t="n">
        <x:v>1</x:v>
      </x:c>
      <x:c r="I1328" t="n">
        <x:v>1</x:v>
      </x:c>
      <x:c r="J1328" t="n">
        <x:v>0</x:v>
      </x:c>
      <x:c r="K1328" t="n">
        <x:v>0</x:v>
      </x:c>
      <x:c r="L1328" t="n">
        <x:v>56</x:v>
      </x:c>
      <x:c r="M1328" t="n">
        <x:v>1</x:v>
      </x:c>
      <x:c r="N1328" t="str">
        <x:v>Declined</x:v>
      </x:c>
      <x:c r="O1328" t="n">
        <x:v>0</x:v>
      </x:c>
      <x:c r="P1328" t="str">
        <x:f>IF(L1328&gt;=75,"High",IF(L1328&gt;=55,"Medium","Low"))</x:f>
        <x:v>Medium</x:v>
      </x:c>
    </x:row>
    <x:row r="1329">
      <x:c r="A1329" t="n">
        <x:v>1328</x:v>
      </x:c>
      <x:c r="B1329" t="n">
        <x:v>10258</x:v>
      </x:c>
      <x:c r="C1329" s="16" t="n">
        <x:v>46244</x:v>
      </x:c>
      <x:c r="D1329" t="str">
        <x:v>05:52:00</x:v>
      </x:c>
      <x:c r="E1329" t="str">
        <x:v>Card</x:v>
      </x:c>
      <x:c r="F1329" t="str">
        <x:v>Dining</x:v>
      </x:c>
      <x:c r="G1329" s="18" t="n">
        <x:v>40.83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10</x:v>
      </x:c>
      <x:c r="M1329" t="n">
        <x:v>0</x:v>
      </x:c>
      <x:c r="N1329" t="str">
        <x:v>Approved</x:v>
      </x:c>
      <x:c r="O1329" t="n">
        <x:v>0</x:v>
      </x:c>
      <x:c r="P1329" t="str">
        <x:f>IF(L1329&gt;=75,"High",IF(L1329&gt;=55,"Medium","Low"))</x:f>
        <x:v>Low</x:v>
      </x:c>
    </x:row>
    <x:row r="1330">
      <x:c r="A1330" t="n">
        <x:v>1329</x:v>
      </x:c>
      <x:c r="B1330" t="n">
        <x:v>10283</x:v>
      </x:c>
      <x:c r="C1330" s="16" t="n">
        <x:v>46249</x:v>
      </x:c>
      <x:c r="D1330" t="str">
        <x:v>07:25:00</x:v>
      </x:c>
      <x:c r="E1330" t="str">
        <x:v>Bank Transfer</x:v>
      </x:c>
      <x:c r="F1330" t="str">
        <x:v>Retail</x:v>
      </x:c>
      <x:c r="G1330" s="18" t="n">
        <x:v>104.41</x:v>
      </x:c>
      <x:c r="H1330" t="n">
        <x:v>1</x:v>
      </x:c>
      <x:c r="I1330" t="n">
        <x:v>0</x:v>
      </x:c>
      <x:c r="J1330" t="n">
        <x:v>0</x:v>
      </x:c>
      <x:c r="K1330" t="n">
        <x:v>0</x:v>
      </x:c>
      <x:c r="L1330" t="n">
        <x:v>36</x:v>
      </x:c>
      <x:c r="M1330" t="n">
        <x:v>0</x:v>
      </x:c>
      <x:c r="N1330" t="str">
        <x:v>Approved</x:v>
      </x:c>
      <x:c r="O1330" t="n">
        <x:v>0</x:v>
      </x:c>
      <x:c r="P1330" t="str">
        <x:f>IF(L1330&gt;=75,"High",IF(L1330&gt;=55,"Medium","Low"))</x:f>
        <x:v>Low</x:v>
      </x:c>
    </x:row>
    <x:row r="1331">
      <x:c r="A1331" t="n">
        <x:v>1330</x:v>
      </x:c>
      <x:c r="B1331" t="n">
        <x:v>10155</x:v>
      </x:c>
      <x:c r="C1331" s="16" t="n">
        <x:v>46269</x:v>
      </x:c>
      <x:c r="D1331" t="str">
        <x:v>12:03:00</x:v>
      </x:c>
      <x:c r="E1331" t="str">
        <x:v>Card</x:v>
      </x:c>
      <x:c r="F1331" t="str">
        <x:v>Electronics</x:v>
      </x:c>
      <x:c r="G1331" s="18" t="n">
        <x:v>231.35</x:v>
      </x:c>
      <x:c r="H1331" t="n">
        <x:v>0</x:v>
      </x:c>
      <x:c r="I1331" t="n">
        <x:v>0</x:v>
      </x:c>
      <x:c r="J1331" t="n">
        <x:v>0</x:v>
      </x:c>
      <x:c r="K1331" t="n">
        <x:v>0</x:v>
      </x:c>
      <x:c r="L1331" t="n">
        <x:v>10</x:v>
      </x:c>
      <x:c r="M1331" t="n">
        <x:v>0</x:v>
      </x:c>
      <x:c r="N1331" t="str">
        <x:v>Approved</x:v>
      </x:c>
      <x:c r="O1331" t="n">
        <x:v>0</x:v>
      </x:c>
      <x:c r="P1331" t="str">
        <x:f>IF(L1331&gt;=75,"High",IF(L1331&gt;=55,"Medium","Low"))</x:f>
        <x:v>Low</x:v>
      </x:c>
    </x:row>
    <x:row r="1332">
      <x:c r="A1332" t="n">
        <x:v>1331</x:v>
      </x:c>
      <x:c r="B1332" t="n">
        <x:v>10020</x:v>
      </x:c>
      <x:c r="C1332" s="16" t="n">
        <x:v>46160</x:v>
      </x:c>
      <x:c r="D1332" t="str">
        <x:v>14:16:00</x:v>
      </x:c>
      <x:c r="E1332" t="str">
        <x:v>Bank Transfer</x:v>
      </x:c>
      <x:c r="F1332" t="str">
        <x:v>Dining</x:v>
      </x:c>
      <x:c r="G1332" s="18" t="n">
        <x:v>18.45</x:v>
      </x:c>
      <x:c r="H1332" t="n">
        <x:v>0</x:v>
      </x:c>
      <x:c r="I1332" t="n">
        <x:v>0</x:v>
      </x:c>
      <x:c r="J1332" t="n">
        <x:v>0</x:v>
      </x:c>
      <x:c r="K1332" t="n">
        <x:v>0</x:v>
      </x:c>
      <x:c r="L1332" t="n">
        <x:v>10</x:v>
      </x:c>
      <x:c r="M1332" t="n">
        <x:v>0</x:v>
      </x:c>
      <x:c r="N1332" t="str">
        <x:v>Approved</x:v>
      </x:c>
      <x:c r="O1332" t="n">
        <x:v>0</x:v>
      </x:c>
      <x:c r="P1332" t="str">
        <x:f>IF(L1332&gt;=75,"High",IF(L1332&gt;=55,"Medium","Low"))</x:f>
        <x:v>Low</x:v>
      </x:c>
    </x:row>
    <x:row r="1333">
      <x:c r="A1333" t="n">
        <x:v>1332</x:v>
      </x:c>
      <x:c r="B1333" t="n">
        <x:v>10183</x:v>
      </x:c>
      <x:c r="C1333" s="16" t="n">
        <x:v>46208</x:v>
      </x:c>
      <x:c r="D1333" t="str">
        <x:v>20:32:00</x:v>
      </x:c>
      <x:c r="E1333" t="str">
        <x:v>Card</x:v>
      </x:c>
      <x:c r="F1333" t="str">
        <x:v>Subscriptions</x:v>
      </x:c>
      <x:c r="G1333" s="18" t="n">
        <x:v>63.68</x:v>
      </x:c>
      <x:c r="H1333" t="n">
        <x:v>0</x:v>
      </x:c>
      <x:c r="I1333" t="n">
        <x:v>0</x:v>
      </x:c>
      <x:c r="J1333" t="n">
        <x:v>0</x:v>
      </x:c>
      <x:c r="K1333" t="n">
        <x:v>0</x:v>
      </x:c>
      <x:c r="L1333" t="n">
        <x:v>10</x:v>
      </x:c>
      <x:c r="M1333" t="n">
        <x:v>0</x:v>
      </x:c>
      <x:c r="N1333" t="str">
        <x:v>Declined</x:v>
      </x:c>
      <x:c r="O1333" t="n">
        <x:v>0</x:v>
      </x:c>
      <x:c r="P1333" t="str">
        <x:f>IF(L1333&gt;=75,"High",IF(L1333&gt;=55,"Medium","Low"))</x:f>
        <x:v>Low</x:v>
      </x:c>
    </x:row>
    <x:row r="1334">
      <x:c r="A1334" t="n">
        <x:v>1333</x:v>
      </x:c>
      <x:c r="B1334" t="n">
        <x:v>10025</x:v>
      </x:c>
      <x:c r="C1334" s="16" t="n">
        <x:v>46188</x:v>
      </x:c>
      <x:c r="D1334" t="str">
        <x:v>23:51:00</x:v>
      </x:c>
      <x:c r="E1334" t="str">
        <x:v>P2P</x:v>
      </x:c>
      <x:c r="F1334" t="str">
        <x:v>Subscriptions</x:v>
      </x:c>
      <x:c r="G1334" s="18" t="n">
        <x:v>394.24</x:v>
      </x:c>
      <x:c r="H1334" t="n">
        <x:v>0</x:v>
      </x:c>
      <x:c r="I1334" t="n">
        <x:v>0</x:v>
      </x:c>
      <x:c r="J1334" t="n">
        <x:v>0</x:v>
      </x:c>
      <x:c r="K1334" t="n">
        <x:v>0</x:v>
      </x:c>
      <x:c r="L1334" t="n">
        <x:v>10</x:v>
      </x:c>
      <x:c r="M1334" t="n">
        <x:v>0</x:v>
      </x:c>
      <x:c r="N1334" t="str">
        <x:v>Approved</x:v>
      </x:c>
      <x:c r="O1334" t="n">
        <x:v>0</x:v>
      </x:c>
      <x:c r="P1334" t="str">
        <x:f>IF(L1334&gt;=75,"High",IF(L1334&gt;=55,"Medium","Low"))</x:f>
        <x:v>Low</x:v>
      </x:c>
    </x:row>
    <x:row r="1335">
      <x:c r="A1335" t="n">
        <x:v>1334</x:v>
      </x:c>
      <x:c r="B1335" t="n">
        <x:v>10048</x:v>
      </x:c>
      <x:c r="C1335" s="16" t="n">
        <x:v>46164</x:v>
      </x:c>
      <x:c r="D1335" t="str">
        <x:v>22:11:00</x:v>
      </x:c>
      <x:c r="E1335" t="str">
        <x:v>Card</x:v>
      </x:c>
      <x:c r="F1335" t="str">
        <x:v>Utilities</x:v>
      </x:c>
      <x:c r="G1335" s="18" t="n">
        <x:v>177.3</x:v>
      </x:c>
      <x:c r="H1335" t="n">
        <x:v>1</x:v>
      </x:c>
      <x:c r="I1335" t="n">
        <x:v>0</x:v>
      </x:c>
      <x:c r="J1335" t="n">
        <x:v>0</x:v>
      </x:c>
      <x:c r="K1335" t="n">
        <x:v>0</x:v>
      </x:c>
      <x:c r="L1335" t="n">
        <x:v>36</x:v>
      </x:c>
      <x:c r="M1335" t="n">
        <x:v>0</x:v>
      </x:c>
      <x:c r="N1335" t="str">
        <x:v>Declined</x:v>
      </x:c>
      <x:c r="O1335" t="n">
        <x:v>0</x:v>
      </x:c>
      <x:c r="P1335" t="str">
        <x:f>IF(L1335&gt;=75,"High",IF(L1335&gt;=55,"Medium","Low"))</x:f>
        <x:v>Low</x:v>
      </x:c>
    </x:row>
    <x:row r="1336">
      <x:c r="A1336" t="n">
        <x:v>1335</x:v>
      </x:c>
      <x:c r="B1336" t="n">
        <x:v>10264</x:v>
      </x:c>
      <x:c r="C1336" s="16" t="n">
        <x:v>46236</x:v>
      </x:c>
      <x:c r="D1336" t="str">
        <x:v>07:26:00</x:v>
      </x:c>
      <x:c r="E1336" t="str">
        <x:v>Card</x:v>
      </x:c>
      <x:c r="F1336" t="str">
        <x:v>Electronics</x:v>
      </x:c>
      <x:c r="G1336" s="18" t="n">
        <x:v>64.45</x:v>
      </x:c>
      <x:c r="H1336" t="n">
        <x:v>0</x:v>
      </x:c>
      <x:c r="I1336" t="n">
        <x:v>0</x:v>
      </x:c>
      <x:c r="J1336" t="n">
        <x:v>0</x:v>
      </x:c>
      <x:c r="K1336" t="n">
        <x:v>0</x:v>
      </x:c>
      <x:c r="L1336" t="n">
        <x:v>10</x:v>
      </x:c>
      <x:c r="M1336" t="n">
        <x:v>0</x:v>
      </x:c>
      <x:c r="N1336" t="str">
        <x:v>Approved</x:v>
      </x:c>
      <x:c r="O1336" t="n">
        <x:v>0</x:v>
      </x:c>
      <x:c r="P1336" t="str">
        <x:f>IF(L1336&gt;=75,"High",IF(L1336&gt;=55,"Medium","Low"))</x:f>
        <x:v>Low</x:v>
      </x:c>
    </x:row>
    <x:row r="1337">
      <x:c r="A1337" t="n">
        <x:v>1336</x:v>
      </x:c>
      <x:c r="B1337" t="n">
        <x:v>10082</x:v>
      </x:c>
      <x:c r="C1337" s="16" t="n">
        <x:v>46207</x:v>
      </x:c>
      <x:c r="D1337" t="str">
        <x:v>23:02:00</x:v>
      </x:c>
      <x:c r="E1337" t="str">
        <x:v>P2P</x:v>
      </x:c>
      <x:c r="F1337" t="str">
        <x:v>Transfer</x:v>
      </x:c>
      <x:c r="G1337" s="18" t="n">
        <x:v>71.83</x:v>
      </x:c>
      <x:c r="H1337" t="n">
        <x:v>1</x:v>
      </x:c>
      <x:c r="I1337" t="n">
        <x:v>0</x:v>
      </x:c>
      <x:c r="J1337" t="n">
        <x:v>0</x:v>
      </x:c>
      <x:c r="K1337" t="n">
        <x:v>0</x:v>
      </x:c>
      <x:c r="L1337" t="n">
        <x:v>36</x:v>
      </x:c>
      <x:c r="M1337" t="n">
        <x:v>0</x:v>
      </x:c>
      <x:c r="N1337" t="str">
        <x:v>Approved</x:v>
      </x:c>
      <x:c r="O1337" t="n">
        <x:v>0</x:v>
      </x:c>
      <x:c r="P1337" t="str">
        <x:f>IF(L1337&gt;=75,"High",IF(L1337&gt;=55,"Medium","Low"))</x:f>
        <x:v>Low</x:v>
      </x:c>
    </x:row>
    <x:row r="1338">
      <x:c r="A1338" t="n">
        <x:v>1337</x:v>
      </x:c>
      <x:c r="B1338" t="n">
        <x:v>10180</x:v>
      </x:c>
      <x:c r="C1338" s="16" t="n">
        <x:v>46137</x:v>
      </x:c>
      <x:c r="D1338" t="str">
        <x:v>00:16:00</x:v>
      </x:c>
      <x:c r="E1338" t="str">
        <x:v>Card</x:v>
      </x:c>
      <x:c r="F1338" t="str">
        <x:v>Travel</x:v>
      </x:c>
      <x:c r="G1338" s="18" t="n">
        <x:v>305.93</x:v>
      </x:c>
      <x:c r="H1338" t="n">
        <x:v>0</x:v>
      </x:c>
      <x:c r="I1338" t="n">
        <x:v>0</x:v>
      </x:c>
      <x:c r="J1338" t="n">
        <x:v>0</x:v>
      </x:c>
      <x:c r="K1338" t="n">
        <x:v>1</x:v>
      </x:c>
      <x:c r="L1338" t="n">
        <x:v>25</x:v>
      </x:c>
      <x:c r="M1338" t="n">
        <x:v>0</x:v>
      </x:c>
      <x:c r="N1338" t="str">
        <x:v>Approved</x:v>
      </x:c>
      <x:c r="O1338" t="n">
        <x:v>0</x:v>
      </x:c>
      <x:c r="P1338" t="str">
        <x:f>IF(L1338&gt;=75,"High",IF(L1338&gt;=55,"Medium","Low"))</x:f>
        <x:v>Low</x:v>
      </x:c>
    </x:row>
    <x:row r="1339">
      <x:c r="A1339" t="n">
        <x:v>1338</x:v>
      </x:c>
      <x:c r="B1339" t="n">
        <x:v>10322</x:v>
      </x:c>
      <x:c r="C1339" s="16" t="n">
        <x:v>46262</x:v>
      </x:c>
      <x:c r="D1339" t="str">
        <x:v>10:57:00</x:v>
      </x:c>
      <x:c r="E1339" t="str">
        <x:v>Card</x:v>
      </x:c>
      <x:c r="F1339" t="str">
        <x:v>Electronics</x:v>
      </x:c>
      <x:c r="G1339" s="18" t="n">
        <x:v>256.4</x:v>
      </x:c>
      <x:c r="H1339" t="n">
        <x:v>0</x:v>
      </x:c>
      <x:c r="I1339" t="n">
        <x:v>1</x:v>
      </x:c>
      <x:c r="J1339" t="n">
        <x:v>0</x:v>
      </x:c>
      <x:c r="K1339" t="n">
        <x:v>0</x:v>
      </x:c>
      <x:c r="L1339" t="n">
        <x:v>30</x:v>
      </x:c>
      <x:c r="M1339" t="n">
        <x:v>0</x:v>
      </x:c>
      <x:c r="N1339" t="str">
        <x:v>Approved</x:v>
      </x:c>
      <x:c r="O1339" t="n">
        <x:v>0</x:v>
      </x:c>
      <x:c r="P1339" t="str">
        <x:f>IF(L1339&gt;=75,"High",IF(L1339&gt;=55,"Medium","Low"))</x:f>
        <x:v>Low</x:v>
      </x:c>
    </x:row>
    <x:row r="1340">
      <x:c r="A1340" t="n">
        <x:v>1339</x:v>
      </x:c>
      <x:c r="B1340" t="n">
        <x:v>10061</x:v>
      </x:c>
      <x:c r="C1340" s="16" t="n">
        <x:v>46257</x:v>
      </x:c>
      <x:c r="D1340" t="str">
        <x:v>11:34:00</x:v>
      </x:c>
      <x:c r="E1340" t="str">
        <x:v>Card</x:v>
      </x:c>
      <x:c r="F1340" t="str">
        <x:v>Subscriptions</x:v>
      </x:c>
      <x:c r="G1340" s="18" t="n">
        <x:v>43.3</x:v>
      </x:c>
      <x:c r="H1340" t="n">
        <x:v>0</x:v>
      </x:c>
      <x:c r="I1340" t="n">
        <x:v>0</x:v>
      </x:c>
      <x:c r="J1340" t="n">
        <x:v>0</x:v>
      </x:c>
      <x:c r="K1340" t="n">
        <x:v>0</x:v>
      </x:c>
      <x:c r="L1340" t="n">
        <x:v>10</x:v>
      </x:c>
      <x:c r="M1340" t="n">
        <x:v>0</x:v>
      </x:c>
      <x:c r="N1340" t="str">
        <x:v>Approved</x:v>
      </x:c>
      <x:c r="O1340" t="n">
        <x:v>0</x:v>
      </x:c>
      <x:c r="P1340" t="str">
        <x:f>IF(L1340&gt;=75,"High",IF(L1340&gt;=55,"Medium","Low"))</x:f>
        <x:v>Low</x:v>
      </x:c>
    </x:row>
    <x:row r="1341">
      <x:c r="A1341" t="n">
        <x:v>1340</x:v>
      </x:c>
      <x:c r="B1341" t="n">
        <x:v>10265</x:v>
      </x:c>
      <x:c r="C1341" s="16" t="n">
        <x:v>46123</x:v>
      </x:c>
      <x:c r="D1341" t="str">
        <x:v>05:13:00</x:v>
      </x:c>
      <x:c r="E1341" t="str">
        <x:v>Card</x:v>
      </x:c>
      <x:c r="F1341" t="str">
        <x:v>Transfer</x:v>
      </x:c>
      <x:c r="G1341" s="18" t="n">
        <x:v>128.08</x:v>
      </x:c>
      <x:c r="H1341" t="n">
        <x:v>0</x:v>
      </x:c>
      <x:c r="I1341" t="n">
        <x:v>1</x:v>
      </x:c>
      <x:c r="J1341" t="n">
        <x:v>0</x:v>
      </x:c>
      <x:c r="K1341" t="n">
        <x:v>0</x:v>
      </x:c>
      <x:c r="L1341" t="n">
        <x:v>30</x:v>
      </x:c>
      <x:c r="M1341" t="n">
        <x:v>0</x:v>
      </x:c>
      <x:c r="N1341" t="str">
        <x:v>Approved</x:v>
      </x:c>
      <x:c r="O1341" t="n">
        <x:v>0</x:v>
      </x:c>
      <x:c r="P1341" t="str">
        <x:f>IF(L1341&gt;=75,"High",IF(L1341&gt;=55,"Medium","Low"))</x:f>
        <x:v>Low</x:v>
      </x:c>
    </x:row>
    <x:row r="1342">
      <x:c r="A1342" t="n">
        <x:v>1341</x:v>
      </x:c>
      <x:c r="B1342" t="n">
        <x:v>10152</x:v>
      </x:c>
      <x:c r="C1342" s="16" t="n">
        <x:v>46115</x:v>
      </x:c>
      <x:c r="D1342" t="str">
        <x:v>00:04:00</x:v>
      </x:c>
      <x:c r="E1342" t="str">
        <x:v>Card</x:v>
      </x:c>
      <x:c r="F1342" t="str">
        <x:v>Retail</x:v>
      </x:c>
      <x:c r="G1342" s="18" t="n">
        <x:v>190.42</x:v>
      </x:c>
      <x:c r="H1342" t="n">
        <x:v>0</x:v>
      </x:c>
      <x:c r="I1342" t="n">
        <x:v>0</x:v>
      </x:c>
      <x:c r="J1342" t="n">
        <x:v>0</x:v>
      </x:c>
      <x:c r="K1342" t="n">
        <x:v>1</x:v>
      </x:c>
      <x:c r="L1342" t="n">
        <x:v>25</x:v>
      </x:c>
      <x:c r="M1342" t="n">
        <x:v>0</x:v>
      </x:c>
      <x:c r="N1342" t="str">
        <x:v>Approved</x:v>
      </x:c>
      <x:c r="O1342" t="n">
        <x:v>0</x:v>
      </x:c>
      <x:c r="P1342" t="str">
        <x:f>IF(L1342&gt;=75,"High",IF(L1342&gt;=55,"Medium","Low"))</x:f>
        <x:v>Low</x:v>
      </x:c>
    </x:row>
    <x:row r="1343">
      <x:c r="A1343" t="n">
        <x:v>1342</x:v>
      </x:c>
      <x:c r="B1343" t="n">
        <x:v>10130</x:v>
      </x:c>
      <x:c r="C1343" s="16" t="n">
        <x:v>46274</x:v>
      </x:c>
      <x:c r="D1343" t="str">
        <x:v>01:43:00</x:v>
      </x:c>
      <x:c r="E1343" t="str">
        <x:v>Bank Transfer</x:v>
      </x:c>
      <x:c r="F1343" t="str">
        <x:v>Subscriptions</x:v>
      </x:c>
      <x:c r="G1343" s="18" t="n">
        <x:v>30.92</x:v>
      </x:c>
      <x:c r="H1343" t="n">
        <x:v>0</x:v>
      </x:c>
      <x:c r="I1343" t="n">
        <x:v>0</x:v>
      </x:c>
      <x:c r="J1343" t="n">
        <x:v>0</x:v>
      </x:c>
      <x:c r="K1343" t="n">
        <x:v>1</x:v>
      </x:c>
      <x:c r="L1343" t="n">
        <x:v>25</x:v>
      </x:c>
      <x:c r="M1343" t="n">
        <x:v>0</x:v>
      </x:c>
      <x:c r="N1343" t="str">
        <x:v>Approved</x:v>
      </x:c>
      <x:c r="O1343" t="n">
        <x:v>0</x:v>
      </x:c>
      <x:c r="P1343" t="str">
        <x:f>IF(L1343&gt;=75,"High",IF(L1343&gt;=55,"Medium","Low"))</x:f>
        <x:v>Low</x:v>
      </x:c>
    </x:row>
    <x:row r="1344">
      <x:c r="A1344" t="n">
        <x:v>1343</x:v>
      </x:c>
      <x:c r="B1344" t="n">
        <x:v>10235</x:v>
      </x:c>
      <x:c r="C1344" s="16" t="n">
        <x:v>46175</x:v>
      </x:c>
      <x:c r="D1344" t="str">
        <x:v>17:00:00</x:v>
      </x:c>
      <x:c r="E1344" t="str">
        <x:v>Card</x:v>
      </x:c>
      <x:c r="F1344" t="str">
        <x:v>Transfer</x:v>
      </x:c>
      <x:c r="G1344" s="18" t="n">
        <x:v>215.8</x:v>
      </x:c>
      <x:c r="H1344" t="n">
        <x:v>0</x:v>
      </x:c>
      <x:c r="I1344" t="n">
        <x:v>0</x:v>
      </x:c>
      <x:c r="J1344" t="n">
        <x:v>0</x:v>
      </x:c>
      <x:c r="K1344" t="n">
        <x:v>0</x:v>
      </x:c>
      <x:c r="L1344" t="n">
        <x:v>10</x:v>
      </x:c>
      <x:c r="M1344" t="n">
        <x:v>0</x:v>
      </x:c>
      <x:c r="N1344" t="str">
        <x:v>Approved</x:v>
      </x:c>
      <x:c r="O1344" t="n">
        <x:v>0</x:v>
      </x:c>
      <x:c r="P1344" t="str">
        <x:f>IF(L1344&gt;=75,"High",IF(L1344&gt;=55,"Medium","Low"))</x:f>
        <x:v>Low</x:v>
      </x:c>
    </x:row>
    <x:row r="1345">
      <x:c r="A1345" t="n">
        <x:v>1344</x:v>
      </x:c>
      <x:c r="B1345" t="n">
        <x:v>10151</x:v>
      </x:c>
      <x:c r="C1345" s="16" t="n">
        <x:v>46122</x:v>
      </x:c>
      <x:c r="D1345" t="str">
        <x:v>23:57:00</x:v>
      </x:c>
      <x:c r="E1345" t="str">
        <x:v>Card</x:v>
      </x:c>
      <x:c r="F1345" t="str">
        <x:v>Subscriptions</x:v>
      </x:c>
      <x:c r="G1345" s="18" t="n">
        <x:v>35.22</x:v>
      </x:c>
      <x:c r="H1345" t="n">
        <x:v>0</x:v>
      </x:c>
      <x:c r="I1345" t="n">
        <x:v>1</x:v>
      </x:c>
      <x:c r="J1345" t="n">
        <x:v>0</x:v>
      </x:c>
      <x:c r="K1345" t="n">
        <x:v>0</x:v>
      </x:c>
      <x:c r="L1345" t="n">
        <x:v>30</x:v>
      </x:c>
      <x:c r="M1345" t="n">
        <x:v>0</x:v>
      </x:c>
      <x:c r="N1345" t="str">
        <x:v>Declined</x:v>
      </x:c>
      <x:c r="O1345" t="n">
        <x:v>0</x:v>
      </x:c>
      <x:c r="P1345" t="str">
        <x:f>IF(L1345&gt;=75,"High",IF(L1345&gt;=55,"Medium","Low"))</x:f>
        <x:v>Low</x:v>
      </x:c>
    </x:row>
    <x:row r="1346">
      <x:c r="A1346" t="n">
        <x:v>1345</x:v>
      </x:c>
      <x:c r="B1346" t="n">
        <x:v>10270</x:v>
      </x:c>
      <x:c r="C1346" s="16" t="n">
        <x:v>46113</x:v>
      </x:c>
      <x:c r="D1346" t="str">
        <x:v>06:43:00</x:v>
      </x:c>
      <x:c r="E1346" t="str">
        <x:v>Card</x:v>
      </x:c>
      <x:c r="F1346" t="str">
        <x:v>Retail</x:v>
      </x:c>
      <x:c r="G1346" s="18" t="n">
        <x:v>296.51</x:v>
      </x:c>
      <x:c r="H1346" t="n">
        <x:v>0</x:v>
      </x:c>
      <x:c r="I1346" t="n">
        <x:v>0</x:v>
      </x:c>
      <x:c r="J1346" t="n">
        <x:v>0</x:v>
      </x:c>
      <x:c r="K1346" t="n">
        <x:v>0</x:v>
      </x:c>
      <x:c r="L1346" t="n">
        <x:v>10</x:v>
      </x:c>
      <x:c r="M1346" t="n">
        <x:v>0</x:v>
      </x:c>
      <x:c r="N1346" t="str">
        <x:v>Approved</x:v>
      </x:c>
      <x:c r="O1346" t="n">
        <x:v>0</x:v>
      </x:c>
      <x:c r="P1346" t="str">
        <x:f>IF(L1346&gt;=75,"High",IF(L1346&gt;=55,"Medium","Low"))</x:f>
        <x:v>Low</x:v>
      </x:c>
    </x:row>
    <x:row r="1347">
      <x:c r="A1347" t="n">
        <x:v>1346</x:v>
      </x:c>
      <x:c r="B1347" t="n">
        <x:v>10213</x:v>
      </x:c>
      <x:c r="C1347" s="16" t="n">
        <x:v>46126</x:v>
      </x:c>
      <x:c r="D1347" t="str">
        <x:v>20:30:00</x:v>
      </x:c>
      <x:c r="E1347" t="str">
        <x:v>P2P</x:v>
      </x:c>
      <x:c r="F1347" t="str">
        <x:v>Electronics</x:v>
      </x:c>
      <x:c r="G1347" s="18" t="n">
        <x:v>92.95</x:v>
      </x:c>
      <x:c r="H1347" t="n">
        <x:v>0</x:v>
      </x:c>
      <x:c r="I1347" t="n">
        <x:v>0</x:v>
      </x:c>
      <x:c r="J1347" t="n">
        <x:v>0</x:v>
      </x:c>
      <x:c r="K1347" t="n">
        <x:v>0</x:v>
      </x:c>
      <x:c r="L1347" t="n">
        <x:v>10</x:v>
      </x:c>
      <x:c r="M1347" t="n">
        <x:v>0</x:v>
      </x:c>
      <x:c r="N1347" t="str">
        <x:v>Approved</x:v>
      </x:c>
      <x:c r="O1347" t="n">
        <x:v>0</x:v>
      </x:c>
      <x:c r="P1347" t="str">
        <x:f>IF(L1347&gt;=75,"High",IF(L1347&gt;=55,"Medium","Low"))</x:f>
        <x:v>Low</x:v>
      </x:c>
    </x:row>
    <x:row r="1348">
      <x:c r="A1348" t="n">
        <x:v>1347</x:v>
      </x:c>
      <x:c r="B1348" t="n">
        <x:v>10036</x:v>
      </x:c>
      <x:c r="C1348" s="16" t="n">
        <x:v>46258</x:v>
      </x:c>
      <x:c r="D1348" t="str">
        <x:v>17:16:00</x:v>
      </x:c>
      <x:c r="E1348" t="str">
        <x:v>Bank Transfer</x:v>
      </x:c>
      <x:c r="F1348" t="str">
        <x:v>Retail</x:v>
      </x:c>
      <x:c r="G1348" s="18" t="n">
        <x:v>24.21</x:v>
      </x:c>
      <x:c r="H1348" t="n">
        <x:v>0</x:v>
      </x:c>
      <x:c r="I1348" t="n">
        <x:v>1</x:v>
      </x:c>
      <x:c r="J1348" t="n">
        <x:v>0</x:v>
      </x:c>
      <x:c r="K1348" t="n">
        <x:v>0</x:v>
      </x:c>
      <x:c r="L1348" t="n">
        <x:v>30</x:v>
      </x:c>
      <x:c r="M1348" t="n">
        <x:v>0</x:v>
      </x:c>
      <x:c r="N1348" t="str">
        <x:v>Approved</x:v>
      </x:c>
      <x:c r="O1348" t="n">
        <x:v>0</x:v>
      </x:c>
      <x:c r="P1348" t="str">
        <x:f>IF(L1348&gt;=75,"High",IF(L1348&gt;=55,"Medium","Low"))</x:f>
        <x:v>Low</x:v>
      </x:c>
    </x:row>
    <x:row r="1349">
      <x:c r="A1349" t="n">
        <x:v>1348</x:v>
      </x:c>
      <x:c r="B1349" t="n">
        <x:v>10125</x:v>
      </x:c>
      <x:c r="C1349" s="16" t="n">
        <x:v>46222</x:v>
      </x:c>
      <x:c r="D1349" t="str">
        <x:v>13:58:00</x:v>
      </x:c>
      <x:c r="E1349" t="str">
        <x:v>Card</x:v>
      </x:c>
      <x:c r="F1349" t="str">
        <x:v>Dining</x:v>
      </x:c>
      <x:c r="G1349" s="18" t="n">
        <x:v>115.89</x:v>
      </x:c>
      <x:c r="H1349" t="n">
        <x:v>0</x:v>
      </x:c>
      <x:c r="I1349" t="n">
        <x:v>0</x:v>
      </x:c>
      <x:c r="J1349" t="n">
        <x:v>0</x:v>
      </x:c>
      <x:c r="K1349" t="n">
        <x:v>0</x:v>
      </x:c>
      <x:c r="L1349" t="n">
        <x:v>10</x:v>
      </x:c>
      <x:c r="M1349" t="n">
        <x:v>0</x:v>
      </x:c>
      <x:c r="N1349" t="str">
        <x:v>Declined</x:v>
      </x:c>
      <x:c r="O1349" t="n">
        <x:v>0</x:v>
      </x:c>
      <x:c r="P1349" t="str">
        <x:f>IF(L1349&gt;=75,"High",IF(L1349&gt;=55,"Medium","Low"))</x:f>
        <x:v>Low</x:v>
      </x:c>
    </x:row>
    <x:row r="1350">
      <x:c r="A1350" t="n">
        <x:v>1349</x:v>
      </x:c>
      <x:c r="B1350" t="n">
        <x:v>10197</x:v>
      </x:c>
      <x:c r="C1350" s="16" t="n">
        <x:v>46276</x:v>
      </x:c>
      <x:c r="D1350" t="str">
        <x:v>04:22:00</x:v>
      </x:c>
      <x:c r="E1350" t="str">
        <x:v>P2P</x:v>
      </x:c>
      <x:c r="F1350" t="str">
        <x:v>Retail</x:v>
      </x:c>
      <x:c r="G1350" s="18" t="n">
        <x:v>71.64</x:v>
      </x:c>
      <x:c r="H1350" t="n">
        <x:v>0</x:v>
      </x:c>
      <x:c r="I1350" t="n">
        <x:v>1</x:v>
      </x:c>
      <x:c r="J1350" t="n">
        <x:v>0</x:v>
      </x:c>
      <x:c r="K1350" t="n">
        <x:v>1</x:v>
      </x:c>
      <x:c r="L1350" t="n">
        <x:v>45</x:v>
      </x:c>
      <x:c r="M1350" t="n">
        <x:v>0</x:v>
      </x:c>
      <x:c r="N1350" t="str">
        <x:v>Approved</x:v>
      </x:c>
      <x:c r="O1350" t="n">
        <x:v>0</x:v>
      </x:c>
      <x:c r="P1350" t="str">
        <x:f>IF(L1350&gt;=75,"High",IF(L1350&gt;=55,"Medium","Low"))</x:f>
        <x:v>Low</x:v>
      </x:c>
    </x:row>
    <x:row r="1351">
      <x:c r="A1351" t="n">
        <x:v>1350</x:v>
      </x:c>
      <x:c r="B1351" t="n">
        <x:v>10168</x:v>
      </x:c>
      <x:c r="C1351" s="16" t="n">
        <x:v>46294</x:v>
      </x:c>
      <x:c r="D1351" t="str">
        <x:v>14:27:00</x:v>
      </x:c>
      <x:c r="E1351" t="str">
        <x:v>Card</x:v>
      </x:c>
      <x:c r="F1351" t="str">
        <x:v>Retail</x:v>
      </x:c>
      <x:c r="G1351" s="18" t="n">
        <x:v>41.87</x:v>
      </x:c>
      <x:c r="H1351" t="n">
        <x:v>0</x:v>
      </x:c>
      <x:c r="I1351" t="n">
        <x:v>0</x:v>
      </x:c>
      <x:c r="J1351" t="n">
        <x:v>0</x:v>
      </x:c>
      <x:c r="K1351" t="n">
        <x:v>0</x:v>
      </x:c>
      <x:c r="L1351" t="n">
        <x:v>10</x:v>
      </x:c>
      <x:c r="M1351" t="n">
        <x:v>0</x:v>
      </x:c>
      <x:c r="N1351" t="str">
        <x:v>Approved</x:v>
      </x:c>
      <x:c r="O1351" t="n">
        <x:v>0</x:v>
      </x:c>
      <x:c r="P1351" t="str">
        <x:f>IF(L1351&gt;=75,"High",IF(L1351&gt;=55,"Medium","Low"))</x:f>
        <x:v>Low</x:v>
      </x:c>
    </x:row>
    <x:row r="1352">
      <x:c r="A1352" t="n">
        <x:v>1351</x:v>
      </x:c>
      <x:c r="B1352" t="n">
        <x:v>10016</x:v>
      </x:c>
      <x:c r="C1352" s="16" t="n">
        <x:v>46227</x:v>
      </x:c>
      <x:c r="D1352" t="str">
        <x:v>04:17:00</x:v>
      </x:c>
      <x:c r="E1352" t="str">
        <x:v>Card</x:v>
      </x:c>
      <x:c r="F1352" t="str">
        <x:v>Electronics</x:v>
      </x:c>
      <x:c r="G1352" s="18" t="n">
        <x:v>29.5</x:v>
      </x:c>
      <x:c r="H1352" t="n">
        <x:v>0</x:v>
      </x:c>
      <x:c r="I1352" t="n">
        <x:v>0</x:v>
      </x:c>
      <x:c r="J1352" t="n">
        <x:v>0</x:v>
      </x:c>
      <x:c r="K1352" t="n">
        <x:v>1</x:v>
      </x:c>
      <x:c r="L1352" t="n">
        <x:v>25</x:v>
      </x:c>
      <x:c r="M1352" t="n">
        <x:v>0</x:v>
      </x:c>
      <x:c r="N1352" t="str">
        <x:v>Approved</x:v>
      </x:c>
      <x:c r="O1352" t="n">
        <x:v>0</x:v>
      </x:c>
      <x:c r="P1352" t="str">
        <x:f>IF(L1352&gt;=75,"High",IF(L1352&gt;=55,"Medium","Low"))</x:f>
        <x:v>Low</x:v>
      </x:c>
    </x:row>
    <x:row r="1353">
      <x:c r="A1353" t="n">
        <x:v>1352</x:v>
      </x:c>
      <x:c r="B1353" t="n">
        <x:v>10145</x:v>
      </x:c>
      <x:c r="C1353" s="16" t="n">
        <x:v>46171</x:v>
      </x:c>
      <x:c r="D1353" t="str">
        <x:v>09:04:00</x:v>
      </x:c>
      <x:c r="E1353" t="str">
        <x:v>Card</x:v>
      </x:c>
      <x:c r="F1353" t="str">
        <x:v>Retail</x:v>
      </x:c>
      <x:c r="G1353" s="18" t="n">
        <x:v>68.27</x:v>
      </x:c>
      <x:c r="H1353" t="n">
        <x:v>0</x:v>
      </x:c>
      <x:c r="I1353" t="n">
        <x:v>0</x:v>
      </x:c>
      <x:c r="J1353" t="n">
        <x:v>0</x:v>
      </x:c>
      <x:c r="K1353" t="n">
        <x:v>0</x:v>
      </x:c>
      <x:c r="L1353" t="n">
        <x:v>10</x:v>
      </x:c>
      <x:c r="M1353" t="n">
        <x:v>0</x:v>
      </x:c>
      <x:c r="N1353" t="str">
        <x:v>Approved</x:v>
      </x:c>
      <x:c r="O1353" t="n">
        <x:v>0</x:v>
      </x:c>
      <x:c r="P1353" t="str">
        <x:f>IF(L1353&gt;=75,"High",IF(L1353&gt;=55,"Medium","Low"))</x:f>
        <x:v>Low</x:v>
      </x:c>
    </x:row>
    <x:row r="1354">
      <x:c r="A1354" t="n">
        <x:v>1353</x:v>
      </x:c>
      <x:c r="B1354" t="n">
        <x:v>10040</x:v>
      </x:c>
      <x:c r="C1354" s="16" t="n">
        <x:v>46178</x:v>
      </x:c>
      <x:c r="D1354" t="str">
        <x:v>02:34:00</x:v>
      </x:c>
      <x:c r="E1354" t="str">
        <x:v>Card</x:v>
      </x:c>
      <x:c r="F1354" t="str">
        <x:v>Retail</x:v>
      </x:c>
      <x:c r="G1354" s="18" t="n">
        <x:v>101.9</x:v>
      </x:c>
      <x:c r="H1354" t="n">
        <x:v>0</x:v>
      </x:c>
      <x:c r="I1354" t="n">
        <x:v>0</x:v>
      </x:c>
      <x:c r="J1354" t="n">
        <x:v>0</x:v>
      </x:c>
      <x:c r="K1354" t="n">
        <x:v>1</x:v>
      </x:c>
      <x:c r="L1354" t="n">
        <x:v>25</x:v>
      </x:c>
      <x:c r="M1354" t="n">
        <x:v>0</x:v>
      </x:c>
      <x:c r="N1354" t="str">
        <x:v>Approved</x:v>
      </x:c>
      <x:c r="O1354" t="n">
        <x:v>0</x:v>
      </x:c>
      <x:c r="P1354" t="str">
        <x:f>IF(L1354&gt;=75,"High",IF(L1354&gt;=55,"Medium","Low"))</x:f>
        <x:v>Low</x:v>
      </x:c>
    </x:row>
    <x:row r="1355">
      <x:c r="A1355" t="n">
        <x:v>1354</x:v>
      </x:c>
      <x:c r="B1355" t="n">
        <x:v>10197</x:v>
      </x:c>
      <x:c r="C1355" s="16" t="n">
        <x:v>46221</x:v>
      </x:c>
      <x:c r="D1355" t="str">
        <x:v>12:49:00</x:v>
      </x:c>
      <x:c r="E1355" t="str">
        <x:v>P2P</x:v>
      </x:c>
      <x:c r="F1355" t="str">
        <x:v>Travel</x:v>
      </x:c>
      <x:c r="G1355" s="18" t="n">
        <x:v>101.75</x:v>
      </x:c>
      <x:c r="H1355" t="n">
        <x:v>0</x:v>
      </x:c>
      <x:c r="I1355" t="n">
        <x:v>0</x:v>
      </x:c>
      <x:c r="J1355" t="n">
        <x:v>0</x:v>
      </x:c>
      <x:c r="K1355" t="n">
        <x:v>0</x:v>
      </x:c>
      <x:c r="L1355" t="n">
        <x:v>10</x:v>
      </x:c>
      <x:c r="M1355" t="n">
        <x:v>0</x:v>
      </x:c>
      <x:c r="N1355" t="str">
        <x:v>Approved</x:v>
      </x:c>
      <x:c r="O1355" t="n">
        <x:v>0</x:v>
      </x:c>
      <x:c r="P1355" t="str">
        <x:f>IF(L1355&gt;=75,"High",IF(L1355&gt;=55,"Medium","Low"))</x:f>
        <x:v>Low</x:v>
      </x:c>
    </x:row>
    <x:row r="1356">
      <x:c r="A1356" t="n">
        <x:v>1355</x:v>
      </x:c>
      <x:c r="B1356" t="n">
        <x:v>10103</x:v>
      </x:c>
      <x:c r="C1356" s="16" t="n">
        <x:v>46114</x:v>
      </x:c>
      <x:c r="D1356" t="str">
        <x:v>09:20:00</x:v>
      </x:c>
      <x:c r="E1356" t="str">
        <x:v>Bank Transfer</x:v>
      </x:c>
      <x:c r="F1356" t="str">
        <x:v>Electronics</x:v>
      </x:c>
      <x:c r="G1356" s="18" t="n">
        <x:v>15.55</x:v>
      </x:c>
      <x:c r="H1356" t="n">
        <x:v>0</x:v>
      </x:c>
      <x:c r="I1356" t="n">
        <x:v>0</x:v>
      </x:c>
      <x:c r="J1356" t="n">
        <x:v>0</x:v>
      </x:c>
      <x:c r="K1356" t="n">
        <x:v>0</x:v>
      </x:c>
      <x:c r="L1356" t="n">
        <x:v>10</x:v>
      </x:c>
      <x:c r="M1356" t="n">
        <x:v>0</x:v>
      </x:c>
      <x:c r="N1356" t="str">
        <x:v>Approved</x:v>
      </x:c>
      <x:c r="O1356" t="n">
        <x:v>0</x:v>
      </x:c>
      <x:c r="P1356" t="str">
        <x:f>IF(L1356&gt;=75,"High",IF(L1356&gt;=55,"Medium","Low"))</x:f>
        <x:v>Low</x:v>
      </x:c>
    </x:row>
    <x:row r="1357">
      <x:c r="A1357" t="n">
        <x:v>1356</x:v>
      </x:c>
      <x:c r="B1357" t="n">
        <x:v>10082</x:v>
      </x:c>
      <x:c r="C1357" s="16" t="n">
        <x:v>46282</x:v>
      </x:c>
      <x:c r="D1357" t="str">
        <x:v>09:55:00</x:v>
      </x:c>
      <x:c r="E1357" t="str">
        <x:v>Bank Transfer</x:v>
      </x:c>
      <x:c r="F1357" t="str">
        <x:v>Transfer</x:v>
      </x:c>
      <x:c r="G1357" s="18" t="n">
        <x:v>311.36</x:v>
      </x:c>
      <x:c r="H1357" t="n">
        <x:v>0</x:v>
      </x:c>
      <x:c r="I1357" t="n">
        <x:v>1</x:v>
      </x:c>
      <x:c r="J1357" t="n">
        <x:v>0</x:v>
      </x:c>
      <x:c r="K1357" t="n">
        <x:v>0</x:v>
      </x:c>
      <x:c r="L1357" t="n">
        <x:v>30</x:v>
      </x:c>
      <x:c r="M1357" t="n">
        <x:v>0</x:v>
      </x:c>
      <x:c r="N1357" t="str">
        <x:v>Approved</x:v>
      </x:c>
      <x:c r="O1357" t="n">
        <x:v>0</x:v>
      </x:c>
      <x:c r="P1357" t="str">
        <x:f>IF(L1357&gt;=75,"High",IF(L1357&gt;=55,"Medium","Low"))</x:f>
        <x:v>Low</x:v>
      </x:c>
    </x:row>
    <x:row r="1358">
      <x:c r="A1358" t="n">
        <x:v>1357</x:v>
      </x:c>
      <x:c r="B1358" t="n">
        <x:v>10047</x:v>
      </x:c>
      <x:c r="C1358" s="16" t="n">
        <x:v>46289</x:v>
      </x:c>
      <x:c r="D1358" t="str">
        <x:v>06:44:00</x:v>
      </x:c>
      <x:c r="E1358" t="str">
        <x:v>P2P</x:v>
      </x:c>
      <x:c r="F1358" t="str">
        <x:v>Retail</x:v>
      </x:c>
      <x:c r="G1358" s="18" t="n">
        <x:v>86.79</x:v>
      </x:c>
      <x:c r="H1358" t="n">
        <x:v>0</x:v>
      </x:c>
      <x:c r="I1358" t="n">
        <x:v>0</x:v>
      </x:c>
      <x:c r="J1358" t="n">
        <x:v>0</x:v>
      </x:c>
      <x:c r="K1358" t="n">
        <x:v>0</x:v>
      </x:c>
      <x:c r="L1358" t="n">
        <x:v>10</x:v>
      </x:c>
      <x:c r="M1358" t="n">
        <x:v>0</x:v>
      </x:c>
      <x:c r="N1358" t="str">
        <x:v>Approved</x:v>
      </x:c>
      <x:c r="O1358" t="n">
        <x:v>0</x:v>
      </x:c>
      <x:c r="P1358" t="str">
        <x:f>IF(L1358&gt;=75,"High",IF(L1358&gt;=55,"Medium","Low"))</x:f>
        <x:v>Low</x:v>
      </x:c>
    </x:row>
    <x:row r="1359">
      <x:c r="A1359" t="n">
        <x:v>1358</x:v>
      </x:c>
      <x:c r="B1359" t="n">
        <x:v>10354</x:v>
      </x:c>
      <x:c r="C1359" s="16" t="n">
        <x:v>46151</x:v>
      </x:c>
      <x:c r="D1359" t="str">
        <x:v>17:00:00</x:v>
      </x:c>
      <x:c r="E1359" t="str">
        <x:v>Bank Transfer</x:v>
      </x:c>
      <x:c r="F1359" t="str">
        <x:v>Subscriptions</x:v>
      </x:c>
      <x:c r="G1359" s="18" t="n">
        <x:v>39.99</x:v>
      </x:c>
      <x:c r="H1359" t="n">
        <x:v>0</x:v>
      </x:c>
      <x:c r="I1359" t="n">
        <x:v>1</x:v>
      </x:c>
      <x:c r="J1359" t="n">
        <x:v>0</x:v>
      </x:c>
      <x:c r="K1359" t="n">
        <x:v>0</x:v>
      </x:c>
      <x:c r="L1359" t="n">
        <x:v>30</x:v>
      </x:c>
      <x:c r="M1359" t="n">
        <x:v>0</x:v>
      </x:c>
      <x:c r="N1359" t="str">
        <x:v>Approved</x:v>
      </x:c>
      <x:c r="O1359" t="n">
        <x:v>0</x:v>
      </x:c>
      <x:c r="P1359" t="str">
        <x:f>IF(L1359&gt;=75,"High",IF(L1359&gt;=55,"Medium","Low"))</x:f>
        <x:v>Low</x:v>
      </x:c>
    </x:row>
    <x:row r="1360">
      <x:c r="A1360" t="n">
        <x:v>1359</x:v>
      </x:c>
      <x:c r="B1360" t="n">
        <x:v>10329</x:v>
      </x:c>
      <x:c r="C1360" s="16" t="n">
        <x:v>46255</x:v>
      </x:c>
      <x:c r="D1360" t="str">
        <x:v>16:27:00</x:v>
      </x:c>
      <x:c r="E1360" t="str">
        <x:v>Card</x:v>
      </x:c>
      <x:c r="F1360" t="str">
        <x:v>Travel</x:v>
      </x:c>
      <x:c r="G1360" s="18" t="n">
        <x:v>257.84</x:v>
      </x:c>
      <x:c r="H1360" t="n">
        <x:v>0</x:v>
      </x:c>
      <x:c r="I1360" t="n">
        <x:v>1</x:v>
      </x:c>
      <x:c r="J1360" t="n">
        <x:v>0</x:v>
      </x:c>
      <x:c r="K1360" t="n">
        <x:v>0</x:v>
      </x:c>
      <x:c r="L1360" t="n">
        <x:v>30</x:v>
      </x:c>
      <x:c r="M1360" t="n">
        <x:v>0</x:v>
      </x:c>
      <x:c r="N1360" t="str">
        <x:v>Approved</x:v>
      </x:c>
      <x:c r="O1360" t="n">
        <x:v>0</x:v>
      </x:c>
      <x:c r="P1360" t="str">
        <x:f>IF(L1360&gt;=75,"High",IF(L1360&gt;=55,"Medium","Low"))</x:f>
        <x:v>Low</x:v>
      </x:c>
    </x:row>
    <x:row r="1361">
      <x:c r="A1361" t="n">
        <x:v>1360</x:v>
      </x:c>
      <x:c r="B1361" t="n">
        <x:v>10159</x:v>
      </x:c>
      <x:c r="C1361" s="16" t="n">
        <x:v>46162</x:v>
      </x:c>
      <x:c r="D1361" t="str">
        <x:v>14:19:00</x:v>
      </x:c>
      <x:c r="E1361" t="str">
        <x:v>Card</x:v>
      </x:c>
      <x:c r="F1361" t="str">
        <x:v>Retail</x:v>
      </x:c>
      <x:c r="G1361" s="18" t="n">
        <x:v>117.6</x:v>
      </x:c>
      <x:c r="H1361" t="n">
        <x:v>1</x:v>
      </x:c>
      <x:c r="I1361" t="n">
        <x:v>0</x:v>
      </x:c>
      <x:c r="J1361" t="n">
        <x:v>0</x:v>
      </x:c>
      <x:c r="K1361" t="n">
        <x:v>0</x:v>
      </x:c>
      <x:c r="L1361" t="n">
        <x:v>36</x:v>
      </x:c>
      <x:c r="M1361" t="n">
        <x:v>0</x:v>
      </x:c>
      <x:c r="N1361" t="str">
        <x:v>Approved</x:v>
      </x:c>
      <x:c r="O1361" t="n">
        <x:v>0</x:v>
      </x:c>
      <x:c r="P1361" t="str">
        <x:f>IF(L1361&gt;=75,"High",IF(L1361&gt;=55,"Medium","Low"))</x:f>
        <x:v>Low</x:v>
      </x:c>
    </x:row>
    <x:row r="1362">
      <x:c r="A1362" t="n">
        <x:v>1361</x:v>
      </x:c>
      <x:c r="B1362" t="n">
        <x:v>10085</x:v>
      </x:c>
      <x:c r="C1362" s="16" t="n">
        <x:v>46215</x:v>
      </x:c>
      <x:c r="D1362" t="str">
        <x:v>12:30:00</x:v>
      </x:c>
      <x:c r="E1362" t="str">
        <x:v>Card</x:v>
      </x:c>
      <x:c r="F1362" t="str">
        <x:v>Subscriptions</x:v>
      </x:c>
      <x:c r="G1362" s="18" t="n">
        <x:v>394.82</x:v>
      </x:c>
      <x:c r="H1362" t="n">
        <x:v>0</x:v>
      </x:c>
      <x:c r="I1362" t="n">
        <x:v>0</x:v>
      </x:c>
      <x:c r="J1362" t="n">
        <x:v>0</x:v>
      </x:c>
      <x:c r="K1362" t="n">
        <x:v>0</x:v>
      </x:c>
      <x:c r="L1362" t="n">
        <x:v>10</x:v>
      </x:c>
      <x:c r="M1362" t="n">
        <x:v>0</x:v>
      </x:c>
      <x:c r="N1362" t="str">
        <x:v>Approved</x:v>
      </x:c>
      <x:c r="O1362" t="n">
        <x:v>0</x:v>
      </x:c>
      <x:c r="P1362" t="str">
        <x:f>IF(L1362&gt;=75,"High",IF(L1362&gt;=55,"Medium","Low"))</x:f>
        <x:v>Low</x:v>
      </x:c>
    </x:row>
    <x:row r="1363">
      <x:c r="A1363" t="n">
        <x:v>1362</x:v>
      </x:c>
      <x:c r="B1363" t="n">
        <x:v>10024</x:v>
      </x:c>
      <x:c r="C1363" s="16" t="n">
        <x:v>46181</x:v>
      </x:c>
      <x:c r="D1363" t="str">
        <x:v>17:53:00</x:v>
      </x:c>
      <x:c r="E1363" t="str">
        <x:v>Card</x:v>
      </x:c>
      <x:c r="F1363" t="str">
        <x:v>Subscriptions</x:v>
      </x:c>
      <x:c r="G1363" s="18" t="n">
        <x:v>8.82</x:v>
      </x:c>
      <x:c r="H1363" t="n">
        <x:v>0</x:v>
      </x:c>
      <x:c r="I1363" t="n">
        <x:v>0</x:v>
      </x:c>
      <x:c r="J1363" t="n">
        <x:v>0</x:v>
      </x:c>
      <x:c r="K1363" t="n">
        <x:v>0</x:v>
      </x:c>
      <x:c r="L1363" t="n">
        <x:v>10</x:v>
      </x:c>
      <x:c r="M1363" t="n">
        <x:v>0</x:v>
      </x:c>
      <x:c r="N1363" t="str">
        <x:v>Approved</x:v>
      </x:c>
      <x:c r="O1363" t="n">
        <x:v>0</x:v>
      </x:c>
      <x:c r="P1363" t="str">
        <x:f>IF(L1363&gt;=75,"High",IF(L1363&gt;=55,"Medium","Low"))</x:f>
        <x:v>Low</x:v>
      </x:c>
    </x:row>
    <x:row r="1364">
      <x:c r="A1364" t="n">
        <x:v>1363</x:v>
      </x:c>
      <x:c r="B1364" t="n">
        <x:v>10122</x:v>
      </x:c>
      <x:c r="C1364" s="16" t="n">
        <x:v>46228</x:v>
      </x:c>
      <x:c r="D1364" t="str">
        <x:v>10:36:00</x:v>
      </x:c>
      <x:c r="E1364" t="str">
        <x:v>Card</x:v>
      </x:c>
      <x:c r="F1364" t="str">
        <x:v>Electronics</x:v>
      </x:c>
      <x:c r="G1364" s="18" t="n">
        <x:v>29.4</x:v>
      </x:c>
      <x:c r="H1364" t="n">
        <x:v>0</x:v>
      </x:c>
      <x:c r="I1364" t="n">
        <x:v>0</x:v>
      </x:c>
      <x:c r="J1364" t="n">
        <x:v>0</x:v>
      </x:c>
      <x:c r="K1364" t="n">
        <x:v>0</x:v>
      </x:c>
      <x:c r="L1364" t="n">
        <x:v>10</x:v>
      </x:c>
      <x:c r="M1364" t="n">
        <x:v>0</x:v>
      </x:c>
      <x:c r="N1364" t="str">
        <x:v>Declined</x:v>
      </x:c>
      <x:c r="O1364" t="n">
        <x:v>0</x:v>
      </x:c>
      <x:c r="P1364" t="str">
        <x:f>IF(L1364&gt;=75,"High",IF(L1364&gt;=55,"Medium","Low"))</x:f>
        <x:v>Low</x:v>
      </x:c>
    </x:row>
    <x:row r="1365">
      <x:c r="A1365" t="n">
        <x:v>1364</x:v>
      </x:c>
      <x:c r="B1365" t="n">
        <x:v>10090</x:v>
      </x:c>
      <x:c r="C1365" s="16" t="n">
        <x:v>46294</x:v>
      </x:c>
      <x:c r="D1365" t="str">
        <x:v>22:09:00</x:v>
      </x:c>
      <x:c r="E1365" t="str">
        <x:v>Card</x:v>
      </x:c>
      <x:c r="F1365" t="str">
        <x:v>Travel</x:v>
      </x:c>
      <x:c r="G1365" s="18" t="n">
        <x:v>10.9</x:v>
      </x:c>
      <x:c r="H1365" t="n">
        <x:v>0</x:v>
      </x:c>
      <x:c r="I1365" t="n">
        <x:v>0</x:v>
      </x:c>
      <x:c r="J1365" t="n">
        <x:v>0</x:v>
      </x:c>
      <x:c r="K1365" t="n">
        <x:v>0</x:v>
      </x:c>
      <x:c r="L1365" t="n">
        <x:v>10</x:v>
      </x:c>
      <x:c r="M1365" t="n">
        <x:v>0</x:v>
      </x:c>
      <x:c r="N1365" t="str">
        <x:v>Approved</x:v>
      </x:c>
      <x:c r="O1365" t="n">
        <x:v>0</x:v>
      </x:c>
      <x:c r="P1365" t="str">
        <x:f>IF(L1365&gt;=75,"High",IF(L1365&gt;=55,"Medium","Low"))</x:f>
        <x:v>Low</x:v>
      </x:c>
    </x:row>
    <x:row r="1366">
      <x:c r="A1366" t="n">
        <x:v>1365</x:v>
      </x:c>
      <x:c r="B1366" t="n">
        <x:v>10347</x:v>
      </x:c>
      <x:c r="C1366" s="16" t="n">
        <x:v>46129</x:v>
      </x:c>
      <x:c r="D1366" t="str">
        <x:v>21:00:00</x:v>
      </x:c>
      <x:c r="E1366" t="str">
        <x:v>Card</x:v>
      </x:c>
      <x:c r="F1366" t="str">
        <x:v>Transfer</x:v>
      </x:c>
      <x:c r="G1366" s="18" t="n">
        <x:v>271.19</x:v>
      </x:c>
      <x:c r="H1366" t="n">
        <x:v>0</x:v>
      </x:c>
      <x:c r="I1366" t="n">
        <x:v>0</x:v>
      </x:c>
      <x:c r="J1366" t="n">
        <x:v>0</x:v>
      </x:c>
      <x:c r="K1366" t="n">
        <x:v>0</x:v>
      </x:c>
      <x:c r="L1366" t="n">
        <x:v>10</x:v>
      </x:c>
      <x:c r="M1366" t="n">
        <x:v>0</x:v>
      </x:c>
      <x:c r="N1366" t="str">
        <x:v>Approved</x:v>
      </x:c>
      <x:c r="O1366" t="n">
        <x:v>0</x:v>
      </x:c>
      <x:c r="P1366" t="str">
        <x:f>IF(L1366&gt;=75,"High",IF(L1366&gt;=55,"Medium","Low"))</x:f>
        <x:v>Low</x:v>
      </x:c>
    </x:row>
    <x:row r="1367">
      <x:c r="A1367" t="n">
        <x:v>1366</x:v>
      </x:c>
      <x:c r="B1367" t="n">
        <x:v>10224</x:v>
      </x:c>
      <x:c r="C1367" s="16" t="n">
        <x:v>46127</x:v>
      </x:c>
      <x:c r="D1367" t="str">
        <x:v>23:13:00</x:v>
      </x:c>
      <x:c r="E1367" t="str">
        <x:v>Card</x:v>
      </x:c>
      <x:c r="F1367" t="str">
        <x:v>Dining</x:v>
      </x:c>
      <x:c r="G1367" s="18" t="n">
        <x:v>28.79</x:v>
      </x:c>
      <x:c r="H1367" t="n">
        <x:v>0</x:v>
      </x:c>
      <x:c r="I1367" t="n">
        <x:v>0</x:v>
      </x:c>
      <x:c r="J1367" t="n">
        <x:v>0</x:v>
      </x:c>
      <x:c r="K1367" t="n">
        <x:v>0</x:v>
      </x:c>
      <x:c r="L1367" t="n">
        <x:v>10</x:v>
      </x:c>
      <x:c r="M1367" t="n">
        <x:v>0</x:v>
      </x:c>
      <x:c r="N1367" t="str">
        <x:v>Approved</x:v>
      </x:c>
      <x:c r="O1367" t="n">
        <x:v>0</x:v>
      </x:c>
      <x:c r="P1367" t="str">
        <x:f>IF(L1367&gt;=75,"High",IF(L1367&gt;=55,"Medium","Low"))</x:f>
        <x:v>Low</x:v>
      </x:c>
    </x:row>
    <x:row r="1368">
      <x:c r="A1368" t="n">
        <x:v>1367</x:v>
      </x:c>
      <x:c r="B1368" t="n">
        <x:v>10141</x:v>
      </x:c>
      <x:c r="C1368" s="16" t="n">
        <x:v>46113</x:v>
      </x:c>
      <x:c r="D1368" t="str">
        <x:v>04:42:00</x:v>
      </x:c>
      <x:c r="E1368" t="str">
        <x:v>Card</x:v>
      </x:c>
      <x:c r="F1368" t="str">
        <x:v>Retail</x:v>
      </x:c>
      <x:c r="G1368" s="18" t="n">
        <x:v>118.62</x:v>
      </x:c>
      <x:c r="H1368" t="n">
        <x:v>0</x:v>
      </x:c>
      <x:c r="I1368" t="n">
        <x:v>0</x:v>
      </x:c>
      <x:c r="J1368" t="n">
        <x:v>0</x:v>
      </x:c>
      <x:c r="K1368" t="n">
        <x:v>1</x:v>
      </x:c>
      <x:c r="L1368" t="n">
        <x:v>25</x:v>
      </x:c>
      <x:c r="M1368" t="n">
        <x:v>0</x:v>
      </x:c>
      <x:c r="N1368" t="str">
        <x:v>Approved</x:v>
      </x:c>
      <x:c r="O1368" t="n">
        <x:v>0</x:v>
      </x:c>
      <x:c r="P1368" t="str">
        <x:f>IF(L1368&gt;=75,"High",IF(L1368&gt;=55,"Medium","Low"))</x:f>
        <x:v>Low</x:v>
      </x:c>
    </x:row>
    <x:row r="1369">
      <x:c r="A1369" t="n">
        <x:v>1368</x:v>
      </x:c>
      <x:c r="B1369" t="n">
        <x:v>10206</x:v>
      </x:c>
      <x:c r="C1369" s="16" t="n">
        <x:v>46118</x:v>
      </x:c>
      <x:c r="D1369" t="str">
        <x:v>16:25:00</x:v>
      </x:c>
      <x:c r="E1369" t="str">
        <x:v>Card</x:v>
      </x:c>
      <x:c r="F1369" t="str">
        <x:v>Retail</x:v>
      </x:c>
      <x:c r="G1369" s="18" t="n">
        <x:v>48.28</x:v>
      </x:c>
      <x:c r="H1369" t="n">
        <x:v>0</x:v>
      </x:c>
      <x:c r="I1369" t="n">
        <x:v>0</x:v>
      </x:c>
      <x:c r="J1369" t="n">
        <x:v>0</x:v>
      </x:c>
      <x:c r="K1369" t="n">
        <x:v>0</x:v>
      </x:c>
      <x:c r="L1369" t="n">
        <x:v>10</x:v>
      </x:c>
      <x:c r="M1369" t="n">
        <x:v>0</x:v>
      </x:c>
      <x:c r="N1369" t="str">
        <x:v>Approved</x:v>
      </x:c>
      <x:c r="O1369" t="n">
        <x:v>0</x:v>
      </x:c>
      <x:c r="P1369" t="str">
        <x:f>IF(L1369&gt;=75,"High",IF(L1369&gt;=55,"Medium","Low"))</x:f>
        <x:v>Low</x:v>
      </x:c>
    </x:row>
    <x:row r="1370">
      <x:c r="A1370" t="n">
        <x:v>1369</x:v>
      </x:c>
      <x:c r="B1370" t="n">
        <x:v>10258</x:v>
      </x:c>
      <x:c r="C1370" s="16" t="n">
        <x:v>46273</x:v>
      </x:c>
      <x:c r="D1370" t="str">
        <x:v>06:19:00</x:v>
      </x:c>
      <x:c r="E1370" t="str">
        <x:v>Card</x:v>
      </x:c>
      <x:c r="F1370" t="str">
        <x:v>Travel</x:v>
      </x:c>
      <x:c r="G1370" s="18" t="n">
        <x:v>156.66</x:v>
      </x:c>
      <x:c r="H1370" t="n">
        <x:v>0</x:v>
      </x:c>
      <x:c r="I1370" t="n">
        <x:v>0</x:v>
      </x:c>
      <x:c r="J1370" t="n">
        <x:v>0</x:v>
      </x:c>
      <x:c r="K1370" t="n">
        <x:v>0</x:v>
      </x:c>
      <x:c r="L1370" t="n">
        <x:v>10</x:v>
      </x:c>
      <x:c r="M1370" t="n">
        <x:v>0</x:v>
      </x:c>
      <x:c r="N1370" t="str">
        <x:v>Approved</x:v>
      </x:c>
      <x:c r="O1370" t="n">
        <x:v>0</x:v>
      </x:c>
      <x:c r="P1370" t="str">
        <x:f>IF(L1370&gt;=75,"High",IF(L1370&gt;=55,"Medium","Low"))</x:f>
        <x:v>Low</x:v>
      </x:c>
    </x:row>
    <x:row r="1371">
      <x:c r="A1371" t="n">
        <x:v>1370</x:v>
      </x:c>
      <x:c r="B1371" t="n">
        <x:v>10265</x:v>
      </x:c>
      <x:c r="C1371" s="16" t="n">
        <x:v>46180</x:v>
      </x:c>
      <x:c r="D1371" t="str">
        <x:v>14:03:00</x:v>
      </x:c>
      <x:c r="E1371" t="str">
        <x:v>P2P</x:v>
      </x:c>
      <x:c r="F1371" t="str">
        <x:v>Retail</x:v>
      </x:c>
      <x:c r="G1371" s="18" t="n">
        <x:v>101.93</x:v>
      </x:c>
      <x:c r="H1371" t="n">
        <x:v>0</x:v>
      </x:c>
      <x:c r="I1371" t="n">
        <x:v>0</x:v>
      </x:c>
      <x:c r="J1371" t="n">
        <x:v>0</x:v>
      </x:c>
      <x:c r="K1371" t="n">
        <x:v>0</x:v>
      </x:c>
      <x:c r="L1371" t="n">
        <x:v>10</x:v>
      </x:c>
      <x:c r="M1371" t="n">
        <x:v>0</x:v>
      </x:c>
      <x:c r="N1371" t="str">
        <x:v>Approved</x:v>
      </x:c>
      <x:c r="O1371" t="n">
        <x:v>0</x:v>
      </x:c>
      <x:c r="P1371" t="str">
        <x:f>IF(L1371&gt;=75,"High",IF(L1371&gt;=55,"Medium","Low"))</x:f>
        <x:v>Low</x:v>
      </x:c>
    </x:row>
    <x:row r="1372">
      <x:c r="A1372" t="n">
        <x:v>1371</x:v>
      </x:c>
      <x:c r="B1372" t="n">
        <x:v>10249</x:v>
      </x:c>
      <x:c r="C1372" s="16" t="n">
        <x:v>46195</x:v>
      </x:c>
      <x:c r="D1372" t="str">
        <x:v>17:11:00</x:v>
      </x:c>
      <x:c r="E1372" t="str">
        <x:v>Bank Transfer</x:v>
      </x:c>
      <x:c r="F1372" t="str">
        <x:v>Retail</x:v>
      </x:c>
      <x:c r="G1372" s="18" t="n">
        <x:v>24.25</x:v>
      </x:c>
      <x:c r="H1372" t="n">
        <x:v>1</x:v>
      </x:c>
      <x:c r="I1372" t="n">
        <x:v>0</x:v>
      </x:c>
      <x:c r="J1372" t="n">
        <x:v>0</x:v>
      </x:c>
      <x:c r="K1372" t="n">
        <x:v>0</x:v>
      </x:c>
      <x:c r="L1372" t="n">
        <x:v>36</x:v>
      </x:c>
      <x:c r="M1372" t="n">
        <x:v>0</x:v>
      </x:c>
      <x:c r="N1372" t="str">
        <x:v>Approved</x:v>
      </x:c>
      <x:c r="O1372" t="n">
        <x:v>0</x:v>
      </x:c>
      <x:c r="P1372" t="str">
        <x:f>IF(L1372&gt;=75,"High",IF(L1372&gt;=55,"Medium","Low"))</x:f>
        <x:v>Low</x:v>
      </x:c>
    </x:row>
    <x:row r="1373">
      <x:c r="A1373" t="n">
        <x:v>1372</x:v>
      </x:c>
      <x:c r="B1373" t="n">
        <x:v>10241</x:v>
      </x:c>
      <x:c r="C1373" s="16" t="n">
        <x:v>46190</x:v>
      </x:c>
      <x:c r="D1373" t="str">
        <x:v>10:03:00</x:v>
      </x:c>
      <x:c r="E1373" t="str">
        <x:v>Card</x:v>
      </x:c>
      <x:c r="F1373" t="str">
        <x:v>Travel</x:v>
      </x:c>
      <x:c r="G1373" s="18" t="n">
        <x:v>50.81</x:v>
      </x:c>
      <x:c r="H1373" t="n">
        <x:v>0</x:v>
      </x:c>
      <x:c r="I1373" t="n">
        <x:v>0</x:v>
      </x:c>
      <x:c r="J1373" t="n">
        <x:v>0</x:v>
      </x:c>
      <x:c r="K1373" t="n">
        <x:v>0</x:v>
      </x:c>
      <x:c r="L1373" t="n">
        <x:v>10</x:v>
      </x:c>
      <x:c r="M1373" t="n">
        <x:v>0</x:v>
      </x:c>
      <x:c r="N1373" t="str">
        <x:v>Approved</x:v>
      </x:c>
      <x:c r="O1373" t="n">
        <x:v>0</x:v>
      </x:c>
      <x:c r="P1373" t="str">
        <x:f>IF(L1373&gt;=75,"High",IF(L1373&gt;=55,"Medium","Low"))</x:f>
        <x:v>Low</x:v>
      </x:c>
    </x:row>
    <x:row r="1374">
      <x:c r="A1374" t="n">
        <x:v>1373</x:v>
      </x:c>
      <x:c r="B1374" t="n">
        <x:v>10309</x:v>
      </x:c>
      <x:c r="C1374" s="16" t="n">
        <x:v>46239</x:v>
      </x:c>
      <x:c r="D1374" t="str">
        <x:v>08:46:00</x:v>
      </x:c>
      <x:c r="E1374" t="str">
        <x:v>P2P</x:v>
      </x:c>
      <x:c r="F1374" t="str">
        <x:v>Transfer</x:v>
      </x:c>
      <x:c r="G1374" s="18" t="n">
        <x:v>510.67</x:v>
      </x:c>
      <x:c r="H1374" t="n">
        <x:v>1</x:v>
      </x:c>
      <x:c r="I1374" t="n">
        <x:v>0</x:v>
      </x:c>
      <x:c r="J1374" t="n">
        <x:v>0</x:v>
      </x:c>
      <x:c r="K1374" t="n">
        <x:v>0</x:v>
      </x:c>
      <x:c r="L1374" t="n">
        <x:v>36</x:v>
      </x:c>
      <x:c r="M1374" t="n">
        <x:v>0</x:v>
      </x:c>
      <x:c r="N1374" t="str">
        <x:v>Approved</x:v>
      </x:c>
      <x:c r="O1374" t="n">
        <x:v>0</x:v>
      </x:c>
      <x:c r="P1374" t="str">
        <x:f>IF(L1374&gt;=75,"High",IF(L1374&gt;=55,"Medium","Low"))</x:f>
        <x:v>Low</x:v>
      </x:c>
    </x:row>
    <x:row r="1375">
      <x:c r="A1375" t="n">
        <x:v>1374</x:v>
      </x:c>
      <x:c r="B1375" t="n">
        <x:v>10129</x:v>
      </x:c>
      <x:c r="C1375" s="16" t="n">
        <x:v>46238</x:v>
      </x:c>
      <x:c r="D1375" t="str">
        <x:v>00:38:00</x:v>
      </x:c>
      <x:c r="E1375" t="str">
        <x:v>Card</x:v>
      </x:c>
      <x:c r="F1375" t="str">
        <x:v>Subscriptions</x:v>
      </x:c>
      <x:c r="G1375" s="18" t="n">
        <x:v>7.09</x:v>
      </x:c>
      <x:c r="H1375" t="n">
        <x:v>0</x:v>
      </x:c>
      <x:c r="I1375" t="n">
        <x:v>0</x:v>
      </x:c>
      <x:c r="J1375" t="n">
        <x:v>0</x:v>
      </x:c>
      <x:c r="K1375" t="n">
        <x:v>1</x:v>
      </x:c>
      <x:c r="L1375" t="n">
        <x:v>25</x:v>
      </x:c>
      <x:c r="M1375" t="n">
        <x:v>0</x:v>
      </x:c>
      <x:c r="N1375" t="str">
        <x:v>Approved</x:v>
      </x:c>
      <x:c r="O1375" t="n">
        <x:v>0</x:v>
      </x:c>
      <x:c r="P1375" t="str">
        <x:f>IF(L1375&gt;=75,"High",IF(L1375&gt;=55,"Medium","Low"))</x:f>
        <x:v>Low</x:v>
      </x:c>
    </x:row>
    <x:row r="1376">
      <x:c r="A1376" t="n">
        <x:v>1375</x:v>
      </x:c>
      <x:c r="B1376" t="n">
        <x:v>10098</x:v>
      </x:c>
      <x:c r="C1376" s="16" t="n">
        <x:v>46245</x:v>
      </x:c>
      <x:c r="D1376" t="str">
        <x:v>16:45:00</x:v>
      </x:c>
      <x:c r="E1376" t="str">
        <x:v>Card</x:v>
      </x:c>
      <x:c r="F1376" t="str">
        <x:v>Retail</x:v>
      </x:c>
      <x:c r="G1376" s="18" t="n">
        <x:v>24.03</x:v>
      </x:c>
      <x:c r="H1376" t="n">
        <x:v>1</x:v>
      </x:c>
      <x:c r="I1376" t="n">
        <x:v>0</x:v>
      </x:c>
      <x:c r="J1376" t="n">
        <x:v>0</x:v>
      </x:c>
      <x:c r="K1376" t="n">
        <x:v>0</x:v>
      </x:c>
      <x:c r="L1376" t="n">
        <x:v>36</x:v>
      </x:c>
      <x:c r="M1376" t="n">
        <x:v>0</x:v>
      </x:c>
      <x:c r="N1376" t="str">
        <x:v>Approved</x:v>
      </x:c>
      <x:c r="O1376" t="n">
        <x:v>0</x:v>
      </x:c>
      <x:c r="P1376" t="str">
        <x:f>IF(L1376&gt;=75,"High",IF(L1376&gt;=55,"Medium","Low"))</x:f>
        <x:v>Low</x:v>
      </x:c>
    </x:row>
    <x:row r="1377">
      <x:c r="A1377" t="n">
        <x:v>1376</x:v>
      </x:c>
      <x:c r="B1377" t="n">
        <x:v>10153</x:v>
      </x:c>
      <x:c r="C1377" s="16" t="n">
        <x:v>46242</x:v>
      </x:c>
      <x:c r="D1377" t="str">
        <x:v>09:47:00</x:v>
      </x:c>
      <x:c r="E1377" t="str">
        <x:v>Card</x:v>
      </x:c>
      <x:c r="F1377" t="str">
        <x:v>Dining</x:v>
      </x:c>
      <x:c r="G1377" s="18" t="n">
        <x:v>136.99</x:v>
      </x:c>
      <x:c r="H1377" t="n">
        <x:v>0</x:v>
      </x:c>
      <x:c r="I1377" t="n">
        <x:v>0</x:v>
      </x:c>
      <x:c r="J1377" t="n">
        <x:v>0</x:v>
      </x:c>
      <x:c r="K1377" t="n">
        <x:v>0</x:v>
      </x:c>
      <x:c r="L1377" t="n">
        <x:v>10</x:v>
      </x:c>
      <x:c r="M1377" t="n">
        <x:v>0</x:v>
      </x:c>
      <x:c r="N1377" t="str">
        <x:v>Approved</x:v>
      </x:c>
      <x:c r="O1377" t="n">
        <x:v>0</x:v>
      </x:c>
      <x:c r="P1377" t="str">
        <x:f>IF(L1377&gt;=75,"High",IF(L1377&gt;=55,"Medium","Low"))</x:f>
        <x:v>Low</x:v>
      </x:c>
    </x:row>
    <x:row r="1378">
      <x:c r="A1378" t="n">
        <x:v>1377</x:v>
      </x:c>
      <x:c r="B1378" t="n">
        <x:v>10124</x:v>
      </x:c>
      <x:c r="C1378" s="16" t="n">
        <x:v>46144</x:v>
      </x:c>
      <x:c r="D1378" t="str">
        <x:v>22:05:00</x:v>
      </x:c>
      <x:c r="E1378" t="str">
        <x:v>Card</x:v>
      </x:c>
      <x:c r="F1378" t="str">
        <x:v>Subscriptions</x:v>
      </x:c>
      <x:c r="G1378" s="18" t="n">
        <x:v>40.7</x:v>
      </x:c>
      <x:c r="H1378" t="n">
        <x:v>0</x:v>
      </x:c>
      <x:c r="I1378" t="n">
        <x:v>0</x:v>
      </x:c>
      <x:c r="J1378" t="n">
        <x:v>0</x:v>
      </x:c>
      <x:c r="K1378" t="n">
        <x:v>0</x:v>
      </x:c>
      <x:c r="L1378" t="n">
        <x:v>10</x:v>
      </x:c>
      <x:c r="M1378" t="n">
        <x:v>0</x:v>
      </x:c>
      <x:c r="N1378" t="str">
        <x:v>Approved</x:v>
      </x:c>
      <x:c r="O1378" t="n">
        <x:v>0</x:v>
      </x:c>
      <x:c r="P1378" t="str">
        <x:f>IF(L1378&gt;=75,"High",IF(L1378&gt;=55,"Medium","Low"))</x:f>
        <x:v>Low</x:v>
      </x:c>
    </x:row>
    <x:row r="1379">
      <x:c r="A1379" t="n">
        <x:v>1378</x:v>
      </x:c>
      <x:c r="B1379" t="n">
        <x:v>10037</x:v>
      </x:c>
      <x:c r="C1379" s="16" t="n">
        <x:v>46286</x:v>
      </x:c>
      <x:c r="D1379" t="str">
        <x:v>14:32:00</x:v>
      </x:c>
      <x:c r="E1379" t="str">
        <x:v>Bank Transfer</x:v>
      </x:c>
      <x:c r="F1379" t="str">
        <x:v>Utilities</x:v>
      </x:c>
      <x:c r="G1379" s="18" t="n">
        <x:v>77.36</x:v>
      </x:c>
      <x:c r="H1379" t="n">
        <x:v>0</x:v>
      </x:c>
      <x:c r="I1379" t="n">
        <x:v>0</x:v>
      </x:c>
      <x:c r="J1379" t="n">
        <x:v>0</x:v>
      </x:c>
      <x:c r="K1379" t="n">
        <x:v>0</x:v>
      </x:c>
      <x:c r="L1379" t="n">
        <x:v>10</x:v>
      </x:c>
      <x:c r="M1379" t="n">
        <x:v>0</x:v>
      </x:c>
      <x:c r="N1379" t="str">
        <x:v>Approved</x:v>
      </x:c>
      <x:c r="O1379" t="n">
        <x:v>0</x:v>
      </x:c>
      <x:c r="P1379" t="str">
        <x:f>IF(L1379&gt;=75,"High",IF(L1379&gt;=55,"Medium","Low"))</x:f>
        <x:v>Low</x:v>
      </x:c>
    </x:row>
    <x:row r="1380">
      <x:c r="A1380" t="n">
        <x:v>1379</x:v>
      </x:c>
      <x:c r="B1380" t="n">
        <x:v>10317</x:v>
      </x:c>
      <x:c r="C1380" s="16" t="n">
        <x:v>46117</x:v>
      </x:c>
      <x:c r="D1380" t="str">
        <x:v>11:10:00</x:v>
      </x:c>
      <x:c r="E1380" t="str">
        <x:v>Card</x:v>
      </x:c>
      <x:c r="F1380" t="str">
        <x:v>Subscriptions</x:v>
      </x:c>
      <x:c r="G1380" s="18" t="n">
        <x:v>48.77</x:v>
      </x:c>
      <x:c r="H1380" t="n">
        <x:v>0</x:v>
      </x:c>
      <x:c r="I1380" t="n">
        <x:v>1</x:v>
      </x:c>
      <x:c r="J1380" t="n">
        <x:v>0</x:v>
      </x:c>
      <x:c r="K1380" t="n">
        <x:v>0</x:v>
      </x:c>
      <x:c r="L1380" t="n">
        <x:v>30</x:v>
      </x:c>
      <x:c r="M1380" t="n">
        <x:v>0</x:v>
      </x:c>
      <x:c r="N1380" t="str">
        <x:v>Approved</x:v>
      </x:c>
      <x:c r="O1380" t="n">
        <x:v>0</x:v>
      </x:c>
      <x:c r="P1380" t="str">
        <x:f>IF(L1380&gt;=75,"High",IF(L1380&gt;=55,"Medium","Low"))</x:f>
        <x:v>Low</x:v>
      </x:c>
    </x:row>
    <x:row r="1381">
      <x:c r="A1381" t="n">
        <x:v>1380</x:v>
      </x:c>
      <x:c r="B1381" t="n">
        <x:v>10316</x:v>
      </x:c>
      <x:c r="C1381" s="16" t="n">
        <x:v>46273</x:v>
      </x:c>
      <x:c r="D1381" t="str">
        <x:v>16:16:00</x:v>
      </x:c>
      <x:c r="E1381" t="str">
        <x:v>Bank Transfer</x:v>
      </x:c>
      <x:c r="F1381" t="str">
        <x:v>Electronics</x:v>
      </x:c>
      <x:c r="G1381" s="18" t="n">
        <x:v>443.39</x:v>
      </x:c>
      <x:c r="H1381" t="n">
        <x:v>0</x:v>
      </x:c>
      <x:c r="I1381" t="n">
        <x:v>0</x:v>
      </x:c>
      <x:c r="J1381" t="n">
        <x:v>0</x:v>
      </x:c>
      <x:c r="K1381" t="n">
        <x:v>0</x:v>
      </x:c>
      <x:c r="L1381" t="n">
        <x:v>10</x:v>
      </x:c>
      <x:c r="M1381" t="n">
        <x:v>0</x:v>
      </x:c>
      <x:c r="N1381" t="str">
        <x:v>Approved</x:v>
      </x:c>
      <x:c r="O1381" t="n">
        <x:v>0</x:v>
      </x:c>
      <x:c r="P1381" t="str">
        <x:f>IF(L1381&gt;=75,"High",IF(L1381&gt;=55,"Medium","Low"))</x:f>
        <x:v>Low</x:v>
      </x:c>
    </x:row>
    <x:row r="1382">
      <x:c r="A1382" t="n">
        <x:v>1381</x:v>
      </x:c>
      <x:c r="B1382" t="n">
        <x:v>10302</x:v>
      </x:c>
      <x:c r="C1382" s="16" t="n">
        <x:v>46261</x:v>
      </x:c>
      <x:c r="D1382" t="str">
        <x:v>03:21:00</x:v>
      </x:c>
      <x:c r="E1382" t="str">
        <x:v>Card</x:v>
      </x:c>
      <x:c r="F1382" t="str">
        <x:v>Electronics</x:v>
      </x:c>
      <x:c r="G1382" s="18" t="n">
        <x:v>63.44</x:v>
      </x:c>
      <x:c r="H1382" t="n">
        <x:v>0</x:v>
      </x:c>
      <x:c r="I1382" t="n">
        <x:v>0</x:v>
      </x:c>
      <x:c r="J1382" t="n">
        <x:v>0</x:v>
      </x:c>
      <x:c r="K1382" t="n">
        <x:v>1</x:v>
      </x:c>
      <x:c r="L1382" t="n">
        <x:v>25</x:v>
      </x:c>
      <x:c r="M1382" t="n">
        <x:v>0</x:v>
      </x:c>
      <x:c r="N1382" t="str">
        <x:v>Approved</x:v>
      </x:c>
      <x:c r="O1382" t="n">
        <x:v>0</x:v>
      </x:c>
      <x:c r="P1382" t="str">
        <x:f>IF(L1382&gt;=75,"High",IF(L1382&gt;=55,"Medium","Low"))</x:f>
        <x:v>Low</x:v>
      </x:c>
    </x:row>
    <x:row r="1383">
      <x:c r="A1383" t="n">
        <x:v>1382</x:v>
      </x:c>
      <x:c r="B1383" t="n">
        <x:v>10176</x:v>
      </x:c>
      <x:c r="C1383" s="16" t="n">
        <x:v>46258</x:v>
      </x:c>
      <x:c r="D1383" t="str">
        <x:v>12:05:00</x:v>
      </x:c>
      <x:c r="E1383" t="str">
        <x:v>Bank Transfer</x:v>
      </x:c>
      <x:c r="F1383" t="str">
        <x:v>Dining</x:v>
      </x:c>
      <x:c r="G1383" s="18" t="n">
        <x:v>275.72</x:v>
      </x:c>
      <x:c r="H1383" t="n">
        <x:v>1</x:v>
      </x:c>
      <x:c r="I1383" t="n">
        <x:v>0</x:v>
      </x:c>
      <x:c r="J1383" t="n">
        <x:v>0</x:v>
      </x:c>
      <x:c r="K1383" t="n">
        <x:v>0</x:v>
      </x:c>
      <x:c r="L1383" t="n">
        <x:v>36</x:v>
      </x:c>
      <x:c r="M1383" t="n">
        <x:v>0</x:v>
      </x:c>
      <x:c r="N1383" t="str">
        <x:v>Approved</x:v>
      </x:c>
      <x:c r="O1383" t="n">
        <x:v>0</x:v>
      </x:c>
      <x:c r="P1383" t="str">
        <x:f>IF(L1383&gt;=75,"High",IF(L1383&gt;=55,"Medium","Low"))</x:f>
        <x:v>Low</x:v>
      </x:c>
    </x:row>
    <x:row r="1384">
      <x:c r="A1384" t="n">
        <x:v>1383</x:v>
      </x:c>
      <x:c r="B1384" t="n">
        <x:v>10058</x:v>
      </x:c>
      <x:c r="C1384" s="16" t="n">
        <x:v>46195</x:v>
      </x:c>
      <x:c r="D1384" t="str">
        <x:v>14:21:00</x:v>
      </x:c>
      <x:c r="E1384" t="str">
        <x:v>Card</x:v>
      </x:c>
      <x:c r="F1384" t="str">
        <x:v>Dining</x:v>
      </x:c>
      <x:c r="G1384" s="18" t="n">
        <x:v>30.37</x:v>
      </x:c>
      <x:c r="H1384" t="n">
        <x:v>0</x:v>
      </x:c>
      <x:c r="I1384" t="n">
        <x:v>0</x:v>
      </x:c>
      <x:c r="J1384" t="n">
        <x:v>0</x:v>
      </x:c>
      <x:c r="K1384" t="n">
        <x:v>0</x:v>
      </x:c>
      <x:c r="L1384" t="n">
        <x:v>10</x:v>
      </x:c>
      <x:c r="M1384" t="n">
        <x:v>0</x:v>
      </x:c>
      <x:c r="N1384" t="str">
        <x:v>Approved</x:v>
      </x:c>
      <x:c r="O1384" t="n">
        <x:v>0</x:v>
      </x:c>
      <x:c r="P1384" t="str">
        <x:f>IF(L1384&gt;=75,"High",IF(L1384&gt;=55,"Medium","Low"))</x:f>
        <x:v>Low</x:v>
      </x:c>
    </x:row>
    <x:row r="1385">
      <x:c r="A1385" t="n">
        <x:v>1384</x:v>
      </x:c>
      <x:c r="B1385" t="n">
        <x:v>10273</x:v>
      </x:c>
      <x:c r="C1385" s="16" t="n">
        <x:v>46184</x:v>
      </x:c>
      <x:c r="D1385" t="str">
        <x:v>06:35:00</x:v>
      </x:c>
      <x:c r="E1385" t="str">
        <x:v>Card</x:v>
      </x:c>
      <x:c r="F1385" t="str">
        <x:v>Subscriptions</x:v>
      </x:c>
      <x:c r="G1385" s="18" t="n">
        <x:v>119.79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10</x:v>
      </x:c>
      <x:c r="M1385" t="n">
        <x:v>0</x:v>
      </x:c>
      <x:c r="N1385" t="str">
        <x:v>Approved</x:v>
      </x:c>
      <x:c r="O1385" t="n">
        <x:v>0</x:v>
      </x:c>
      <x:c r="P1385" t="str">
        <x:f>IF(L1385&gt;=75,"High",IF(L1385&gt;=55,"Medium","Low"))</x:f>
        <x:v>Low</x:v>
      </x:c>
    </x:row>
    <x:row r="1386">
      <x:c r="A1386" t="n">
        <x:v>1385</x:v>
      </x:c>
      <x:c r="B1386" t="n">
        <x:v>10168</x:v>
      </x:c>
      <x:c r="C1386" s="16" t="n">
        <x:v>46245</x:v>
      </x:c>
      <x:c r="D1386" t="str">
        <x:v>10:36:00</x:v>
      </x:c>
      <x:c r="E1386" t="str">
        <x:v>Bank Transfer</x:v>
      </x:c>
      <x:c r="F1386" t="str">
        <x:v>Retail</x:v>
      </x:c>
      <x:c r="G1386" s="18" t="n">
        <x:v>67.29</x:v>
      </x:c>
      <x:c r="H1386" t="n">
        <x:v>0</x:v>
      </x:c>
      <x:c r="I1386" t="n">
        <x:v>0</x:v>
      </x:c>
      <x:c r="J1386" t="n">
        <x:v>0</x:v>
      </x:c>
      <x:c r="K1386" t="n">
        <x:v>0</x:v>
      </x:c>
      <x:c r="L1386" t="n">
        <x:v>10</x:v>
      </x:c>
      <x:c r="M1386" t="n">
        <x:v>0</x:v>
      </x:c>
      <x:c r="N1386" t="str">
        <x:v>Approved</x:v>
      </x:c>
      <x:c r="O1386" t="n">
        <x:v>0</x:v>
      </x:c>
      <x:c r="P1386" t="str">
        <x:f>IF(L1386&gt;=75,"High",IF(L1386&gt;=55,"Medium","Low"))</x:f>
        <x:v>Low</x:v>
      </x:c>
    </x:row>
    <x:row r="1387">
      <x:c r="A1387" t="n">
        <x:v>1386</x:v>
      </x:c>
      <x:c r="B1387" t="n">
        <x:v>10269</x:v>
      </x:c>
      <x:c r="C1387" s="16" t="n">
        <x:v>46189</x:v>
      </x:c>
      <x:c r="D1387" t="str">
        <x:v>07:21:00</x:v>
      </x:c>
      <x:c r="E1387" t="str">
        <x:v>Bank Transfer</x:v>
      </x:c>
      <x:c r="F1387" t="str">
        <x:v>Electronics</x:v>
      </x:c>
      <x:c r="G1387" s="18" t="n">
        <x:v>341.07</x:v>
      </x:c>
      <x:c r="H1387" t="n">
        <x:v>1</x:v>
      </x:c>
      <x:c r="I1387" t="n">
        <x:v>0</x:v>
      </x:c>
      <x:c r="J1387" t="n">
        <x:v>0</x:v>
      </x:c>
      <x:c r="K1387" t="n">
        <x:v>0</x:v>
      </x:c>
      <x:c r="L1387" t="n">
        <x:v>36</x:v>
      </x:c>
      <x:c r="M1387" t="n">
        <x:v>0</x:v>
      </x:c>
      <x:c r="N1387" t="str">
        <x:v>Approved</x:v>
      </x:c>
      <x:c r="O1387" t="n">
        <x:v>0</x:v>
      </x:c>
      <x:c r="P1387" t="str">
        <x:f>IF(L1387&gt;=75,"High",IF(L1387&gt;=55,"Medium","Low"))</x:f>
        <x:v>Low</x:v>
      </x:c>
    </x:row>
    <x:row r="1388">
      <x:c r="A1388" t="n">
        <x:v>1387</x:v>
      </x:c>
      <x:c r="B1388" t="n">
        <x:v>10004</x:v>
      </x:c>
      <x:c r="C1388" s="16" t="n">
        <x:v>46177</x:v>
      </x:c>
      <x:c r="D1388" t="str">
        <x:v>09:34:00</x:v>
      </x:c>
      <x:c r="E1388" t="str">
        <x:v>Bank Transfer</x:v>
      </x:c>
      <x:c r="F1388" t="str">
        <x:v>Dining</x:v>
      </x:c>
      <x:c r="G1388" s="18" t="n">
        <x:v>107.47</x:v>
      </x:c>
      <x:c r="H1388" t="n">
        <x:v>1</x:v>
      </x:c>
      <x:c r="I1388" t="n">
        <x:v>1</x:v>
      </x:c>
      <x:c r="J1388" t="n">
        <x:v>0</x:v>
      </x:c>
      <x:c r="K1388" t="n">
        <x:v>0</x:v>
      </x:c>
      <x:c r="L1388" t="n">
        <x:v>56</x:v>
      </x:c>
      <x:c r="M1388" t="n">
        <x:v>1</x:v>
      </x:c>
      <x:c r="N1388" t="str">
        <x:v>Approved</x:v>
      </x:c>
      <x:c r="O1388" t="n">
        <x:v>0</x:v>
      </x:c>
      <x:c r="P1388" t="str">
        <x:f>IF(L1388&gt;=75,"High",IF(L1388&gt;=55,"Medium","Low"))</x:f>
        <x:v>Medium</x:v>
      </x:c>
    </x:row>
    <x:row r="1389">
      <x:c r="A1389" t="n">
        <x:v>1388</x:v>
      </x:c>
      <x:c r="B1389" t="n">
        <x:v>10044</x:v>
      </x:c>
      <x:c r="C1389" s="16" t="n">
        <x:v>46252</x:v>
      </x:c>
      <x:c r="D1389" t="str">
        <x:v>22:55:00</x:v>
      </x:c>
      <x:c r="E1389" t="str">
        <x:v>Card</x:v>
      </x:c>
      <x:c r="F1389" t="str">
        <x:v>Travel</x:v>
      </x:c>
      <x:c r="G1389" s="18" t="n">
        <x:v>37.66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10</x:v>
      </x:c>
      <x:c r="M1389" t="n">
        <x:v>0</x:v>
      </x:c>
      <x:c r="N1389" t="str">
        <x:v>Approved</x:v>
      </x:c>
      <x:c r="O1389" t="n">
        <x:v>0</x:v>
      </x:c>
      <x:c r="P1389" t="str">
        <x:f>IF(L1389&gt;=75,"High",IF(L1389&gt;=55,"Medium","Low"))</x:f>
        <x:v>Low</x:v>
      </x:c>
    </x:row>
    <x:row r="1390">
      <x:c r="A1390" t="n">
        <x:v>1389</x:v>
      </x:c>
      <x:c r="B1390" t="n">
        <x:v>10291</x:v>
      </x:c>
      <x:c r="C1390" s="16" t="n">
        <x:v>46234</x:v>
      </x:c>
      <x:c r="D1390" t="str">
        <x:v>17:43:00</x:v>
      </x:c>
      <x:c r="E1390" t="str">
        <x:v>Bank Transfer</x:v>
      </x:c>
      <x:c r="F1390" t="str">
        <x:v>Transfer</x:v>
      </x:c>
      <x:c r="G1390" s="18" t="n">
        <x:v>25.4</x:v>
      </x:c>
      <x:c r="H1390" t="n">
        <x:v>0</x:v>
      </x:c>
      <x:c r="I1390" t="n">
        <x:v>0</x:v>
      </x:c>
      <x:c r="J1390" t="n">
        <x:v>0</x:v>
      </x:c>
      <x:c r="K1390" t="n">
        <x:v>0</x:v>
      </x:c>
      <x:c r="L1390" t="n">
        <x:v>10</x:v>
      </x:c>
      <x:c r="M1390" t="n">
        <x:v>0</x:v>
      </x:c>
      <x:c r="N1390" t="str">
        <x:v>Approved</x:v>
      </x:c>
      <x:c r="O1390" t="n">
        <x:v>0</x:v>
      </x:c>
      <x:c r="P1390" t="str">
        <x:f>IF(L1390&gt;=75,"High",IF(L1390&gt;=55,"Medium","Low"))</x:f>
        <x:v>Low</x:v>
      </x:c>
    </x:row>
    <x:row r="1391">
      <x:c r="A1391" t="n">
        <x:v>1390</x:v>
      </x:c>
      <x:c r="B1391" t="n">
        <x:v>10321</x:v>
      </x:c>
      <x:c r="C1391" s="16" t="n">
        <x:v>46176</x:v>
      </x:c>
      <x:c r="D1391" t="str">
        <x:v>14:41:00</x:v>
      </x:c>
      <x:c r="E1391" t="str">
        <x:v>Card</x:v>
      </x:c>
      <x:c r="F1391" t="str">
        <x:v>Subscriptions</x:v>
      </x:c>
      <x:c r="G1391" s="18" t="n">
        <x:v>263.87</x:v>
      </x:c>
      <x:c r="H1391" t="n">
        <x:v>1</x:v>
      </x:c>
      <x:c r="I1391" t="n">
        <x:v>0</x:v>
      </x:c>
      <x:c r="J1391" t="n">
        <x:v>0</x:v>
      </x:c>
      <x:c r="K1391" t="n">
        <x:v>0</x:v>
      </x:c>
      <x:c r="L1391" t="n">
        <x:v>36</x:v>
      </x:c>
      <x:c r="M1391" t="n">
        <x:v>0</x:v>
      </x:c>
      <x:c r="N1391" t="str">
        <x:v>Declined</x:v>
      </x:c>
      <x:c r="O1391" t="n">
        <x:v>0</x:v>
      </x:c>
      <x:c r="P1391" t="str">
        <x:f>IF(L1391&gt;=75,"High",IF(L1391&gt;=55,"Medium","Low"))</x:f>
        <x:v>Low</x:v>
      </x:c>
    </x:row>
    <x:row r="1392">
      <x:c r="A1392" t="n">
        <x:v>1391</x:v>
      </x:c>
      <x:c r="B1392" t="n">
        <x:v>10184</x:v>
      </x:c>
      <x:c r="C1392" s="16" t="n">
        <x:v>46189</x:v>
      </x:c>
      <x:c r="D1392" t="str">
        <x:v>13:42:00</x:v>
      </x:c>
      <x:c r="E1392" t="str">
        <x:v>Card</x:v>
      </x:c>
      <x:c r="F1392" t="str">
        <x:v>Electronics</x:v>
      </x:c>
      <x:c r="G1392" s="18" t="n">
        <x:v>49.02</x:v>
      </x:c>
      <x:c r="H1392" t="n">
        <x:v>0</x:v>
      </x:c>
      <x:c r="I1392" t="n">
        <x:v>1</x:v>
      </x:c>
      <x:c r="J1392" t="n">
        <x:v>0</x:v>
      </x:c>
      <x:c r="K1392" t="n">
        <x:v>0</x:v>
      </x:c>
      <x:c r="L1392" t="n">
        <x:v>30</x:v>
      </x:c>
      <x:c r="M1392" t="n">
        <x:v>0</x:v>
      </x:c>
      <x:c r="N1392" t="str">
        <x:v>Approved</x:v>
      </x:c>
      <x:c r="O1392" t="n">
        <x:v>0</x:v>
      </x:c>
      <x:c r="P1392" t="str">
        <x:f>IF(L1392&gt;=75,"High",IF(L1392&gt;=55,"Medium","Low"))</x:f>
        <x:v>Low</x:v>
      </x:c>
    </x:row>
    <x:row r="1393">
      <x:c r="A1393" t="n">
        <x:v>1392</x:v>
      </x:c>
      <x:c r="B1393" t="n">
        <x:v>10160</x:v>
      </x:c>
      <x:c r="C1393" s="16" t="n">
        <x:v>46154</x:v>
      </x:c>
      <x:c r="D1393" t="str">
        <x:v>09:28:00</x:v>
      </x:c>
      <x:c r="E1393" t="str">
        <x:v>Card</x:v>
      </x:c>
      <x:c r="F1393" t="str">
        <x:v>Electronics</x:v>
      </x:c>
      <x:c r="G1393" s="18" t="n">
        <x:v>27.93</x:v>
      </x:c>
      <x:c r="H1393" t="n">
        <x:v>1</x:v>
      </x:c>
      <x:c r="I1393" t="n">
        <x:v>0</x:v>
      </x:c>
      <x:c r="J1393" t="n">
        <x:v>0</x:v>
      </x:c>
      <x:c r="K1393" t="n">
        <x:v>0</x:v>
      </x:c>
      <x:c r="L1393" t="n">
        <x:v>36</x:v>
      </x:c>
      <x:c r="M1393" t="n">
        <x:v>0</x:v>
      </x:c>
      <x:c r="N1393" t="str">
        <x:v>Approved</x:v>
      </x:c>
      <x:c r="O1393" t="n">
        <x:v>0</x:v>
      </x:c>
      <x:c r="P1393" t="str">
        <x:f>IF(L1393&gt;=75,"High",IF(L1393&gt;=55,"Medium","Low"))</x:f>
        <x:v>Low</x:v>
      </x:c>
    </x:row>
    <x:row r="1394">
      <x:c r="A1394" t="n">
        <x:v>1393</x:v>
      </x:c>
      <x:c r="B1394" t="n">
        <x:v>10062</x:v>
      </x:c>
      <x:c r="C1394" s="16" t="n">
        <x:v>46261</x:v>
      </x:c>
      <x:c r="D1394" t="str">
        <x:v>03:13:00</x:v>
      </x:c>
      <x:c r="E1394" t="str">
        <x:v>Card</x:v>
      </x:c>
      <x:c r="F1394" t="str">
        <x:v>Retail</x:v>
      </x:c>
      <x:c r="G1394" s="18" t="n">
        <x:v>15.32</x:v>
      </x:c>
      <x:c r="H1394" t="n">
        <x:v>0</x:v>
      </x:c>
      <x:c r="I1394" t="n">
        <x:v>1</x:v>
      </x:c>
      <x:c r="J1394" t="n">
        <x:v>0</x:v>
      </x:c>
      <x:c r="K1394" t="n">
        <x:v>1</x:v>
      </x:c>
      <x:c r="L1394" t="n">
        <x:v>45</x:v>
      </x:c>
      <x:c r="M1394" t="n">
        <x:v>0</x:v>
      </x:c>
      <x:c r="N1394" t="str">
        <x:v>Approved</x:v>
      </x:c>
      <x:c r="O1394" t="n">
        <x:v>0</x:v>
      </x:c>
      <x:c r="P1394" t="str">
        <x:f>IF(L1394&gt;=75,"High",IF(L1394&gt;=55,"Medium","Low"))</x:f>
        <x:v>Low</x:v>
      </x:c>
    </x:row>
    <x:row r="1395">
      <x:c r="A1395" t="n">
        <x:v>1394</x:v>
      </x:c>
      <x:c r="B1395" t="n">
        <x:v>10112</x:v>
      </x:c>
      <x:c r="C1395" s="16" t="n">
        <x:v>46123</x:v>
      </x:c>
      <x:c r="D1395" t="str">
        <x:v>23:14:00</x:v>
      </x:c>
      <x:c r="E1395" t="str">
        <x:v>Card</x:v>
      </x:c>
      <x:c r="F1395" t="str">
        <x:v>Dining</x:v>
      </x:c>
      <x:c r="G1395" s="18" t="n">
        <x:v>43.35</x:v>
      </x:c>
      <x:c r="H1395" t="n">
        <x:v>1</x:v>
      </x:c>
      <x:c r="I1395" t="n">
        <x:v>0</x:v>
      </x:c>
      <x:c r="J1395" t="n">
        <x:v>0</x:v>
      </x:c>
      <x:c r="K1395" t="n">
        <x:v>0</x:v>
      </x:c>
      <x:c r="L1395" t="n">
        <x:v>36</x:v>
      </x:c>
      <x:c r="M1395" t="n">
        <x:v>0</x:v>
      </x:c>
      <x:c r="N1395" t="str">
        <x:v>Approved</x:v>
      </x:c>
      <x:c r="O1395" t="n">
        <x:v>0</x:v>
      </x:c>
      <x:c r="P1395" t="str">
        <x:f>IF(L1395&gt;=75,"High",IF(L1395&gt;=55,"Medium","Low"))</x:f>
        <x:v>Low</x:v>
      </x:c>
    </x:row>
    <x:row r="1396">
      <x:c r="A1396" t="n">
        <x:v>1395</x:v>
      </x:c>
      <x:c r="B1396" t="n">
        <x:v>10060</x:v>
      </x:c>
      <x:c r="C1396" s="16" t="n">
        <x:v>46178</x:v>
      </x:c>
      <x:c r="D1396" t="str">
        <x:v>17:49:00</x:v>
      </x:c>
      <x:c r="E1396" t="str">
        <x:v>Card</x:v>
      </x:c>
      <x:c r="F1396" t="str">
        <x:v>Travel</x:v>
      </x:c>
      <x:c r="G1396" s="18" t="n">
        <x:v>307.07</x:v>
      </x:c>
      <x:c r="H1396" t="n">
        <x:v>0</x:v>
      </x:c>
      <x:c r="I1396" t="n">
        <x:v>0</x:v>
      </x:c>
      <x:c r="J1396" t="n">
        <x:v>0</x:v>
      </x:c>
      <x:c r="K1396" t="n">
        <x:v>0</x:v>
      </x:c>
      <x:c r="L1396" t="n">
        <x:v>10</x:v>
      </x:c>
      <x:c r="M1396" t="n">
        <x:v>0</x:v>
      </x:c>
      <x:c r="N1396" t="str">
        <x:v>Approved</x:v>
      </x:c>
      <x:c r="O1396" t="n">
        <x:v>0</x:v>
      </x:c>
      <x:c r="P1396" t="str">
        <x:f>IF(L1396&gt;=75,"High",IF(L1396&gt;=55,"Medium","Low"))</x:f>
        <x:v>Low</x:v>
      </x:c>
    </x:row>
    <x:row r="1397">
      <x:c r="A1397" t="n">
        <x:v>1396</x:v>
      </x:c>
      <x:c r="B1397" t="n">
        <x:v>10071</x:v>
      </x:c>
      <x:c r="C1397" s="16" t="n">
        <x:v>46146</x:v>
      </x:c>
      <x:c r="D1397" t="str">
        <x:v>17:06:00</x:v>
      </x:c>
      <x:c r="E1397" t="str">
        <x:v>Card</x:v>
      </x:c>
      <x:c r="F1397" t="str">
        <x:v>Dining</x:v>
      </x:c>
      <x:c r="G1397" s="18" t="n">
        <x:v>112.39</x:v>
      </x:c>
      <x:c r="H1397" t="n">
        <x:v>0</x:v>
      </x:c>
      <x:c r="I1397" t="n">
        <x:v>1</x:v>
      </x:c>
      <x:c r="J1397" t="n">
        <x:v>0</x:v>
      </x:c>
      <x:c r="K1397" t="n">
        <x:v>0</x:v>
      </x:c>
      <x:c r="L1397" t="n">
        <x:v>30</x:v>
      </x:c>
      <x:c r="M1397" t="n">
        <x:v>0</x:v>
      </x:c>
      <x:c r="N1397" t="str">
        <x:v>Declined</x:v>
      </x:c>
      <x:c r="O1397" t="n">
        <x:v>0</x:v>
      </x:c>
      <x:c r="P1397" t="str">
        <x:f>IF(L1397&gt;=75,"High",IF(L1397&gt;=55,"Medium","Low"))</x:f>
        <x:v>Low</x:v>
      </x:c>
    </x:row>
    <x:row r="1398">
      <x:c r="A1398" t="n">
        <x:v>1397</x:v>
      </x:c>
      <x:c r="B1398" t="n">
        <x:v>10275</x:v>
      </x:c>
      <x:c r="C1398" s="16" t="n">
        <x:v>46210</x:v>
      </x:c>
      <x:c r="D1398" t="str">
        <x:v>16:34:00</x:v>
      </x:c>
      <x:c r="E1398" t="str">
        <x:v>Card</x:v>
      </x:c>
      <x:c r="F1398" t="str">
        <x:v>Dining</x:v>
      </x:c>
      <x:c r="G1398" s="18" t="n">
        <x:v>43</x:v>
      </x:c>
      <x:c r="H1398" t="n">
        <x:v>0</x:v>
      </x:c>
      <x:c r="I1398" t="n">
        <x:v>0</x:v>
      </x:c>
      <x:c r="J1398" t="n">
        <x:v>0</x:v>
      </x:c>
      <x:c r="K1398" t="n">
        <x:v>0</x:v>
      </x:c>
      <x:c r="L1398" t="n">
        <x:v>10</x:v>
      </x:c>
      <x:c r="M1398" t="n">
        <x:v>0</x:v>
      </x:c>
      <x:c r="N1398" t="str">
        <x:v>Approved</x:v>
      </x:c>
      <x:c r="O1398" t="n">
        <x:v>0</x:v>
      </x:c>
      <x:c r="P1398" t="str">
        <x:f>IF(L1398&gt;=75,"High",IF(L1398&gt;=55,"Medium","Low"))</x:f>
        <x:v>Low</x:v>
      </x:c>
    </x:row>
    <x:row r="1399">
      <x:c r="A1399" t="n">
        <x:v>1398</x:v>
      </x:c>
      <x:c r="B1399" t="n">
        <x:v>10351</x:v>
      </x:c>
      <x:c r="C1399" s="16" t="n">
        <x:v>46277</x:v>
      </x:c>
      <x:c r="D1399" t="str">
        <x:v>21:01:00</x:v>
      </x:c>
      <x:c r="E1399" t="str">
        <x:v>Card</x:v>
      </x:c>
      <x:c r="F1399" t="str">
        <x:v>Travel</x:v>
      </x:c>
      <x:c r="G1399" s="18" t="n">
        <x:v>67.83</x:v>
      </x:c>
      <x:c r="H1399" t="n">
        <x:v>0</x:v>
      </x:c>
      <x:c r="I1399" t="n">
        <x:v>0</x:v>
      </x:c>
      <x:c r="J1399" t="n">
        <x:v>0</x:v>
      </x:c>
      <x:c r="K1399" t="n">
        <x:v>0</x:v>
      </x:c>
      <x:c r="L1399" t="n">
        <x:v>10</x:v>
      </x:c>
      <x:c r="M1399" t="n">
        <x:v>0</x:v>
      </x:c>
      <x:c r="N1399" t="str">
        <x:v>Approved</x:v>
      </x:c>
      <x:c r="O1399" t="n">
        <x:v>0</x:v>
      </x:c>
      <x:c r="P1399" t="str">
        <x:f>IF(L1399&gt;=75,"High",IF(L1399&gt;=55,"Medium","Low"))</x:f>
        <x:v>Low</x:v>
      </x:c>
    </x:row>
    <x:row r="1400">
      <x:c r="A1400" t="n">
        <x:v>1399</x:v>
      </x:c>
      <x:c r="B1400" t="n">
        <x:v>10310</x:v>
      </x:c>
      <x:c r="C1400" s="16" t="n">
        <x:v>46128</x:v>
      </x:c>
      <x:c r="D1400" t="str">
        <x:v>10:08:00</x:v>
      </x:c>
      <x:c r="E1400" t="str">
        <x:v>Card</x:v>
      </x:c>
      <x:c r="F1400" t="str">
        <x:v>Retail</x:v>
      </x:c>
      <x:c r="G1400" s="18" t="n">
        <x:v>38.63</x:v>
      </x:c>
      <x:c r="H1400" t="n">
        <x:v>0</x:v>
      </x:c>
      <x:c r="I1400" t="n">
        <x:v>0</x:v>
      </x:c>
      <x:c r="J1400" t="n">
        <x:v>0</x:v>
      </x:c>
      <x:c r="K1400" t="n">
        <x:v>0</x:v>
      </x:c>
      <x:c r="L1400" t="n">
        <x:v>10</x:v>
      </x:c>
      <x:c r="M1400" t="n">
        <x:v>0</x:v>
      </x:c>
      <x:c r="N1400" t="str">
        <x:v>Declined</x:v>
      </x:c>
      <x:c r="O1400" t="n">
        <x:v>0</x:v>
      </x:c>
      <x:c r="P1400" t="str">
        <x:f>IF(L1400&gt;=75,"High",IF(L1400&gt;=55,"Medium","Low"))</x:f>
        <x:v>Low</x:v>
      </x:c>
    </x:row>
    <x:row r="1401">
      <x:c r="A1401" t="n">
        <x:v>1400</x:v>
      </x:c>
      <x:c r="B1401" t="n">
        <x:v>10282</x:v>
      </x:c>
      <x:c r="C1401" s="16" t="n">
        <x:v>46191</x:v>
      </x:c>
      <x:c r="D1401" t="str">
        <x:v>01:45:00</x:v>
      </x:c>
      <x:c r="E1401" t="str">
        <x:v>Bank Transfer</x:v>
      </x:c>
      <x:c r="F1401" t="str">
        <x:v>Travel</x:v>
      </x:c>
      <x:c r="G1401" s="18" t="n">
        <x:v>81.5</x:v>
      </x:c>
      <x:c r="H1401" t="n">
        <x:v>0</x:v>
      </x:c>
      <x:c r="I1401" t="n">
        <x:v>0</x:v>
      </x:c>
      <x:c r="J1401" t="n">
        <x:v>0</x:v>
      </x:c>
      <x:c r="K1401" t="n">
        <x:v>1</x:v>
      </x:c>
      <x:c r="L1401" t="n">
        <x:v>25</x:v>
      </x:c>
      <x:c r="M1401" t="n">
        <x:v>0</x:v>
      </x:c>
      <x:c r="N1401" t="str">
        <x:v>Approved</x:v>
      </x:c>
      <x:c r="O1401" t="n">
        <x:v>0</x:v>
      </x:c>
      <x:c r="P1401" t="str">
        <x:f>IF(L1401&gt;=75,"High",IF(L1401&gt;=55,"Medium","Low"))</x:f>
        <x:v>Low</x:v>
      </x:c>
    </x:row>
    <x:row r="1402">
      <x:c r="A1402" t="n">
        <x:v>1401</x:v>
      </x:c>
      <x:c r="B1402" t="n">
        <x:v>10079</x:v>
      </x:c>
      <x:c r="C1402" s="16" t="n">
        <x:v>46195</x:v>
      </x:c>
      <x:c r="D1402" t="str">
        <x:v>08:24:00</x:v>
      </x:c>
      <x:c r="E1402" t="str">
        <x:v>Card</x:v>
      </x:c>
      <x:c r="F1402" t="str">
        <x:v>Transfer</x:v>
      </x:c>
      <x:c r="G1402" s="18" t="n">
        <x:v>89.18</x:v>
      </x:c>
      <x:c r="H1402" t="n">
        <x:v>0</x:v>
      </x:c>
      <x:c r="I1402" t="n">
        <x:v>0</x:v>
      </x:c>
      <x:c r="J1402" t="n">
        <x:v>0</x:v>
      </x:c>
      <x:c r="K1402" t="n">
        <x:v>0</x:v>
      </x:c>
      <x:c r="L1402" t="n">
        <x:v>10</x:v>
      </x:c>
      <x:c r="M1402" t="n">
        <x:v>0</x:v>
      </x:c>
      <x:c r="N1402" t="str">
        <x:v>Approved</x:v>
      </x:c>
      <x:c r="O1402" t="n">
        <x:v>0</x:v>
      </x:c>
      <x:c r="P1402" t="str">
        <x:f>IF(L1402&gt;=75,"High",IF(L1402&gt;=55,"Medium","Low"))</x:f>
        <x:v>Low</x:v>
      </x:c>
    </x:row>
    <x:row r="1403">
      <x:c r="A1403" t="n">
        <x:v>1402</x:v>
      </x:c>
      <x:c r="B1403" t="n">
        <x:v>10170</x:v>
      </x:c>
      <x:c r="C1403" s="16" t="n">
        <x:v>46143</x:v>
      </x:c>
      <x:c r="D1403" t="str">
        <x:v>10:10:00</x:v>
      </x:c>
      <x:c r="E1403" t="str">
        <x:v>Bank Transfer</x:v>
      </x:c>
      <x:c r="F1403" t="str">
        <x:v>Dining</x:v>
      </x:c>
      <x:c r="G1403" s="18" t="n">
        <x:v>77.96</x:v>
      </x:c>
      <x:c r="H1403" t="n">
        <x:v>0</x:v>
      </x:c>
      <x:c r="I1403" t="n">
        <x:v>0</x:v>
      </x:c>
      <x:c r="J1403" t="n">
        <x:v>0</x:v>
      </x:c>
      <x:c r="K1403" t="n">
        <x:v>0</x:v>
      </x:c>
      <x:c r="L1403" t="n">
        <x:v>10</x:v>
      </x:c>
      <x:c r="M1403" t="n">
        <x:v>0</x:v>
      </x:c>
      <x:c r="N1403" t="str">
        <x:v>Approved</x:v>
      </x:c>
      <x:c r="O1403" t="n">
        <x:v>0</x:v>
      </x:c>
      <x:c r="P1403" t="str">
        <x:f>IF(L1403&gt;=75,"High",IF(L1403&gt;=55,"Medium","Low"))</x:f>
        <x:v>Low</x:v>
      </x:c>
    </x:row>
    <x:row r="1404">
      <x:c r="A1404" t="n">
        <x:v>1403</x:v>
      </x:c>
      <x:c r="B1404" t="n">
        <x:v>10229</x:v>
      </x:c>
      <x:c r="C1404" s="16" t="n">
        <x:v>46122</x:v>
      </x:c>
      <x:c r="D1404" t="str">
        <x:v>07:21:00</x:v>
      </x:c>
      <x:c r="E1404" t="str">
        <x:v>Card</x:v>
      </x:c>
      <x:c r="F1404" t="str">
        <x:v>Travel</x:v>
      </x:c>
      <x:c r="G1404" s="18" t="n">
        <x:v>782.87</x:v>
      </x:c>
      <x:c r="H1404" t="n">
        <x:v>0</x:v>
      </x:c>
      <x:c r="I1404" t="n">
        <x:v>0</x:v>
      </x:c>
      <x:c r="J1404" t="n">
        <x:v>1</x:v>
      </x:c>
      <x:c r="K1404" t="n">
        <x:v>0</x:v>
      </x:c>
      <x:c r="L1404" t="n">
        <x:v>44</x:v>
      </x:c>
      <x:c r="M1404" t="n">
        <x:v>0</x:v>
      </x:c>
      <x:c r="N1404" t="str">
        <x:v>Approved</x:v>
      </x:c>
      <x:c r="O1404" t="n">
        <x:v>0</x:v>
      </x:c>
      <x:c r="P1404" t="str">
        <x:f>IF(L1404&gt;=75,"High",IF(L1404&gt;=55,"Medium","Low"))</x:f>
        <x:v>Low</x:v>
      </x:c>
    </x:row>
    <x:row r="1405">
      <x:c r="A1405" t="n">
        <x:v>1404</x:v>
      </x:c>
      <x:c r="B1405" t="n">
        <x:v>10080</x:v>
      </x:c>
      <x:c r="C1405" s="16" t="n">
        <x:v>46138</x:v>
      </x:c>
      <x:c r="D1405" t="str">
        <x:v>12:00:00</x:v>
      </x:c>
      <x:c r="E1405" t="str">
        <x:v>Card</x:v>
      </x:c>
      <x:c r="F1405" t="str">
        <x:v>Travel</x:v>
      </x:c>
      <x:c r="G1405" s="18" t="n">
        <x:v>67.55</x:v>
      </x:c>
      <x:c r="H1405" t="n">
        <x:v>0</x:v>
      </x:c>
      <x:c r="I1405" t="n">
        <x:v>0</x:v>
      </x:c>
      <x:c r="J1405" t="n">
        <x:v>0</x:v>
      </x:c>
      <x:c r="K1405" t="n">
        <x:v>0</x:v>
      </x:c>
      <x:c r="L1405" t="n">
        <x:v>10</x:v>
      </x:c>
      <x:c r="M1405" t="n">
        <x:v>0</x:v>
      </x:c>
      <x:c r="N1405" t="str">
        <x:v>Approved</x:v>
      </x:c>
      <x:c r="O1405" t="n">
        <x:v>0</x:v>
      </x:c>
      <x:c r="P1405" t="str">
        <x:f>IF(L1405&gt;=75,"High",IF(L1405&gt;=55,"Medium","Low"))</x:f>
        <x:v>Low</x:v>
      </x:c>
    </x:row>
    <x:row r="1406">
      <x:c r="A1406" t="n">
        <x:v>1405</x:v>
      </x:c>
      <x:c r="B1406" t="n">
        <x:v>10190</x:v>
      </x:c>
      <x:c r="C1406" s="16" t="n">
        <x:v>46250</x:v>
      </x:c>
      <x:c r="D1406" t="str">
        <x:v>11:23:00</x:v>
      </x:c>
      <x:c r="E1406" t="str">
        <x:v>Bank Transfer</x:v>
      </x:c>
      <x:c r="F1406" t="str">
        <x:v>Utilities</x:v>
      </x:c>
      <x:c r="G1406" s="18" t="n">
        <x:v>15.99</x:v>
      </x:c>
      <x:c r="H1406" t="n">
        <x:v>0</x:v>
      </x:c>
      <x:c r="I1406" t="n">
        <x:v>0</x:v>
      </x:c>
      <x:c r="J1406" t="n">
        <x:v>0</x:v>
      </x:c>
      <x:c r="K1406" t="n">
        <x:v>0</x:v>
      </x:c>
      <x:c r="L1406" t="n">
        <x:v>10</x:v>
      </x:c>
      <x:c r="M1406" t="n">
        <x:v>0</x:v>
      </x:c>
      <x:c r="N1406" t="str">
        <x:v>Approved</x:v>
      </x:c>
      <x:c r="O1406" t="n">
        <x:v>0</x:v>
      </x:c>
      <x:c r="P1406" t="str">
        <x:f>IF(L1406&gt;=75,"High",IF(L1406&gt;=55,"Medium","Low"))</x:f>
        <x:v>Low</x:v>
      </x:c>
    </x:row>
    <x:row r="1407">
      <x:c r="A1407" t="n">
        <x:v>1406</x:v>
      </x:c>
      <x:c r="B1407" t="n">
        <x:v>10091</x:v>
      </x:c>
      <x:c r="C1407" s="16" t="n">
        <x:v>46239</x:v>
      </x:c>
      <x:c r="D1407" t="str">
        <x:v>22:40:00</x:v>
      </x:c>
      <x:c r="E1407" t="str">
        <x:v>Card</x:v>
      </x:c>
      <x:c r="F1407" t="str">
        <x:v>Transfer</x:v>
      </x:c>
      <x:c r="G1407" s="18" t="n">
        <x:v>46.88</x:v>
      </x:c>
      <x:c r="H1407" t="n">
        <x:v>0</x:v>
      </x:c>
      <x:c r="I1407" t="n">
        <x:v>0</x:v>
      </x:c>
      <x:c r="J1407" t="n">
        <x:v>0</x:v>
      </x:c>
      <x:c r="K1407" t="n">
        <x:v>0</x:v>
      </x:c>
      <x:c r="L1407" t="n">
        <x:v>10</x:v>
      </x:c>
      <x:c r="M1407" t="n">
        <x:v>0</x:v>
      </x:c>
      <x:c r="N1407" t="str">
        <x:v>Approved</x:v>
      </x:c>
      <x:c r="O1407" t="n">
        <x:v>0</x:v>
      </x:c>
      <x:c r="P1407" t="str">
        <x:f>IF(L1407&gt;=75,"High",IF(L1407&gt;=55,"Medium","Low"))</x:f>
        <x:v>Low</x:v>
      </x:c>
    </x:row>
    <x:row r="1408">
      <x:c r="A1408" t="n">
        <x:v>1407</x:v>
      </x:c>
      <x:c r="B1408" t="n">
        <x:v>10255</x:v>
      </x:c>
      <x:c r="C1408" s="16" t="n">
        <x:v>46140</x:v>
      </x:c>
      <x:c r="D1408" t="str">
        <x:v>11:26:00</x:v>
      </x:c>
      <x:c r="E1408" t="str">
        <x:v>Bank Transfer</x:v>
      </x:c>
      <x:c r="F1408" t="str">
        <x:v>Travel</x:v>
      </x:c>
      <x:c r="G1408" s="18" t="n">
        <x:v>266.77</x:v>
      </x:c>
      <x:c r="H1408" t="n">
        <x:v>0</x:v>
      </x:c>
      <x:c r="I1408" t="n">
        <x:v>0</x:v>
      </x:c>
      <x:c r="J1408" t="n">
        <x:v>0</x:v>
      </x:c>
      <x:c r="K1408" t="n">
        <x:v>0</x:v>
      </x:c>
      <x:c r="L1408" t="n">
        <x:v>10</x:v>
      </x:c>
      <x:c r="M1408" t="n">
        <x:v>0</x:v>
      </x:c>
      <x:c r="N1408" t="str">
        <x:v>Approved</x:v>
      </x:c>
      <x:c r="O1408" t="n">
        <x:v>0</x:v>
      </x:c>
      <x:c r="P1408" t="str">
        <x:f>IF(L1408&gt;=75,"High",IF(L1408&gt;=55,"Medium","Low"))</x:f>
        <x:v>Low</x:v>
      </x:c>
    </x:row>
    <x:row r="1409">
      <x:c r="A1409" t="n">
        <x:v>1408</x:v>
      </x:c>
      <x:c r="B1409" t="n">
        <x:v>10045</x:v>
      </x:c>
      <x:c r="C1409" s="16" t="n">
        <x:v>46265</x:v>
      </x:c>
      <x:c r="D1409" t="str">
        <x:v>11:40:00</x:v>
      </x:c>
      <x:c r="E1409" t="str">
        <x:v>P2P</x:v>
      </x:c>
      <x:c r="F1409" t="str">
        <x:v>Utilities</x:v>
      </x:c>
      <x:c r="G1409" s="18" t="n">
        <x:v>16.05</x:v>
      </x:c>
      <x:c r="H1409" t="n">
        <x:v>0</x:v>
      </x:c>
      <x:c r="I1409" t="n">
        <x:v>0</x:v>
      </x:c>
      <x:c r="J1409" t="n">
        <x:v>0</x:v>
      </x:c>
      <x:c r="K1409" t="n">
        <x:v>0</x:v>
      </x:c>
      <x:c r="L1409" t="n">
        <x:v>10</x:v>
      </x:c>
      <x:c r="M1409" t="n">
        <x:v>0</x:v>
      </x:c>
      <x:c r="N1409" t="str">
        <x:v>Approved</x:v>
      </x:c>
      <x:c r="O1409" t="n">
        <x:v>0</x:v>
      </x:c>
      <x:c r="P1409" t="str">
        <x:f>IF(L1409&gt;=75,"High",IF(L1409&gt;=55,"Medium","Low"))</x:f>
        <x:v>Low</x:v>
      </x:c>
    </x:row>
    <x:row r="1410">
      <x:c r="A1410" t="n">
        <x:v>1409</x:v>
      </x:c>
      <x:c r="B1410" t="n">
        <x:v>10210</x:v>
      </x:c>
      <x:c r="C1410" s="16" t="n">
        <x:v>46166</x:v>
      </x:c>
      <x:c r="D1410" t="str">
        <x:v>02:48:00</x:v>
      </x:c>
      <x:c r="E1410" t="str">
        <x:v>Card</x:v>
      </x:c>
      <x:c r="F1410" t="str">
        <x:v>Electronics</x:v>
      </x:c>
      <x:c r="G1410" s="18" t="n">
        <x:v>160.5</x:v>
      </x:c>
      <x:c r="H1410" t="n">
        <x:v>0</x:v>
      </x:c>
      <x:c r="I1410" t="n">
        <x:v>0</x:v>
      </x:c>
      <x:c r="J1410" t="n">
        <x:v>0</x:v>
      </x:c>
      <x:c r="K1410" t="n">
        <x:v>1</x:v>
      </x:c>
      <x:c r="L1410" t="n">
        <x:v>25</x:v>
      </x:c>
      <x:c r="M1410" t="n">
        <x:v>0</x:v>
      </x:c>
      <x:c r="N1410" t="str">
        <x:v>Approved</x:v>
      </x:c>
      <x:c r="O1410" t="n">
        <x:v>0</x:v>
      </x:c>
      <x:c r="P1410" t="str">
        <x:f>IF(L1410&gt;=75,"High",IF(L1410&gt;=55,"Medium","Low"))</x:f>
        <x:v>Low</x:v>
      </x:c>
    </x:row>
    <x:row r="1411">
      <x:c r="A1411" t="n">
        <x:v>1410</x:v>
      </x:c>
      <x:c r="B1411" t="n">
        <x:v>10004</x:v>
      </x:c>
      <x:c r="C1411" s="16" t="n">
        <x:v>46186</x:v>
      </x:c>
      <x:c r="D1411" t="str">
        <x:v>17:35:00</x:v>
      </x:c>
      <x:c r="E1411" t="str">
        <x:v>Bank Transfer</x:v>
      </x:c>
      <x:c r="F1411" t="str">
        <x:v>Electronics</x:v>
      </x:c>
      <x:c r="G1411" s="18" t="n">
        <x:v>198.89</x:v>
      </x:c>
      <x:c r="H1411" t="n">
        <x:v>0</x:v>
      </x:c>
      <x:c r="I1411" t="n">
        <x:v>0</x:v>
      </x:c>
      <x:c r="J1411" t="n">
        <x:v>0</x:v>
      </x:c>
      <x:c r="K1411" t="n">
        <x:v>0</x:v>
      </x:c>
      <x:c r="L1411" t="n">
        <x:v>10</x:v>
      </x:c>
      <x:c r="M1411" t="n">
        <x:v>0</x:v>
      </x:c>
      <x:c r="N1411" t="str">
        <x:v>Approved</x:v>
      </x:c>
      <x:c r="O1411" t="n">
        <x:v>0</x:v>
      </x:c>
      <x:c r="P1411" t="str">
        <x:f>IF(L1411&gt;=75,"High",IF(L1411&gt;=55,"Medium","Low"))</x:f>
        <x:v>Low</x:v>
      </x:c>
    </x:row>
    <x:row r="1412">
      <x:c r="A1412" t="n">
        <x:v>1411</x:v>
      </x:c>
      <x:c r="B1412" t="n">
        <x:v>10324</x:v>
      </x:c>
      <x:c r="C1412" s="16" t="n">
        <x:v>46206</x:v>
      </x:c>
      <x:c r="D1412" t="str">
        <x:v>16:59:00</x:v>
      </x:c>
      <x:c r="E1412" t="str">
        <x:v>Card</x:v>
      </x:c>
      <x:c r="F1412" t="str">
        <x:v>Retail</x:v>
      </x:c>
      <x:c r="G1412" s="18" t="n">
        <x:v>58.46</x:v>
      </x:c>
      <x:c r="H1412" t="n">
        <x:v>0</x:v>
      </x:c>
      <x:c r="I1412" t="n">
        <x:v>0</x:v>
      </x:c>
      <x:c r="J1412" t="n">
        <x:v>0</x:v>
      </x:c>
      <x:c r="K1412" t="n">
        <x:v>0</x:v>
      </x:c>
      <x:c r="L1412" t="n">
        <x:v>10</x:v>
      </x:c>
      <x:c r="M1412" t="n">
        <x:v>0</x:v>
      </x:c>
      <x:c r="N1412" t="str">
        <x:v>Approved</x:v>
      </x:c>
      <x:c r="O1412" t="n">
        <x:v>0</x:v>
      </x:c>
      <x:c r="P1412" t="str">
        <x:f>IF(L1412&gt;=75,"High",IF(L1412&gt;=55,"Medium","Low"))</x:f>
        <x:v>Low</x:v>
      </x:c>
    </x:row>
    <x:row r="1413">
      <x:c r="A1413" t="n">
        <x:v>1412</x:v>
      </x:c>
      <x:c r="B1413" t="n">
        <x:v>10004</x:v>
      </x:c>
      <x:c r="C1413" s="16" t="n">
        <x:v>46127</x:v>
      </x:c>
      <x:c r="D1413" t="str">
        <x:v>04:07:00</x:v>
      </x:c>
      <x:c r="E1413" t="str">
        <x:v>Card</x:v>
      </x:c>
      <x:c r="F1413" t="str">
        <x:v>Dining</x:v>
      </x:c>
      <x:c r="G1413" s="18" t="n">
        <x:v>18.21</x:v>
      </x:c>
      <x:c r="H1413" t="n">
        <x:v>0</x:v>
      </x:c>
      <x:c r="I1413" t="n">
        <x:v>0</x:v>
      </x:c>
      <x:c r="J1413" t="n">
        <x:v>0</x:v>
      </x:c>
      <x:c r="K1413" t="n">
        <x:v>1</x:v>
      </x:c>
      <x:c r="L1413" t="n">
        <x:v>25</x:v>
      </x:c>
      <x:c r="M1413" t="n">
        <x:v>0</x:v>
      </x:c>
      <x:c r="N1413" t="str">
        <x:v>Approved</x:v>
      </x:c>
      <x:c r="O1413" t="n">
        <x:v>0</x:v>
      </x:c>
      <x:c r="P1413" t="str">
        <x:f>IF(L1413&gt;=75,"High",IF(L1413&gt;=55,"Medium","Low"))</x:f>
        <x:v>Low</x:v>
      </x:c>
    </x:row>
    <x:row r="1414">
      <x:c r="A1414" t="n">
        <x:v>1413</x:v>
      </x:c>
      <x:c r="B1414" t="n">
        <x:v>10335</x:v>
      </x:c>
      <x:c r="C1414" s="16" t="n">
        <x:v>46135</x:v>
      </x:c>
      <x:c r="D1414" t="str">
        <x:v>03:38:00</x:v>
      </x:c>
      <x:c r="E1414" t="str">
        <x:v>Bank Transfer</x:v>
      </x:c>
      <x:c r="F1414" t="str">
        <x:v>Retail</x:v>
      </x:c>
      <x:c r="G1414" s="18" t="n">
        <x:v>163.63</x:v>
      </x:c>
      <x:c r="H1414" t="n">
        <x:v>0</x:v>
      </x:c>
      <x:c r="I1414" t="n">
        <x:v>1</x:v>
      </x:c>
      <x:c r="J1414" t="n">
        <x:v>0</x:v>
      </x:c>
      <x:c r="K1414" t="n">
        <x:v>1</x:v>
      </x:c>
      <x:c r="L1414" t="n">
        <x:v>45</x:v>
      </x:c>
      <x:c r="M1414" t="n">
        <x:v>0</x:v>
      </x:c>
      <x:c r="N1414" t="str">
        <x:v>Approved</x:v>
      </x:c>
      <x:c r="O1414" t="n">
        <x:v>0</x:v>
      </x:c>
      <x:c r="P1414" t="str">
        <x:f>IF(L1414&gt;=75,"High",IF(L1414&gt;=55,"Medium","Low"))</x:f>
        <x:v>Low</x:v>
      </x:c>
    </x:row>
    <x:row r="1415">
      <x:c r="A1415" t="n">
        <x:v>1414</x:v>
      </x:c>
      <x:c r="B1415" t="n">
        <x:v>10170</x:v>
      </x:c>
      <x:c r="C1415" s="16" t="n">
        <x:v>46168</x:v>
      </x:c>
      <x:c r="D1415" t="str">
        <x:v>05:00:00</x:v>
      </x:c>
      <x:c r="E1415" t="str">
        <x:v>Card</x:v>
      </x:c>
      <x:c r="F1415" t="str">
        <x:v>Utilities</x:v>
      </x:c>
      <x:c r="G1415" s="18" t="n">
        <x:v>199.73</x:v>
      </x:c>
      <x:c r="H1415" t="n">
        <x:v>0</x:v>
      </x:c>
      <x:c r="I1415" t="n">
        <x:v>0</x:v>
      </x:c>
      <x:c r="J1415" t="n">
        <x:v>0</x:v>
      </x:c>
      <x:c r="K1415" t="n">
        <x:v>0</x:v>
      </x:c>
      <x:c r="L1415" t="n">
        <x:v>10</x:v>
      </x:c>
      <x:c r="M1415" t="n">
        <x:v>0</x:v>
      </x:c>
      <x:c r="N1415" t="str">
        <x:v>Approved</x:v>
      </x:c>
      <x:c r="O1415" t="n">
        <x:v>0</x:v>
      </x:c>
      <x:c r="P1415" t="str">
        <x:f>IF(L1415&gt;=75,"High",IF(L1415&gt;=55,"Medium","Low"))</x:f>
        <x:v>Low</x:v>
      </x:c>
    </x:row>
    <x:row r="1416">
      <x:c r="A1416" t="n">
        <x:v>1415</x:v>
      </x:c>
      <x:c r="B1416" t="n">
        <x:v>10221</x:v>
      </x:c>
      <x:c r="C1416" s="16" t="n">
        <x:v>46225</x:v>
      </x:c>
      <x:c r="D1416" t="str">
        <x:v>19:48:00</x:v>
      </x:c>
      <x:c r="E1416" t="str">
        <x:v>Card</x:v>
      </x:c>
      <x:c r="F1416" t="str">
        <x:v>Utilities</x:v>
      </x:c>
      <x:c r="G1416" s="18" t="n">
        <x:v>94.93</x:v>
      </x:c>
      <x:c r="H1416" t="n">
        <x:v>1</x:v>
      </x:c>
      <x:c r="I1416" t="n">
        <x:v>0</x:v>
      </x:c>
      <x:c r="J1416" t="n">
        <x:v>0</x:v>
      </x:c>
      <x:c r="K1416" t="n">
        <x:v>0</x:v>
      </x:c>
      <x:c r="L1416" t="n">
        <x:v>36</x:v>
      </x:c>
      <x:c r="M1416" t="n">
        <x:v>0</x:v>
      </x:c>
      <x:c r="N1416" t="str">
        <x:v>Approved</x:v>
      </x:c>
      <x:c r="O1416" t="n">
        <x:v>0</x:v>
      </x:c>
      <x:c r="P1416" t="str">
        <x:f>IF(L1416&gt;=75,"High",IF(L1416&gt;=55,"Medium","Low"))</x:f>
        <x:v>Low</x:v>
      </x:c>
    </x:row>
    <x:row r="1417">
      <x:c r="A1417" t="n">
        <x:v>1416</x:v>
      </x:c>
      <x:c r="B1417" t="n">
        <x:v>10192</x:v>
      </x:c>
      <x:c r="C1417" s="16" t="n">
        <x:v>46145</x:v>
      </x:c>
      <x:c r="D1417" t="str">
        <x:v>22:16:00</x:v>
      </x:c>
      <x:c r="E1417" t="str">
        <x:v>Card</x:v>
      </x:c>
      <x:c r="F1417" t="str">
        <x:v>Transfer</x:v>
      </x:c>
      <x:c r="G1417" s="18" t="n">
        <x:v>248.16</x:v>
      </x:c>
      <x:c r="H1417" t="n">
        <x:v>0</x:v>
      </x:c>
      <x:c r="I1417" t="n">
        <x:v>0</x:v>
      </x:c>
      <x:c r="J1417" t="n">
        <x:v>0</x:v>
      </x:c>
      <x:c r="K1417" t="n">
        <x:v>0</x:v>
      </x:c>
      <x:c r="L1417" t="n">
        <x:v>10</x:v>
      </x:c>
      <x:c r="M1417" t="n">
        <x:v>0</x:v>
      </x:c>
      <x:c r="N1417" t="str">
        <x:v>Approved</x:v>
      </x:c>
      <x:c r="O1417" t="n">
        <x:v>0</x:v>
      </x:c>
      <x:c r="P1417" t="str">
        <x:f>IF(L1417&gt;=75,"High",IF(L1417&gt;=55,"Medium","Low"))</x:f>
        <x:v>Low</x:v>
      </x:c>
    </x:row>
    <x:row r="1418">
      <x:c r="A1418" t="n">
        <x:v>1417</x:v>
      </x:c>
      <x:c r="B1418" t="n">
        <x:v>10092</x:v>
      </x:c>
      <x:c r="C1418" s="16" t="n">
        <x:v>46221</x:v>
      </x:c>
      <x:c r="D1418" t="str">
        <x:v>03:43:00</x:v>
      </x:c>
      <x:c r="E1418" t="str">
        <x:v>Bank Transfer</x:v>
      </x:c>
      <x:c r="F1418" t="str">
        <x:v>Electronics</x:v>
      </x:c>
      <x:c r="G1418" s="18" t="n">
        <x:v>230.14</x:v>
      </x:c>
      <x:c r="H1418" t="n">
        <x:v>0</x:v>
      </x:c>
      <x:c r="I1418" t="n">
        <x:v>0</x:v>
      </x:c>
      <x:c r="J1418" t="n">
        <x:v>0</x:v>
      </x:c>
      <x:c r="K1418" t="n">
        <x:v>1</x:v>
      </x:c>
      <x:c r="L1418" t="n">
        <x:v>25</x:v>
      </x:c>
      <x:c r="M1418" t="n">
        <x:v>0</x:v>
      </x:c>
      <x:c r="N1418" t="str">
        <x:v>Approved</x:v>
      </x:c>
      <x:c r="O1418" t="n">
        <x:v>0</x:v>
      </x:c>
      <x:c r="P1418" t="str">
        <x:f>IF(L1418&gt;=75,"High",IF(L1418&gt;=55,"Medium","Low"))</x:f>
        <x:v>Low</x:v>
      </x:c>
    </x:row>
    <x:row r="1419">
      <x:c r="A1419" t="n">
        <x:v>1418</x:v>
      </x:c>
      <x:c r="B1419" t="n">
        <x:v>10279</x:v>
      </x:c>
      <x:c r="C1419" s="16" t="n">
        <x:v>46287</x:v>
      </x:c>
      <x:c r="D1419" t="str">
        <x:v>09:19:00</x:v>
      </x:c>
      <x:c r="E1419" t="str">
        <x:v>Card</x:v>
      </x:c>
      <x:c r="F1419" t="str">
        <x:v>Electronics</x:v>
      </x:c>
      <x:c r="G1419" s="18" t="n">
        <x:v>411.45</x:v>
      </x:c>
      <x:c r="H1419" t="n">
        <x:v>0</x:v>
      </x:c>
      <x:c r="I1419" t="n">
        <x:v>0</x:v>
      </x:c>
      <x:c r="J1419" t="n">
        <x:v>0</x:v>
      </x:c>
      <x:c r="K1419" t="n">
        <x:v>0</x:v>
      </x:c>
      <x:c r="L1419" t="n">
        <x:v>10</x:v>
      </x:c>
      <x:c r="M1419" t="n">
        <x:v>0</x:v>
      </x:c>
      <x:c r="N1419" t="str">
        <x:v>Approved</x:v>
      </x:c>
      <x:c r="O1419" t="n">
        <x:v>0</x:v>
      </x:c>
      <x:c r="P1419" t="str">
        <x:f>IF(L1419&gt;=75,"High",IF(L1419&gt;=55,"Medium","Low"))</x:f>
        <x:v>Low</x:v>
      </x:c>
    </x:row>
    <x:row r="1420">
      <x:c r="A1420" t="n">
        <x:v>1419</x:v>
      </x:c>
      <x:c r="B1420" t="n">
        <x:v>10329</x:v>
      </x:c>
      <x:c r="C1420" s="16" t="n">
        <x:v>46250</x:v>
      </x:c>
      <x:c r="D1420" t="str">
        <x:v>14:43:00</x:v>
      </x:c>
      <x:c r="E1420" t="str">
        <x:v>Card</x:v>
      </x:c>
      <x:c r="F1420" t="str">
        <x:v>Dining</x:v>
      </x:c>
      <x:c r="G1420" s="18" t="n">
        <x:v>137.69</x:v>
      </x:c>
      <x:c r="H1420" t="n">
        <x:v>0</x:v>
      </x:c>
      <x:c r="I1420" t="n">
        <x:v>0</x:v>
      </x:c>
      <x:c r="J1420" t="n">
        <x:v>0</x:v>
      </x:c>
      <x:c r="K1420" t="n">
        <x:v>0</x:v>
      </x:c>
      <x:c r="L1420" t="n">
        <x:v>10</x:v>
      </x:c>
      <x:c r="M1420" t="n">
        <x:v>0</x:v>
      </x:c>
      <x:c r="N1420" t="str">
        <x:v>Approved</x:v>
      </x:c>
      <x:c r="O1420" t="n">
        <x:v>0</x:v>
      </x:c>
      <x:c r="P1420" t="str">
        <x:f>IF(L1420&gt;=75,"High",IF(L1420&gt;=55,"Medium","Low"))</x:f>
        <x:v>Low</x:v>
      </x:c>
    </x:row>
    <x:row r="1421">
      <x:c r="A1421" t="n">
        <x:v>1420</x:v>
      </x:c>
      <x:c r="B1421" t="n">
        <x:v>10343</x:v>
      </x:c>
      <x:c r="C1421" s="16" t="n">
        <x:v>46205</x:v>
      </x:c>
      <x:c r="D1421" t="str">
        <x:v>18:57:00</x:v>
      </x:c>
      <x:c r="E1421" t="str">
        <x:v>Bank Transfer</x:v>
      </x:c>
      <x:c r="F1421" t="str">
        <x:v>Dining</x:v>
      </x:c>
      <x:c r="G1421" s="18" t="n">
        <x:v>67.12</x:v>
      </x:c>
      <x:c r="H1421" t="n">
        <x:v>0</x:v>
      </x:c>
      <x:c r="I1421" t="n">
        <x:v>0</x:v>
      </x:c>
      <x:c r="J1421" t="n">
        <x:v>0</x:v>
      </x:c>
      <x:c r="K1421" t="n">
        <x:v>0</x:v>
      </x:c>
      <x:c r="L1421" t="n">
        <x:v>10</x:v>
      </x:c>
      <x:c r="M1421" t="n">
        <x:v>0</x:v>
      </x:c>
      <x:c r="N1421" t="str">
        <x:v>Approved</x:v>
      </x:c>
      <x:c r="O1421" t="n">
        <x:v>0</x:v>
      </x:c>
      <x:c r="P1421" t="str">
        <x:f>IF(L1421&gt;=75,"High",IF(L1421&gt;=55,"Medium","Low"))</x:f>
        <x:v>Low</x:v>
      </x:c>
    </x:row>
    <x:row r="1422">
      <x:c r="A1422" t="n">
        <x:v>1421</x:v>
      </x:c>
      <x:c r="B1422" t="n">
        <x:v>10226</x:v>
      </x:c>
      <x:c r="C1422" s="16" t="n">
        <x:v>46141</x:v>
      </x:c>
      <x:c r="D1422" t="str">
        <x:v>12:01:00</x:v>
      </x:c>
      <x:c r="E1422" t="str">
        <x:v>Card</x:v>
      </x:c>
      <x:c r="F1422" t="str">
        <x:v>Subscriptions</x:v>
      </x:c>
      <x:c r="G1422" s="18" t="n">
        <x:v>167.46</x:v>
      </x:c>
      <x:c r="H1422" t="n">
        <x:v>0</x:v>
      </x:c>
      <x:c r="I1422" t="n">
        <x:v>0</x:v>
      </x:c>
      <x:c r="J1422" t="n">
        <x:v>0</x:v>
      </x:c>
      <x:c r="K1422" t="n">
        <x:v>0</x:v>
      </x:c>
      <x:c r="L1422" t="n">
        <x:v>10</x:v>
      </x:c>
      <x:c r="M1422" t="n">
        <x:v>0</x:v>
      </x:c>
      <x:c r="N1422" t="str">
        <x:v>Approved</x:v>
      </x:c>
      <x:c r="O1422" t="n">
        <x:v>0</x:v>
      </x:c>
      <x:c r="P1422" t="str">
        <x:f>IF(L1422&gt;=75,"High",IF(L1422&gt;=55,"Medium","Low"))</x:f>
        <x:v>Low</x:v>
      </x:c>
    </x:row>
    <x:row r="1423">
      <x:c r="A1423" t="n">
        <x:v>1422</x:v>
      </x:c>
      <x:c r="B1423" t="n">
        <x:v>10295</x:v>
      </x:c>
      <x:c r="C1423" s="16" t="n">
        <x:v>46118</x:v>
      </x:c>
      <x:c r="D1423" t="str">
        <x:v>05:31:00</x:v>
      </x:c>
      <x:c r="E1423" t="str">
        <x:v>Card</x:v>
      </x:c>
      <x:c r="F1423" t="str">
        <x:v>Subscriptions</x:v>
      </x:c>
      <x:c r="G1423" s="18" t="n">
        <x:v>175.3</x:v>
      </x:c>
      <x:c r="H1423" t="n">
        <x:v>0</x:v>
      </x:c>
      <x:c r="I1423" t="n">
        <x:v>1</x:v>
      </x:c>
      <x:c r="J1423" t="n">
        <x:v>0</x:v>
      </x:c>
      <x:c r="K1423" t="n">
        <x:v>0</x:v>
      </x:c>
      <x:c r="L1423" t="n">
        <x:v>30</x:v>
      </x:c>
      <x:c r="M1423" t="n">
        <x:v>0</x:v>
      </x:c>
      <x:c r="N1423" t="str">
        <x:v>Approved</x:v>
      </x:c>
      <x:c r="O1423" t="n">
        <x:v>0</x:v>
      </x:c>
      <x:c r="P1423" t="str">
        <x:f>IF(L1423&gt;=75,"High",IF(L1423&gt;=55,"Medium","Low"))</x:f>
        <x:v>Low</x:v>
      </x:c>
    </x:row>
    <x:row r="1424">
      <x:c r="A1424" t="n">
        <x:v>1423</x:v>
      </x:c>
      <x:c r="B1424" t="n">
        <x:v>10054</x:v>
      </x:c>
      <x:c r="C1424" s="16" t="n">
        <x:v>46288</x:v>
      </x:c>
      <x:c r="D1424" t="str">
        <x:v>14:02:00</x:v>
      </x:c>
      <x:c r="E1424" t="str">
        <x:v>Bank Transfer</x:v>
      </x:c>
      <x:c r="F1424" t="str">
        <x:v>Travel</x:v>
      </x:c>
      <x:c r="G1424" s="18" t="n">
        <x:v>22.77</x:v>
      </x:c>
      <x:c r="H1424" t="n">
        <x:v>0</x:v>
      </x:c>
      <x:c r="I1424" t="n">
        <x:v>0</x:v>
      </x:c>
      <x:c r="J1424" t="n">
        <x:v>0</x:v>
      </x:c>
      <x:c r="K1424" t="n">
        <x:v>0</x:v>
      </x:c>
      <x:c r="L1424" t="n">
        <x:v>10</x:v>
      </x:c>
      <x:c r="M1424" t="n">
        <x:v>0</x:v>
      </x:c>
      <x:c r="N1424" t="str">
        <x:v>Approved</x:v>
      </x:c>
      <x:c r="O1424" t="n">
        <x:v>0</x:v>
      </x:c>
      <x:c r="P1424" t="str">
        <x:f>IF(L1424&gt;=75,"High",IF(L1424&gt;=55,"Medium","Low"))</x:f>
        <x:v>Low</x:v>
      </x:c>
    </x:row>
    <x:row r="1425">
      <x:c r="A1425" t="n">
        <x:v>1424</x:v>
      </x:c>
      <x:c r="B1425" t="n">
        <x:v>10147</x:v>
      </x:c>
      <x:c r="C1425" s="16" t="n">
        <x:v>46242</x:v>
      </x:c>
      <x:c r="D1425" t="str">
        <x:v>03:32:00</x:v>
      </x:c>
      <x:c r="E1425" t="str">
        <x:v>Card</x:v>
      </x:c>
      <x:c r="F1425" t="str">
        <x:v>Electronics</x:v>
      </x:c>
      <x:c r="G1425" s="18" t="n">
        <x:v>29.1</x:v>
      </x:c>
      <x:c r="H1425" t="n">
        <x:v>0</x:v>
      </x:c>
      <x:c r="I1425" t="n">
        <x:v>0</x:v>
      </x:c>
      <x:c r="J1425" t="n">
        <x:v>0</x:v>
      </x:c>
      <x:c r="K1425" t="n">
        <x:v>1</x:v>
      </x:c>
      <x:c r="L1425" t="n">
        <x:v>25</x:v>
      </x:c>
      <x:c r="M1425" t="n">
        <x:v>0</x:v>
      </x:c>
      <x:c r="N1425" t="str">
        <x:v>Approved</x:v>
      </x:c>
      <x:c r="O1425" t="n">
        <x:v>0</x:v>
      </x:c>
      <x:c r="P1425" t="str">
        <x:f>IF(L1425&gt;=75,"High",IF(L1425&gt;=55,"Medium","Low"))</x:f>
        <x:v>Low</x:v>
      </x:c>
    </x:row>
    <x:row r="1426">
      <x:c r="A1426" t="n">
        <x:v>1425</x:v>
      </x:c>
      <x:c r="B1426" t="n">
        <x:v>10038</x:v>
      </x:c>
      <x:c r="C1426" s="16" t="n">
        <x:v>46195</x:v>
      </x:c>
      <x:c r="D1426" t="str">
        <x:v>07:41:00</x:v>
      </x:c>
      <x:c r="E1426" t="str">
        <x:v>Bank Transfer</x:v>
      </x:c>
      <x:c r="F1426" t="str">
        <x:v>Retail</x:v>
      </x:c>
      <x:c r="G1426" s="18" t="n">
        <x:v>639.59</x:v>
      </x:c>
      <x:c r="H1426" t="n">
        <x:v>0</x:v>
      </x:c>
      <x:c r="I1426" t="n">
        <x:v>0</x:v>
      </x:c>
      <x:c r="J1426" t="n">
        <x:v>0</x:v>
      </x:c>
      <x:c r="K1426" t="n">
        <x:v>0</x:v>
      </x:c>
      <x:c r="L1426" t="n">
        <x:v>10</x:v>
      </x:c>
      <x:c r="M1426" t="n">
        <x:v>0</x:v>
      </x:c>
      <x:c r="N1426" t="str">
        <x:v>Approved</x:v>
      </x:c>
      <x:c r="O1426" t="n">
        <x:v>0</x:v>
      </x:c>
      <x:c r="P1426" t="str">
        <x:f>IF(L1426&gt;=75,"High",IF(L1426&gt;=55,"Medium","Low"))</x:f>
        <x:v>Low</x:v>
      </x:c>
    </x:row>
    <x:row r="1427">
      <x:c r="A1427" t="n">
        <x:v>1426</x:v>
      </x:c>
      <x:c r="B1427" t="n">
        <x:v>10339</x:v>
      </x:c>
      <x:c r="C1427" s="16" t="n">
        <x:v>46192</x:v>
      </x:c>
      <x:c r="D1427" t="str">
        <x:v>03:14:00</x:v>
      </x:c>
      <x:c r="E1427" t="str">
        <x:v>Bank Transfer</x:v>
      </x:c>
      <x:c r="F1427" t="str">
        <x:v>Transfer</x:v>
      </x:c>
      <x:c r="G1427" s="18" t="n">
        <x:v>90.35</x:v>
      </x:c>
      <x:c r="H1427" t="n">
        <x:v>1</x:v>
      </x:c>
      <x:c r="I1427" t="n">
        <x:v>0</x:v>
      </x:c>
      <x:c r="J1427" t="n">
        <x:v>0</x:v>
      </x:c>
      <x:c r="K1427" t="n">
        <x:v>1</x:v>
      </x:c>
      <x:c r="L1427" t="n">
        <x:v>51</x:v>
      </x:c>
      <x:c r="M1427" t="n">
        <x:v>0</x:v>
      </x:c>
      <x:c r="N1427" t="str">
        <x:v>Approved</x:v>
      </x:c>
      <x:c r="O1427" t="n">
        <x:v>0</x:v>
      </x:c>
      <x:c r="P1427" t="str">
        <x:f>IF(L1427&gt;=75,"High",IF(L1427&gt;=55,"Medium","Low"))</x:f>
        <x:v>Low</x:v>
      </x:c>
    </x:row>
    <x:row r="1428">
      <x:c r="A1428" t="n">
        <x:v>1427</x:v>
      </x:c>
      <x:c r="B1428" t="n">
        <x:v>10171</x:v>
      </x:c>
      <x:c r="C1428" s="16" t="n">
        <x:v>46213</x:v>
      </x:c>
      <x:c r="D1428" t="str">
        <x:v>03:00:00</x:v>
      </x:c>
      <x:c r="E1428" t="str">
        <x:v>Card</x:v>
      </x:c>
      <x:c r="F1428" t="str">
        <x:v>Dining</x:v>
      </x:c>
      <x:c r="G1428" s="18" t="n">
        <x:v>322.21</x:v>
      </x:c>
      <x:c r="H1428" t="n">
        <x:v>0</x:v>
      </x:c>
      <x:c r="I1428" t="n">
        <x:v>0</x:v>
      </x:c>
      <x:c r="J1428" t="n">
        <x:v>0</x:v>
      </x:c>
      <x:c r="K1428" t="n">
        <x:v>1</x:v>
      </x:c>
      <x:c r="L1428" t="n">
        <x:v>25</x:v>
      </x:c>
      <x:c r="M1428" t="n">
        <x:v>0</x:v>
      </x:c>
      <x:c r="N1428" t="str">
        <x:v>Approved</x:v>
      </x:c>
      <x:c r="O1428" t="n">
        <x:v>0</x:v>
      </x:c>
      <x:c r="P1428" t="str">
        <x:f>IF(L1428&gt;=75,"High",IF(L1428&gt;=55,"Medium","Low"))</x:f>
        <x:v>Low</x:v>
      </x:c>
    </x:row>
    <x:row r="1429">
      <x:c r="A1429" t="n">
        <x:v>1428</x:v>
      </x:c>
      <x:c r="B1429" t="n">
        <x:v>10172</x:v>
      </x:c>
      <x:c r="C1429" s="16" t="n">
        <x:v>46176</x:v>
      </x:c>
      <x:c r="D1429" t="str">
        <x:v>00:02:00</x:v>
      </x:c>
      <x:c r="E1429" t="str">
        <x:v>P2P</x:v>
      </x:c>
      <x:c r="F1429" t="str">
        <x:v>Dining</x:v>
      </x:c>
      <x:c r="G1429" s="18" t="n">
        <x:v>181.19</x:v>
      </x:c>
      <x:c r="H1429" t="n">
        <x:v>0</x:v>
      </x:c>
      <x:c r="I1429" t="n">
        <x:v>0</x:v>
      </x:c>
      <x:c r="J1429" t="n">
        <x:v>0</x:v>
      </x:c>
      <x:c r="K1429" t="n">
        <x:v>1</x:v>
      </x:c>
      <x:c r="L1429" t="n">
        <x:v>25</x:v>
      </x:c>
      <x:c r="M1429" t="n">
        <x:v>0</x:v>
      </x:c>
      <x:c r="N1429" t="str">
        <x:v>Approved</x:v>
      </x:c>
      <x:c r="O1429" t="n">
        <x:v>0</x:v>
      </x:c>
      <x:c r="P1429" t="str">
        <x:f>IF(L1429&gt;=75,"High",IF(L1429&gt;=55,"Medium","Low"))</x:f>
        <x:v>Low</x:v>
      </x:c>
    </x:row>
    <x:row r="1430">
      <x:c r="A1430" t="n">
        <x:v>1429</x:v>
      </x:c>
      <x:c r="B1430" t="n">
        <x:v>10047</x:v>
      </x:c>
      <x:c r="C1430" s="16" t="n">
        <x:v>46157</x:v>
      </x:c>
      <x:c r="D1430" t="str">
        <x:v>12:28:00</x:v>
      </x:c>
      <x:c r="E1430" t="str">
        <x:v>Card</x:v>
      </x:c>
      <x:c r="F1430" t="str">
        <x:v>Subscriptions</x:v>
      </x:c>
      <x:c r="G1430" s="18" t="n">
        <x:v>124.86</x:v>
      </x:c>
      <x:c r="H1430" t="n">
        <x:v>0</x:v>
      </x:c>
      <x:c r="I1430" t="n">
        <x:v>1</x:v>
      </x:c>
      <x:c r="J1430" t="n">
        <x:v>0</x:v>
      </x:c>
      <x:c r="K1430" t="n">
        <x:v>0</x:v>
      </x:c>
      <x:c r="L1430" t="n">
        <x:v>30</x:v>
      </x:c>
      <x:c r="M1430" t="n">
        <x:v>0</x:v>
      </x:c>
      <x:c r="N1430" t="str">
        <x:v>Approved</x:v>
      </x:c>
      <x:c r="O1430" t="n">
        <x:v>0</x:v>
      </x:c>
      <x:c r="P1430" t="str">
        <x:f>IF(L1430&gt;=75,"High",IF(L1430&gt;=55,"Medium","Low"))</x:f>
        <x:v>Low</x:v>
      </x:c>
    </x:row>
    <x:row r="1431">
      <x:c r="A1431" t="n">
        <x:v>1430</x:v>
      </x:c>
      <x:c r="B1431" t="n">
        <x:v>10212</x:v>
      </x:c>
      <x:c r="C1431" s="16" t="n">
        <x:v>46208</x:v>
      </x:c>
      <x:c r="D1431" t="str">
        <x:v>07:43:00</x:v>
      </x:c>
      <x:c r="E1431" t="str">
        <x:v>Card</x:v>
      </x:c>
      <x:c r="F1431" t="str">
        <x:v>Transfer</x:v>
      </x:c>
      <x:c r="G1431" s="18" t="n">
        <x:v>282.99</x:v>
      </x:c>
      <x:c r="H1431" t="n">
        <x:v>0</x:v>
      </x:c>
      <x:c r="I1431" t="n">
        <x:v>1</x:v>
      </x:c>
      <x:c r="J1431" t="n">
        <x:v>0</x:v>
      </x:c>
      <x:c r="K1431" t="n">
        <x:v>0</x:v>
      </x:c>
      <x:c r="L1431" t="n">
        <x:v>30</x:v>
      </x:c>
      <x:c r="M1431" t="n">
        <x:v>0</x:v>
      </x:c>
      <x:c r="N1431" t="str">
        <x:v>Approved</x:v>
      </x:c>
      <x:c r="O1431" t="n">
        <x:v>0</x:v>
      </x:c>
      <x:c r="P1431" t="str">
        <x:f>IF(L1431&gt;=75,"High",IF(L1431&gt;=55,"Medium","Low"))</x:f>
        <x:v>Low</x:v>
      </x:c>
    </x:row>
    <x:row r="1432">
      <x:c r="A1432" t="n">
        <x:v>1431</x:v>
      </x:c>
      <x:c r="B1432" t="n">
        <x:v>10309</x:v>
      </x:c>
      <x:c r="C1432" s="16" t="n">
        <x:v>46243</x:v>
      </x:c>
      <x:c r="D1432" t="str">
        <x:v>15:24:00</x:v>
      </x:c>
      <x:c r="E1432" t="str">
        <x:v>Card</x:v>
      </x:c>
      <x:c r="F1432" t="str">
        <x:v>Travel</x:v>
      </x:c>
      <x:c r="G1432" s="18" t="n">
        <x:v>95.09</x:v>
      </x:c>
      <x:c r="H1432" t="n">
        <x:v>0</x:v>
      </x:c>
      <x:c r="I1432" t="n">
        <x:v>0</x:v>
      </x:c>
      <x:c r="J1432" t="n">
        <x:v>0</x:v>
      </x:c>
      <x:c r="K1432" t="n">
        <x:v>0</x:v>
      </x:c>
      <x:c r="L1432" t="n">
        <x:v>10</x:v>
      </x:c>
      <x:c r="M1432" t="n">
        <x:v>0</x:v>
      </x:c>
      <x:c r="N1432" t="str">
        <x:v>Declined</x:v>
      </x:c>
      <x:c r="O1432" t="n">
        <x:v>0</x:v>
      </x:c>
      <x:c r="P1432" t="str">
        <x:f>IF(L1432&gt;=75,"High",IF(L1432&gt;=55,"Medium","Low"))</x:f>
        <x:v>Low</x:v>
      </x:c>
    </x:row>
    <x:row r="1433">
      <x:c r="A1433" t="n">
        <x:v>1432</x:v>
      </x:c>
      <x:c r="B1433" t="n">
        <x:v>10010</x:v>
      </x:c>
      <x:c r="C1433" s="16" t="n">
        <x:v>46235</x:v>
      </x:c>
      <x:c r="D1433" t="str">
        <x:v>15:46:00</x:v>
      </x:c>
      <x:c r="E1433" t="str">
        <x:v>P2P</x:v>
      </x:c>
      <x:c r="F1433" t="str">
        <x:v>Travel</x:v>
      </x:c>
      <x:c r="G1433" s="18" t="n">
        <x:v>70.32</x:v>
      </x:c>
      <x:c r="H1433" t="n">
        <x:v>0</x:v>
      </x:c>
      <x:c r="I1433" t="n">
        <x:v>1</x:v>
      </x:c>
      <x:c r="J1433" t="n">
        <x:v>0</x:v>
      </x:c>
      <x:c r="K1433" t="n">
        <x:v>0</x:v>
      </x:c>
      <x:c r="L1433" t="n">
        <x:v>30</x:v>
      </x:c>
      <x:c r="M1433" t="n">
        <x:v>0</x:v>
      </x:c>
      <x:c r="N1433" t="str">
        <x:v>Declined</x:v>
      </x:c>
      <x:c r="O1433" t="n">
        <x:v>0</x:v>
      </x:c>
      <x:c r="P1433" t="str">
        <x:f>IF(L1433&gt;=75,"High",IF(L1433&gt;=55,"Medium","Low"))</x:f>
        <x:v>Low</x:v>
      </x:c>
    </x:row>
    <x:row r="1434">
      <x:c r="A1434" t="n">
        <x:v>1433</x:v>
      </x:c>
      <x:c r="B1434" t="n">
        <x:v>10181</x:v>
      </x:c>
      <x:c r="C1434" s="16" t="n">
        <x:v>46220</x:v>
      </x:c>
      <x:c r="D1434" t="str">
        <x:v>11:21:00</x:v>
      </x:c>
      <x:c r="E1434" t="str">
        <x:v>Card</x:v>
      </x:c>
      <x:c r="F1434" t="str">
        <x:v>Subscriptions</x:v>
      </x:c>
      <x:c r="G1434" s="18" t="n">
        <x:v>4.31</x:v>
      </x:c>
      <x:c r="H1434" t="n">
        <x:v>0</x:v>
      </x:c>
      <x:c r="I1434" t="n">
        <x:v>0</x:v>
      </x:c>
      <x:c r="J1434" t="n">
        <x:v>0</x:v>
      </x:c>
      <x:c r="K1434" t="n">
        <x:v>0</x:v>
      </x:c>
      <x:c r="L1434" t="n">
        <x:v>10</x:v>
      </x:c>
      <x:c r="M1434" t="n">
        <x:v>0</x:v>
      </x:c>
      <x:c r="N1434" t="str">
        <x:v>Approved</x:v>
      </x:c>
      <x:c r="O1434" t="n">
        <x:v>0</x:v>
      </x:c>
      <x:c r="P1434" t="str">
        <x:f>IF(L1434&gt;=75,"High",IF(L1434&gt;=55,"Medium","Low"))</x:f>
        <x:v>Low</x:v>
      </x:c>
    </x:row>
    <x:row r="1435">
      <x:c r="A1435" t="n">
        <x:v>1434</x:v>
      </x:c>
      <x:c r="B1435" t="n">
        <x:v>10294</x:v>
      </x:c>
      <x:c r="C1435" s="16" t="n">
        <x:v>46165</x:v>
      </x:c>
      <x:c r="D1435" t="str">
        <x:v>10:36:00</x:v>
      </x:c>
      <x:c r="E1435" t="str">
        <x:v>Card</x:v>
      </x:c>
      <x:c r="F1435" t="str">
        <x:v>Retail</x:v>
      </x:c>
      <x:c r="G1435" s="18" t="n">
        <x:v>24.55</x:v>
      </x:c>
      <x:c r="H1435" t="n">
        <x:v>0</x:v>
      </x:c>
      <x:c r="I1435" t="n">
        <x:v>0</x:v>
      </x:c>
      <x:c r="J1435" t="n">
        <x:v>0</x:v>
      </x:c>
      <x:c r="K1435" t="n">
        <x:v>0</x:v>
      </x:c>
      <x:c r="L1435" t="n">
        <x:v>10</x:v>
      </x:c>
      <x:c r="M1435" t="n">
        <x:v>0</x:v>
      </x:c>
      <x:c r="N1435" t="str">
        <x:v>Approved</x:v>
      </x:c>
      <x:c r="O1435" t="n">
        <x:v>0</x:v>
      </x:c>
      <x:c r="P1435" t="str">
        <x:f>IF(L1435&gt;=75,"High",IF(L1435&gt;=55,"Medium","Low"))</x:f>
        <x:v>Low</x:v>
      </x:c>
    </x:row>
    <x:row r="1436">
      <x:c r="A1436" t="n">
        <x:v>1435</x:v>
      </x:c>
      <x:c r="B1436" t="n">
        <x:v>10175</x:v>
      </x:c>
      <x:c r="C1436" s="16" t="n">
        <x:v>46182</x:v>
      </x:c>
      <x:c r="D1436" t="str">
        <x:v>14:29:00</x:v>
      </x:c>
      <x:c r="E1436" t="str">
        <x:v>Card</x:v>
      </x:c>
      <x:c r="F1436" t="str">
        <x:v>Electronics</x:v>
      </x:c>
      <x:c r="G1436" s="18" t="n">
        <x:v>21.64</x:v>
      </x:c>
      <x:c r="H1436" t="n">
        <x:v>1</x:v>
      </x:c>
      <x:c r="I1436" t="n">
        <x:v>1</x:v>
      </x:c>
      <x:c r="J1436" t="n">
        <x:v>0</x:v>
      </x:c>
      <x:c r="K1436" t="n">
        <x:v>0</x:v>
      </x:c>
      <x:c r="L1436" t="n">
        <x:v>56</x:v>
      </x:c>
      <x:c r="M1436" t="n">
        <x:v>1</x:v>
      </x:c>
      <x:c r="N1436" t="str">
        <x:v>Declined</x:v>
      </x:c>
      <x:c r="O1436" t="n">
        <x:v>0</x:v>
      </x:c>
      <x:c r="P1436" t="str">
        <x:f>IF(L1436&gt;=75,"High",IF(L1436&gt;=55,"Medium","Low"))</x:f>
        <x:v>Medium</x:v>
      </x:c>
    </x:row>
    <x:row r="1437">
      <x:c r="A1437" t="n">
        <x:v>1436</x:v>
      </x:c>
      <x:c r="B1437" t="n">
        <x:v>10044</x:v>
      </x:c>
      <x:c r="C1437" s="16" t="n">
        <x:v>46280</x:v>
      </x:c>
      <x:c r="D1437" t="str">
        <x:v>19:25:00</x:v>
      </x:c>
      <x:c r="E1437" t="str">
        <x:v>Card</x:v>
      </x:c>
      <x:c r="F1437" t="str">
        <x:v>Subscriptions</x:v>
      </x:c>
      <x:c r="G1437" s="18" t="n">
        <x:v>76.75</x:v>
      </x:c>
      <x:c r="H1437" t="n">
        <x:v>0</x:v>
      </x:c>
      <x:c r="I1437" t="n">
        <x:v>0</x:v>
      </x:c>
      <x:c r="J1437" t="n">
        <x:v>0</x:v>
      </x:c>
      <x:c r="K1437" t="n">
        <x:v>0</x:v>
      </x:c>
      <x:c r="L1437" t="n">
        <x:v>10</x:v>
      </x:c>
      <x:c r="M1437" t="n">
        <x:v>0</x:v>
      </x:c>
      <x:c r="N1437" t="str">
        <x:v>Approved</x:v>
      </x:c>
      <x:c r="O1437" t="n">
        <x:v>0</x:v>
      </x:c>
      <x:c r="P1437" t="str">
        <x:f>IF(L1437&gt;=75,"High",IF(L1437&gt;=55,"Medium","Low"))</x:f>
        <x:v>Low</x:v>
      </x:c>
    </x:row>
    <x:row r="1438">
      <x:c r="A1438" t="n">
        <x:v>1437</x:v>
      </x:c>
      <x:c r="B1438" t="n">
        <x:v>10233</x:v>
      </x:c>
      <x:c r="C1438" s="16" t="n">
        <x:v>46129</x:v>
      </x:c>
      <x:c r="D1438" t="str">
        <x:v>19:36:00</x:v>
      </x:c>
      <x:c r="E1438" t="str">
        <x:v>Card</x:v>
      </x:c>
      <x:c r="F1438" t="str">
        <x:v>Utilities</x:v>
      </x:c>
      <x:c r="G1438" s="18" t="n">
        <x:v>169.47</x:v>
      </x:c>
      <x:c r="H1438" t="n">
        <x:v>0</x:v>
      </x:c>
      <x:c r="I1438" t="n">
        <x:v>1</x:v>
      </x:c>
      <x:c r="J1438" t="n">
        <x:v>0</x:v>
      </x:c>
      <x:c r="K1438" t="n">
        <x:v>0</x:v>
      </x:c>
      <x:c r="L1438" t="n">
        <x:v>30</x:v>
      </x:c>
      <x:c r="M1438" t="n">
        <x:v>0</x:v>
      </x:c>
      <x:c r="N1438" t="str">
        <x:v>Approved</x:v>
      </x:c>
      <x:c r="O1438" t="n">
        <x:v>0</x:v>
      </x:c>
      <x:c r="P1438" t="str">
        <x:f>IF(L1438&gt;=75,"High",IF(L1438&gt;=55,"Medium","Low"))</x:f>
        <x:v>Low</x:v>
      </x:c>
    </x:row>
    <x:row r="1439">
      <x:c r="A1439" t="n">
        <x:v>1438</x:v>
      </x:c>
      <x:c r="B1439" t="n">
        <x:v>10108</x:v>
      </x:c>
      <x:c r="C1439" s="16" t="n">
        <x:v>46122</x:v>
      </x:c>
      <x:c r="D1439" t="str">
        <x:v>06:46:00</x:v>
      </x:c>
      <x:c r="E1439" t="str">
        <x:v>Bank Transfer</x:v>
      </x:c>
      <x:c r="F1439" t="str">
        <x:v>Dining</x:v>
      </x:c>
      <x:c r="G1439" s="18" t="n">
        <x:v>202.89</x:v>
      </x:c>
      <x:c r="H1439" t="n">
        <x:v>1</x:v>
      </x:c>
      <x:c r="I1439" t="n">
        <x:v>0</x:v>
      </x:c>
      <x:c r="J1439" t="n">
        <x:v>0</x:v>
      </x:c>
      <x:c r="K1439" t="n">
        <x:v>0</x:v>
      </x:c>
      <x:c r="L1439" t="n">
        <x:v>36</x:v>
      </x:c>
      <x:c r="M1439" t="n">
        <x:v>0</x:v>
      </x:c>
      <x:c r="N1439" t="str">
        <x:v>Approved</x:v>
      </x:c>
      <x:c r="O1439" t="n">
        <x:v>0</x:v>
      </x:c>
      <x:c r="P1439" t="str">
        <x:f>IF(L1439&gt;=75,"High",IF(L1439&gt;=55,"Medium","Low"))</x:f>
        <x:v>Low</x:v>
      </x:c>
    </x:row>
    <x:row r="1440">
      <x:c r="A1440" t="n">
        <x:v>1439</x:v>
      </x:c>
      <x:c r="B1440" t="n">
        <x:v>10116</x:v>
      </x:c>
      <x:c r="C1440" s="16" t="n">
        <x:v>46137</x:v>
      </x:c>
      <x:c r="D1440" t="str">
        <x:v>23:28:00</x:v>
      </x:c>
      <x:c r="E1440" t="str">
        <x:v>Card</x:v>
      </x:c>
      <x:c r="F1440" t="str">
        <x:v>Retail</x:v>
      </x:c>
      <x:c r="G1440" s="18" t="n">
        <x:v>163.34</x:v>
      </x:c>
      <x:c r="H1440" t="n">
        <x:v>0</x:v>
      </x:c>
      <x:c r="I1440" t="n">
        <x:v>1</x:v>
      </x:c>
      <x:c r="J1440" t="n">
        <x:v>0</x:v>
      </x:c>
      <x:c r="K1440" t="n">
        <x:v>0</x:v>
      </x:c>
      <x:c r="L1440" t="n">
        <x:v>30</x:v>
      </x:c>
      <x:c r="M1440" t="n">
        <x:v>0</x:v>
      </x:c>
      <x:c r="N1440" t="str">
        <x:v>Approved</x:v>
      </x:c>
      <x:c r="O1440" t="n">
        <x:v>0</x:v>
      </x:c>
      <x:c r="P1440" t="str">
        <x:f>IF(L1440&gt;=75,"High",IF(L1440&gt;=55,"Medium","Low"))</x:f>
        <x:v>Low</x:v>
      </x:c>
    </x:row>
    <x:row r="1441">
      <x:c r="A1441" t="n">
        <x:v>1440</x:v>
      </x:c>
      <x:c r="B1441" t="n">
        <x:v>10125</x:v>
      </x:c>
      <x:c r="C1441" s="16" t="n">
        <x:v>46204</x:v>
      </x:c>
      <x:c r="D1441" t="str">
        <x:v>03:50:00</x:v>
      </x:c>
      <x:c r="E1441" t="str">
        <x:v>Card</x:v>
      </x:c>
      <x:c r="F1441" t="str">
        <x:v>Subscriptions</x:v>
      </x:c>
      <x:c r="G1441" s="18" t="n">
        <x:v>89.66</x:v>
      </x:c>
      <x:c r="H1441" t="n">
        <x:v>0</x:v>
      </x:c>
      <x:c r="I1441" t="n">
        <x:v>1</x:v>
      </x:c>
      <x:c r="J1441" t="n">
        <x:v>0</x:v>
      </x:c>
      <x:c r="K1441" t="n">
        <x:v>1</x:v>
      </x:c>
      <x:c r="L1441" t="n">
        <x:v>45</x:v>
      </x:c>
      <x:c r="M1441" t="n">
        <x:v>0</x:v>
      </x:c>
      <x:c r="N1441" t="str">
        <x:v>Approved</x:v>
      </x:c>
      <x:c r="O1441" t="n">
        <x:v>0</x:v>
      </x:c>
      <x:c r="P1441" t="str">
        <x:f>IF(L1441&gt;=75,"High",IF(L1441&gt;=55,"Medium","Low"))</x:f>
        <x:v>Low</x:v>
      </x:c>
    </x:row>
    <x:row r="1442">
      <x:c r="A1442" t="n">
        <x:v>1441</x:v>
      </x:c>
      <x:c r="B1442" t="n">
        <x:v>10160</x:v>
      </x:c>
      <x:c r="C1442" s="16" t="n">
        <x:v>46157</x:v>
      </x:c>
      <x:c r="D1442" t="str">
        <x:v>10:42:00</x:v>
      </x:c>
      <x:c r="E1442" t="str">
        <x:v>Bank Transfer</x:v>
      </x:c>
      <x:c r="F1442" t="str">
        <x:v>Dining</x:v>
      </x:c>
      <x:c r="G1442" s="18" t="n">
        <x:v>104.42</x:v>
      </x:c>
      <x:c r="H1442" t="n">
        <x:v>0</x:v>
      </x:c>
      <x:c r="I1442" t="n">
        <x:v>0</x:v>
      </x:c>
      <x:c r="J1442" t="n">
        <x:v>0</x:v>
      </x:c>
      <x:c r="K1442" t="n">
        <x:v>0</x:v>
      </x:c>
      <x:c r="L1442" t="n">
        <x:v>10</x:v>
      </x:c>
      <x:c r="M1442" t="n">
        <x:v>0</x:v>
      </x:c>
      <x:c r="N1442" t="str">
        <x:v>Approved</x:v>
      </x:c>
      <x:c r="O1442" t="n">
        <x:v>0</x:v>
      </x:c>
      <x:c r="P1442" t="str">
        <x:f>IF(L1442&gt;=75,"High",IF(L1442&gt;=55,"Medium","Low"))</x:f>
        <x:v>Low</x:v>
      </x:c>
    </x:row>
    <x:row r="1443">
      <x:c r="A1443" t="n">
        <x:v>1442</x:v>
      </x:c>
      <x:c r="B1443" t="n">
        <x:v>10136</x:v>
      </x:c>
      <x:c r="C1443" s="16" t="n">
        <x:v>46187</x:v>
      </x:c>
      <x:c r="D1443" t="str">
        <x:v>06:25:00</x:v>
      </x:c>
      <x:c r="E1443" t="str">
        <x:v>Card</x:v>
      </x:c>
      <x:c r="F1443" t="str">
        <x:v>Transfer</x:v>
      </x:c>
      <x:c r="G1443" s="18" t="n">
        <x:v>80.29</x:v>
      </x:c>
      <x:c r="H1443" t="n">
        <x:v>0</x:v>
      </x:c>
      <x:c r="I1443" t="n">
        <x:v>0</x:v>
      </x:c>
      <x:c r="J1443" t="n">
        <x:v>0</x:v>
      </x:c>
      <x:c r="K1443" t="n">
        <x:v>0</x:v>
      </x:c>
      <x:c r="L1443" t="n">
        <x:v>10</x:v>
      </x:c>
      <x:c r="M1443" t="n">
        <x:v>0</x:v>
      </x:c>
      <x:c r="N1443" t="str">
        <x:v>Approved</x:v>
      </x:c>
      <x:c r="O1443" t="n">
        <x:v>0</x:v>
      </x:c>
      <x:c r="P1443" t="str">
        <x:f>IF(L1443&gt;=75,"High",IF(L1443&gt;=55,"Medium","Low"))</x:f>
        <x:v>Low</x:v>
      </x:c>
    </x:row>
    <x:row r="1444">
      <x:c r="A1444" t="n">
        <x:v>1443</x:v>
      </x:c>
      <x:c r="B1444" t="n">
        <x:v>10135</x:v>
      </x:c>
      <x:c r="C1444" s="16" t="n">
        <x:v>46216</x:v>
      </x:c>
      <x:c r="D1444" t="str">
        <x:v>05:03:00</x:v>
      </x:c>
      <x:c r="E1444" t="str">
        <x:v>Card</x:v>
      </x:c>
      <x:c r="F1444" t="str">
        <x:v>Utilities</x:v>
      </x:c>
      <x:c r="G1444" s="18" t="n">
        <x:v>77.32</x:v>
      </x:c>
      <x:c r="H1444" t="n">
        <x:v>1</x:v>
      </x:c>
      <x:c r="I1444" t="n">
        <x:v>0</x:v>
      </x:c>
      <x:c r="J1444" t="n">
        <x:v>0</x:v>
      </x:c>
      <x:c r="K1444" t="n">
        <x:v>0</x:v>
      </x:c>
      <x:c r="L1444" t="n">
        <x:v>36</x:v>
      </x:c>
      <x:c r="M1444" t="n">
        <x:v>0</x:v>
      </x:c>
      <x:c r="N1444" t="str">
        <x:v>Approved</x:v>
      </x:c>
      <x:c r="O1444" t="n">
        <x:v>0</x:v>
      </x:c>
      <x:c r="P1444" t="str">
        <x:f>IF(L1444&gt;=75,"High",IF(L1444&gt;=55,"Medium","Low"))</x:f>
        <x:v>Low</x:v>
      </x:c>
    </x:row>
    <x:row r="1445">
      <x:c r="A1445" t="n">
        <x:v>1444</x:v>
      </x:c>
      <x:c r="B1445" t="n">
        <x:v>10344</x:v>
      </x:c>
      <x:c r="C1445" s="16" t="n">
        <x:v>46217</x:v>
      </x:c>
      <x:c r="D1445" t="str">
        <x:v>17:03:00</x:v>
      </x:c>
      <x:c r="E1445" t="str">
        <x:v>Bank Transfer</x:v>
      </x:c>
      <x:c r="F1445" t="str">
        <x:v>Travel</x:v>
      </x:c>
      <x:c r="G1445" s="18" t="n">
        <x:v>100.4</x:v>
      </x:c>
      <x:c r="H1445" t="n">
        <x:v>1</x:v>
      </x:c>
      <x:c r="I1445" t="n">
        <x:v>0</x:v>
      </x:c>
      <x:c r="J1445" t="n">
        <x:v>0</x:v>
      </x:c>
      <x:c r="K1445" t="n">
        <x:v>0</x:v>
      </x:c>
      <x:c r="L1445" t="n">
        <x:v>36</x:v>
      </x:c>
      <x:c r="M1445" t="n">
        <x:v>0</x:v>
      </x:c>
      <x:c r="N1445" t="str">
        <x:v>Approved</x:v>
      </x:c>
      <x:c r="O1445" t="n">
        <x:v>0</x:v>
      </x:c>
      <x:c r="P1445" t="str">
        <x:f>IF(L1445&gt;=75,"High",IF(L1445&gt;=55,"Medium","Low"))</x:f>
        <x:v>Low</x:v>
      </x:c>
    </x:row>
    <x:row r="1446">
      <x:c r="A1446" t="n">
        <x:v>1445</x:v>
      </x:c>
      <x:c r="B1446" t="n">
        <x:v>10015</x:v>
      </x:c>
      <x:c r="C1446" s="16" t="n">
        <x:v>46273</x:v>
      </x:c>
      <x:c r="D1446" t="str">
        <x:v>20:51:00</x:v>
      </x:c>
      <x:c r="E1446" t="str">
        <x:v>Bank Transfer</x:v>
      </x:c>
      <x:c r="F1446" t="str">
        <x:v>Retail</x:v>
      </x:c>
      <x:c r="G1446" s="18" t="n">
        <x:v>199.33</x:v>
      </x:c>
      <x:c r="H1446" t="n">
        <x:v>1</x:v>
      </x:c>
      <x:c r="I1446" t="n">
        <x:v>0</x:v>
      </x:c>
      <x:c r="J1446" t="n">
        <x:v>0</x:v>
      </x:c>
      <x:c r="K1446" t="n">
        <x:v>0</x:v>
      </x:c>
      <x:c r="L1446" t="n">
        <x:v>36</x:v>
      </x:c>
      <x:c r="M1446" t="n">
        <x:v>0</x:v>
      </x:c>
      <x:c r="N1446" t="str">
        <x:v>Approved</x:v>
      </x:c>
      <x:c r="O1446" t="n">
        <x:v>0</x:v>
      </x:c>
      <x:c r="P1446" t="str">
        <x:f>IF(L1446&gt;=75,"High",IF(L1446&gt;=55,"Medium","Low"))</x:f>
        <x:v>Low</x:v>
      </x:c>
    </x:row>
    <x:row r="1447">
      <x:c r="A1447" t="n">
        <x:v>1446</x:v>
      </x:c>
      <x:c r="B1447" t="n">
        <x:v>10051</x:v>
      </x:c>
      <x:c r="C1447" s="16" t="n">
        <x:v>46263</x:v>
      </x:c>
      <x:c r="D1447" t="str">
        <x:v>17:30:00</x:v>
      </x:c>
      <x:c r="E1447" t="str">
        <x:v>Bank Transfer</x:v>
      </x:c>
      <x:c r="F1447" t="str">
        <x:v>Transfer</x:v>
      </x:c>
      <x:c r="G1447" s="18" t="n">
        <x:v>108.43</x:v>
      </x:c>
      <x:c r="H1447" t="n">
        <x:v>0</x:v>
      </x:c>
      <x:c r="I1447" t="n">
        <x:v>0</x:v>
      </x:c>
      <x:c r="J1447" t="n">
        <x:v>0</x:v>
      </x:c>
      <x:c r="K1447" t="n">
        <x:v>0</x:v>
      </x:c>
      <x:c r="L1447" t="n">
        <x:v>10</x:v>
      </x:c>
      <x:c r="M1447" t="n">
        <x:v>0</x:v>
      </x:c>
      <x:c r="N1447" t="str">
        <x:v>Approved</x:v>
      </x:c>
      <x:c r="O1447" t="n">
        <x:v>0</x:v>
      </x:c>
      <x:c r="P1447" t="str">
        <x:f>IF(L1447&gt;=75,"High",IF(L1447&gt;=55,"Medium","Low"))</x:f>
        <x:v>Low</x:v>
      </x:c>
    </x:row>
    <x:row r="1448">
      <x:c r="A1448" t="n">
        <x:v>1447</x:v>
      </x:c>
      <x:c r="B1448" t="n">
        <x:v>10248</x:v>
      </x:c>
      <x:c r="C1448" s="16" t="n">
        <x:v>46230</x:v>
      </x:c>
      <x:c r="D1448" t="str">
        <x:v>01:55:00</x:v>
      </x:c>
      <x:c r="E1448" t="str">
        <x:v>Bank Transfer</x:v>
      </x:c>
      <x:c r="F1448" t="str">
        <x:v>Travel</x:v>
      </x:c>
      <x:c r="G1448" s="18" t="n">
        <x:v>36.55</x:v>
      </x:c>
      <x:c r="H1448" t="n">
        <x:v>1</x:v>
      </x:c>
      <x:c r="I1448" t="n">
        <x:v>1</x:v>
      </x:c>
      <x:c r="J1448" t="n">
        <x:v>0</x:v>
      </x:c>
      <x:c r="K1448" t="n">
        <x:v>1</x:v>
      </x:c>
      <x:c r="L1448" t="n">
        <x:v>71</x:v>
      </x:c>
      <x:c r="M1448" t="n">
        <x:v>1</x:v>
      </x:c>
      <x:c r="N1448" t="str">
        <x:v>Approved</x:v>
      </x:c>
      <x:c r="O1448" t="n">
        <x:v>0</x:v>
      </x:c>
      <x:c r="P1448" t="str">
        <x:f>IF(L1448&gt;=75,"High",IF(L1448&gt;=55,"Medium","Low"))</x:f>
        <x:v>Medium</x:v>
      </x:c>
    </x:row>
    <x:row r="1449">
      <x:c r="A1449" t="n">
        <x:v>1448</x:v>
      </x:c>
      <x:c r="B1449" t="n">
        <x:v>10029</x:v>
      </x:c>
      <x:c r="C1449" s="16" t="n">
        <x:v>46284</x:v>
      </x:c>
      <x:c r="D1449" t="str">
        <x:v>10:47:00</x:v>
      </x:c>
      <x:c r="E1449" t="str">
        <x:v>Card</x:v>
      </x:c>
      <x:c r="F1449" t="str">
        <x:v>Subscriptions</x:v>
      </x:c>
      <x:c r="G1449" s="18" t="n">
        <x:v>17.62</x:v>
      </x:c>
      <x:c r="H1449" t="n">
        <x:v>0</x:v>
      </x:c>
      <x:c r="I1449" t="n">
        <x:v>0</x:v>
      </x:c>
      <x:c r="J1449" t="n">
        <x:v>0</x:v>
      </x:c>
      <x:c r="K1449" t="n">
        <x:v>0</x:v>
      </x:c>
      <x:c r="L1449" t="n">
        <x:v>10</x:v>
      </x:c>
      <x:c r="M1449" t="n">
        <x:v>0</x:v>
      </x:c>
      <x:c r="N1449" t="str">
        <x:v>Approved</x:v>
      </x:c>
      <x:c r="O1449" t="n">
        <x:v>0</x:v>
      </x:c>
      <x:c r="P1449" t="str">
        <x:f>IF(L1449&gt;=75,"High",IF(L1449&gt;=55,"Medium","Low"))</x:f>
        <x:v>Low</x:v>
      </x:c>
    </x:row>
    <x:row r="1450">
      <x:c r="A1450" t="n">
        <x:v>1449</x:v>
      </x:c>
      <x:c r="B1450" t="n">
        <x:v>10014</x:v>
      </x:c>
      <x:c r="C1450" s="16" t="n">
        <x:v>46291</x:v>
      </x:c>
      <x:c r="D1450" t="str">
        <x:v>02:51:00</x:v>
      </x:c>
      <x:c r="E1450" t="str">
        <x:v>Card</x:v>
      </x:c>
      <x:c r="F1450" t="str">
        <x:v>Retail</x:v>
      </x:c>
      <x:c r="G1450" s="18" t="n">
        <x:v>31.28</x:v>
      </x:c>
      <x:c r="H1450" t="n">
        <x:v>0</x:v>
      </x:c>
      <x:c r="I1450" t="n">
        <x:v>0</x:v>
      </x:c>
      <x:c r="J1450" t="n">
        <x:v>0</x:v>
      </x:c>
      <x:c r="K1450" t="n">
        <x:v>1</x:v>
      </x:c>
      <x:c r="L1450" t="n">
        <x:v>25</x:v>
      </x:c>
      <x:c r="M1450" t="n">
        <x:v>0</x:v>
      </x:c>
      <x:c r="N1450" t="str">
        <x:v>Approved</x:v>
      </x:c>
      <x:c r="O1450" t="n">
        <x:v>0</x:v>
      </x:c>
      <x:c r="P1450" t="str">
        <x:f>IF(L1450&gt;=75,"High",IF(L1450&gt;=55,"Medium","Low"))</x:f>
        <x:v>Low</x:v>
      </x:c>
    </x:row>
    <x:row r="1451">
      <x:c r="A1451" t="n">
        <x:v>1450</x:v>
      </x:c>
      <x:c r="B1451" t="n">
        <x:v>10180</x:v>
      </x:c>
      <x:c r="C1451" s="16" t="n">
        <x:v>46257</x:v>
      </x:c>
      <x:c r="D1451" t="str">
        <x:v>02:38:00</x:v>
      </x:c>
      <x:c r="E1451" t="str">
        <x:v>Card</x:v>
      </x:c>
      <x:c r="F1451" t="str">
        <x:v>Transfer</x:v>
      </x:c>
      <x:c r="G1451" s="18" t="n">
        <x:v>315.09</x:v>
      </x:c>
      <x:c r="H1451" t="n">
        <x:v>1</x:v>
      </x:c>
      <x:c r="I1451" t="n">
        <x:v>0</x:v>
      </x:c>
      <x:c r="J1451" t="n">
        <x:v>0</x:v>
      </x:c>
      <x:c r="K1451" t="n">
        <x:v>1</x:v>
      </x:c>
      <x:c r="L1451" t="n">
        <x:v>51</x:v>
      </x:c>
      <x:c r="M1451" t="n">
        <x:v>0</x:v>
      </x:c>
      <x:c r="N1451" t="str">
        <x:v>Approved</x:v>
      </x:c>
      <x:c r="O1451" t="n">
        <x:v>0</x:v>
      </x:c>
      <x:c r="P1451" t="str">
        <x:f>IF(L1451&gt;=75,"High",IF(L1451&gt;=55,"Medium","Low"))</x:f>
        <x:v>Low</x:v>
      </x:c>
    </x:row>
    <x:row r="1452">
      <x:c r="A1452" t="n">
        <x:v>1451</x:v>
      </x:c>
      <x:c r="B1452" t="n">
        <x:v>10051</x:v>
      </x:c>
      <x:c r="C1452" s="16" t="n">
        <x:v>46194</x:v>
      </x:c>
      <x:c r="D1452" t="str">
        <x:v>18:29:00</x:v>
      </x:c>
      <x:c r="E1452" t="str">
        <x:v>Card</x:v>
      </x:c>
      <x:c r="F1452" t="str">
        <x:v>Utilities</x:v>
      </x:c>
      <x:c r="G1452" s="18" t="n">
        <x:v>58.02</x:v>
      </x:c>
      <x:c r="H1452" t="n">
        <x:v>0</x:v>
      </x:c>
      <x:c r="I1452" t="n">
        <x:v>0</x:v>
      </x:c>
      <x:c r="J1452" t="n">
        <x:v>0</x:v>
      </x:c>
      <x:c r="K1452" t="n">
        <x:v>0</x:v>
      </x:c>
      <x:c r="L1452" t="n">
        <x:v>10</x:v>
      </x:c>
      <x:c r="M1452" t="n">
        <x:v>0</x:v>
      </x:c>
      <x:c r="N1452" t="str">
        <x:v>Declined</x:v>
      </x:c>
      <x:c r="O1452" t="n">
        <x:v>0</x:v>
      </x:c>
      <x:c r="P1452" t="str">
        <x:f>IF(L1452&gt;=75,"High",IF(L1452&gt;=55,"Medium","Low"))</x:f>
        <x:v>Low</x:v>
      </x:c>
    </x:row>
    <x:row r="1453">
      <x:c r="A1453" t="n">
        <x:v>1452</x:v>
      </x:c>
      <x:c r="B1453" t="n">
        <x:v>10019</x:v>
      </x:c>
      <x:c r="C1453" s="16" t="n">
        <x:v>46189</x:v>
      </x:c>
      <x:c r="D1453" t="str">
        <x:v>17:00:00</x:v>
      </x:c>
      <x:c r="E1453" t="str">
        <x:v>Bank Transfer</x:v>
      </x:c>
      <x:c r="F1453" t="str">
        <x:v>Utilities</x:v>
      </x:c>
      <x:c r="G1453" s="18" t="n">
        <x:v>416.17</x:v>
      </x:c>
      <x:c r="H1453" t="n">
        <x:v>1</x:v>
      </x:c>
      <x:c r="I1453" t="n">
        <x:v>1</x:v>
      </x:c>
      <x:c r="J1453" t="n">
        <x:v>0</x:v>
      </x:c>
      <x:c r="K1453" t="n">
        <x:v>0</x:v>
      </x:c>
      <x:c r="L1453" t="n">
        <x:v>56</x:v>
      </x:c>
      <x:c r="M1453" t="n">
        <x:v>1</x:v>
      </x:c>
      <x:c r="N1453" t="str">
        <x:v>Approved</x:v>
      </x:c>
      <x:c r="O1453" t="n">
        <x:v>0</x:v>
      </x:c>
      <x:c r="P1453" t="str">
        <x:f>IF(L1453&gt;=75,"High",IF(L1453&gt;=55,"Medium","Low"))</x:f>
        <x:v>Medium</x:v>
      </x:c>
    </x:row>
    <x:row r="1454">
      <x:c r="A1454" t="n">
        <x:v>1453</x:v>
      </x:c>
      <x:c r="B1454" t="n">
        <x:v>10251</x:v>
      </x:c>
      <x:c r="C1454" s="16" t="n">
        <x:v>46257</x:v>
      </x:c>
      <x:c r="D1454" t="str">
        <x:v>21:17:00</x:v>
      </x:c>
      <x:c r="E1454" t="str">
        <x:v>Bank Transfer</x:v>
      </x:c>
      <x:c r="F1454" t="str">
        <x:v>Subscriptions</x:v>
      </x:c>
      <x:c r="G1454" s="18" t="n">
        <x:v>313.87</x:v>
      </x:c>
      <x:c r="H1454" t="n">
        <x:v>0</x:v>
      </x:c>
      <x:c r="I1454" t="n">
        <x:v>1</x:v>
      </x:c>
      <x:c r="J1454" t="n">
        <x:v>0</x:v>
      </x:c>
      <x:c r="K1454" t="n">
        <x:v>0</x:v>
      </x:c>
      <x:c r="L1454" t="n">
        <x:v>30</x:v>
      </x:c>
      <x:c r="M1454" t="n">
        <x:v>0</x:v>
      </x:c>
      <x:c r="N1454" t="str">
        <x:v>Approved</x:v>
      </x:c>
      <x:c r="O1454" t="n">
        <x:v>0</x:v>
      </x:c>
      <x:c r="P1454" t="str">
        <x:f>IF(L1454&gt;=75,"High",IF(L1454&gt;=55,"Medium","Low"))</x:f>
        <x:v>Low</x:v>
      </x:c>
    </x:row>
    <x:row r="1455">
      <x:c r="A1455" t="n">
        <x:v>1454</x:v>
      </x:c>
      <x:c r="B1455" t="n">
        <x:v>10313</x:v>
      </x:c>
      <x:c r="C1455" s="16" t="n">
        <x:v>46120</x:v>
      </x:c>
      <x:c r="D1455" t="str">
        <x:v>23:50:00</x:v>
      </x:c>
      <x:c r="E1455" t="str">
        <x:v>P2P</x:v>
      </x:c>
      <x:c r="F1455" t="str">
        <x:v>Subscriptions</x:v>
      </x:c>
      <x:c r="G1455" s="18" t="n">
        <x:v>47.3</x:v>
      </x:c>
      <x:c r="H1455" t="n">
        <x:v>0</x:v>
      </x:c>
      <x:c r="I1455" t="n">
        <x:v>0</x:v>
      </x:c>
      <x:c r="J1455" t="n">
        <x:v>0</x:v>
      </x:c>
      <x:c r="K1455" t="n">
        <x:v>0</x:v>
      </x:c>
      <x:c r="L1455" t="n">
        <x:v>10</x:v>
      </x:c>
      <x:c r="M1455" t="n">
        <x:v>0</x:v>
      </x:c>
      <x:c r="N1455" t="str">
        <x:v>Approved</x:v>
      </x:c>
      <x:c r="O1455" t="n">
        <x:v>0</x:v>
      </x:c>
      <x:c r="P1455" t="str">
        <x:f>IF(L1455&gt;=75,"High",IF(L1455&gt;=55,"Medium","Low"))</x:f>
        <x:v>Low</x:v>
      </x:c>
    </x:row>
    <x:row r="1456">
      <x:c r="A1456" t="n">
        <x:v>1455</x:v>
      </x:c>
      <x:c r="B1456" t="n">
        <x:v>10050</x:v>
      </x:c>
      <x:c r="C1456" s="16" t="n">
        <x:v>46225</x:v>
      </x:c>
      <x:c r="D1456" t="str">
        <x:v>02:20:00</x:v>
      </x:c>
      <x:c r="E1456" t="str">
        <x:v>Card</x:v>
      </x:c>
      <x:c r="F1456" t="str">
        <x:v>Subscriptions</x:v>
      </x:c>
      <x:c r="G1456" s="18" t="n">
        <x:v>160.9</x:v>
      </x:c>
      <x:c r="H1456" t="n">
        <x:v>0</x:v>
      </x:c>
      <x:c r="I1456" t="n">
        <x:v>1</x:v>
      </x:c>
      <x:c r="J1456" t="n">
        <x:v>0</x:v>
      </x:c>
      <x:c r="K1456" t="n">
        <x:v>1</x:v>
      </x:c>
      <x:c r="L1456" t="n">
        <x:v>45</x:v>
      </x:c>
      <x:c r="M1456" t="n">
        <x:v>0</x:v>
      </x:c>
      <x:c r="N1456" t="str">
        <x:v>Approved</x:v>
      </x:c>
      <x:c r="O1456" t="n">
        <x:v>0</x:v>
      </x:c>
      <x:c r="P1456" t="str">
        <x:f>IF(L1456&gt;=75,"High",IF(L1456&gt;=55,"Medium","Low"))</x:f>
        <x:v>Low</x:v>
      </x:c>
    </x:row>
    <x:row r="1457">
      <x:c r="A1457" t="n">
        <x:v>1456</x:v>
      </x:c>
      <x:c r="B1457" t="n">
        <x:v>10137</x:v>
      </x:c>
      <x:c r="C1457" s="16" t="n">
        <x:v>46190</x:v>
      </x:c>
      <x:c r="D1457" t="str">
        <x:v>10:08:00</x:v>
      </x:c>
      <x:c r="E1457" t="str">
        <x:v>Card</x:v>
      </x:c>
      <x:c r="F1457" t="str">
        <x:v>Utilities</x:v>
      </x:c>
      <x:c r="G1457" s="18" t="n">
        <x:v>150.56</x:v>
      </x:c>
      <x:c r="H1457" t="n">
        <x:v>0</x:v>
      </x:c>
      <x:c r="I1457" t="n">
        <x:v>0</x:v>
      </x:c>
      <x:c r="J1457" t="n">
        <x:v>0</x:v>
      </x:c>
      <x:c r="K1457" t="n">
        <x:v>0</x:v>
      </x:c>
      <x:c r="L1457" t="n">
        <x:v>10</x:v>
      </x:c>
      <x:c r="M1457" t="n">
        <x:v>0</x:v>
      </x:c>
      <x:c r="N1457" t="str">
        <x:v>Declined</x:v>
      </x:c>
      <x:c r="O1457" t="n">
        <x:v>0</x:v>
      </x:c>
      <x:c r="P1457" t="str">
        <x:f>IF(L1457&gt;=75,"High",IF(L1457&gt;=55,"Medium","Low"))</x:f>
        <x:v>Low</x:v>
      </x:c>
    </x:row>
    <x:row r="1458">
      <x:c r="A1458" t="n">
        <x:v>1457</x:v>
      </x:c>
      <x:c r="B1458" t="n">
        <x:v>10303</x:v>
      </x:c>
      <x:c r="C1458" s="16" t="n">
        <x:v>46160</x:v>
      </x:c>
      <x:c r="D1458" t="str">
        <x:v>23:07:00</x:v>
      </x:c>
      <x:c r="E1458" t="str">
        <x:v>Card</x:v>
      </x:c>
      <x:c r="F1458" t="str">
        <x:v>Electronics</x:v>
      </x:c>
      <x:c r="G1458" s="18" t="n">
        <x:v>75.37</x:v>
      </x:c>
      <x:c r="H1458" t="n">
        <x:v>0</x:v>
      </x:c>
      <x:c r="I1458" t="n">
        <x:v>0</x:v>
      </x:c>
      <x:c r="J1458" t="n">
        <x:v>0</x:v>
      </x:c>
      <x:c r="K1458" t="n">
        <x:v>0</x:v>
      </x:c>
      <x:c r="L1458" t="n">
        <x:v>10</x:v>
      </x:c>
      <x:c r="M1458" t="n">
        <x:v>0</x:v>
      </x:c>
      <x:c r="N1458" t="str">
        <x:v>Approved</x:v>
      </x:c>
      <x:c r="O1458" t="n">
        <x:v>0</x:v>
      </x:c>
      <x:c r="P1458" t="str">
        <x:f>IF(L1458&gt;=75,"High",IF(L1458&gt;=55,"Medium","Low"))</x:f>
        <x:v>Low</x:v>
      </x:c>
    </x:row>
    <x:row r="1459">
      <x:c r="A1459" t="n">
        <x:v>1458</x:v>
      </x:c>
      <x:c r="B1459" t="n">
        <x:v>10194</x:v>
      </x:c>
      <x:c r="C1459" s="16" t="n">
        <x:v>46295</x:v>
      </x:c>
      <x:c r="D1459" t="str">
        <x:v>04:25:00</x:v>
      </x:c>
      <x:c r="E1459" t="str">
        <x:v>Card</x:v>
      </x:c>
      <x:c r="F1459" t="str">
        <x:v>Dining</x:v>
      </x:c>
      <x:c r="G1459" s="18" t="n">
        <x:v>190.82</x:v>
      </x:c>
      <x:c r="H1459" t="n">
        <x:v>0</x:v>
      </x:c>
      <x:c r="I1459" t="n">
        <x:v>0</x:v>
      </x:c>
      <x:c r="J1459" t="n">
        <x:v>0</x:v>
      </x:c>
      <x:c r="K1459" t="n">
        <x:v>1</x:v>
      </x:c>
      <x:c r="L1459" t="n">
        <x:v>25</x:v>
      </x:c>
      <x:c r="M1459" t="n">
        <x:v>0</x:v>
      </x:c>
      <x:c r="N1459" t="str">
        <x:v>Approved</x:v>
      </x:c>
      <x:c r="O1459" t="n">
        <x:v>0</x:v>
      </x:c>
      <x:c r="P1459" t="str">
        <x:f>IF(L1459&gt;=75,"High",IF(L1459&gt;=55,"Medium","Low"))</x:f>
        <x:v>Low</x:v>
      </x:c>
    </x:row>
    <x:row r="1460">
      <x:c r="A1460" t="n">
        <x:v>1459</x:v>
      </x:c>
      <x:c r="B1460" t="n">
        <x:v>10177</x:v>
      </x:c>
      <x:c r="C1460" s="16" t="n">
        <x:v>46152</x:v>
      </x:c>
      <x:c r="D1460" t="str">
        <x:v>14:12:00</x:v>
      </x:c>
      <x:c r="E1460" t="str">
        <x:v>Bank Transfer</x:v>
      </x:c>
      <x:c r="F1460" t="str">
        <x:v>Transfer</x:v>
      </x:c>
      <x:c r="G1460" s="18" t="n">
        <x:v>124.91</x:v>
      </x:c>
      <x:c r="H1460" t="n">
        <x:v>0</x:v>
      </x:c>
      <x:c r="I1460" t="n">
        <x:v>0</x:v>
      </x:c>
      <x:c r="J1460" t="n">
        <x:v>0</x:v>
      </x:c>
      <x:c r="K1460" t="n">
        <x:v>0</x:v>
      </x:c>
      <x:c r="L1460" t="n">
        <x:v>10</x:v>
      </x:c>
      <x:c r="M1460" t="n">
        <x:v>0</x:v>
      </x:c>
      <x:c r="N1460" t="str">
        <x:v>Declined</x:v>
      </x:c>
      <x:c r="O1460" t="n">
        <x:v>0</x:v>
      </x:c>
      <x:c r="P1460" t="str">
        <x:f>IF(L1460&gt;=75,"High",IF(L1460&gt;=55,"Medium","Low"))</x:f>
        <x:v>Low</x:v>
      </x:c>
    </x:row>
    <x:row r="1461">
      <x:c r="A1461" t="n">
        <x:v>1460</x:v>
      </x:c>
      <x:c r="B1461" t="n">
        <x:v>10346</x:v>
      </x:c>
      <x:c r="C1461" s="16" t="n">
        <x:v>46244</x:v>
      </x:c>
      <x:c r="D1461" t="str">
        <x:v>03:09:00</x:v>
      </x:c>
      <x:c r="E1461" t="str">
        <x:v>Bank Transfer</x:v>
      </x:c>
      <x:c r="F1461" t="str">
        <x:v>Utilities</x:v>
      </x:c>
      <x:c r="G1461" s="18" t="n">
        <x:v>13.33</x:v>
      </x:c>
      <x:c r="H1461" t="n">
        <x:v>1</x:v>
      </x:c>
      <x:c r="I1461" t="n">
        <x:v>0</x:v>
      </x:c>
      <x:c r="J1461" t="n">
        <x:v>0</x:v>
      </x:c>
      <x:c r="K1461" t="n">
        <x:v>1</x:v>
      </x:c>
      <x:c r="L1461" t="n">
        <x:v>51</x:v>
      </x:c>
      <x:c r="M1461" t="n">
        <x:v>0</x:v>
      </x:c>
      <x:c r="N1461" t="str">
        <x:v>Approved</x:v>
      </x:c>
      <x:c r="O1461" t="n">
        <x:v>0</x:v>
      </x:c>
      <x:c r="P1461" t="str">
        <x:f>IF(L1461&gt;=75,"High",IF(L1461&gt;=55,"Medium","Low"))</x:f>
        <x:v>Low</x:v>
      </x:c>
    </x:row>
    <x:row r="1462">
      <x:c r="A1462" t="n">
        <x:v>1461</x:v>
      </x:c>
      <x:c r="B1462" t="n">
        <x:v>10087</x:v>
      </x:c>
      <x:c r="C1462" s="16" t="n">
        <x:v>46204</x:v>
      </x:c>
      <x:c r="D1462" t="str">
        <x:v>00:13:00</x:v>
      </x:c>
      <x:c r="E1462" t="str">
        <x:v>Card</x:v>
      </x:c>
      <x:c r="F1462" t="str">
        <x:v>Retail</x:v>
      </x:c>
      <x:c r="G1462" s="18" t="n">
        <x:v>409.76</x:v>
      </x:c>
      <x:c r="H1462" t="n">
        <x:v>0</x:v>
      </x:c>
      <x:c r="I1462" t="n">
        <x:v>0</x:v>
      </x:c>
      <x:c r="J1462" t="n">
        <x:v>0</x:v>
      </x:c>
      <x:c r="K1462" t="n">
        <x:v>1</x:v>
      </x:c>
      <x:c r="L1462" t="n">
        <x:v>25</x:v>
      </x:c>
      <x:c r="M1462" t="n">
        <x:v>0</x:v>
      </x:c>
      <x:c r="N1462" t="str">
        <x:v>Approved</x:v>
      </x:c>
      <x:c r="O1462" t="n">
        <x:v>0</x:v>
      </x:c>
      <x:c r="P1462" t="str">
        <x:f>IF(L1462&gt;=75,"High",IF(L1462&gt;=55,"Medium","Low"))</x:f>
        <x:v>Low</x:v>
      </x:c>
    </x:row>
    <x:row r="1463">
      <x:c r="A1463" t="n">
        <x:v>1462</x:v>
      </x:c>
      <x:c r="B1463" t="n">
        <x:v>10236</x:v>
      </x:c>
      <x:c r="C1463" s="16" t="n">
        <x:v>46249</x:v>
      </x:c>
      <x:c r="D1463" t="str">
        <x:v>09:06:00</x:v>
      </x:c>
      <x:c r="E1463" t="str">
        <x:v>Card</x:v>
      </x:c>
      <x:c r="F1463" t="str">
        <x:v>Dining</x:v>
      </x:c>
      <x:c r="G1463" s="18" t="n">
        <x:v>562.84</x:v>
      </x:c>
      <x:c r="H1463" t="n">
        <x:v>0</x:v>
      </x:c>
      <x:c r="I1463" t="n">
        <x:v>0</x:v>
      </x:c>
      <x:c r="J1463" t="n">
        <x:v>0</x:v>
      </x:c>
      <x:c r="K1463" t="n">
        <x:v>0</x:v>
      </x:c>
      <x:c r="L1463" t="n">
        <x:v>10</x:v>
      </x:c>
      <x:c r="M1463" t="n">
        <x:v>0</x:v>
      </x:c>
      <x:c r="N1463" t="str">
        <x:v>Approved</x:v>
      </x:c>
      <x:c r="O1463" t="n">
        <x:v>0</x:v>
      </x:c>
      <x:c r="P1463" t="str">
        <x:f>IF(L1463&gt;=75,"High",IF(L1463&gt;=55,"Medium","Low"))</x:f>
        <x:v>Low</x:v>
      </x:c>
    </x:row>
    <x:row r="1464">
      <x:c r="A1464" t="n">
        <x:v>1463</x:v>
      </x:c>
      <x:c r="B1464" t="n">
        <x:v>10329</x:v>
      </x:c>
      <x:c r="C1464" s="16" t="n">
        <x:v>46137</x:v>
      </x:c>
      <x:c r="D1464" t="str">
        <x:v>15:04:00</x:v>
      </x:c>
      <x:c r="E1464" t="str">
        <x:v>Card</x:v>
      </x:c>
      <x:c r="F1464" t="str">
        <x:v>Utilities</x:v>
      </x:c>
      <x:c r="G1464" s="18" t="n">
        <x:v>65.14</x:v>
      </x:c>
      <x:c r="H1464" t="n">
        <x:v>0</x:v>
      </x:c>
      <x:c r="I1464" t="n">
        <x:v>0</x:v>
      </x:c>
      <x:c r="J1464" t="n">
        <x:v>0</x:v>
      </x:c>
      <x:c r="K1464" t="n">
        <x:v>0</x:v>
      </x:c>
      <x:c r="L1464" t="n">
        <x:v>10</x:v>
      </x:c>
      <x:c r="M1464" t="n">
        <x:v>0</x:v>
      </x:c>
      <x:c r="N1464" t="str">
        <x:v>Approved</x:v>
      </x:c>
      <x:c r="O1464" t="n">
        <x:v>0</x:v>
      </x:c>
      <x:c r="P1464" t="str">
        <x:f>IF(L1464&gt;=75,"High",IF(L1464&gt;=55,"Medium","Low"))</x:f>
        <x:v>Low</x:v>
      </x:c>
    </x:row>
    <x:row r="1465">
      <x:c r="A1465" t="n">
        <x:v>1464</x:v>
      </x:c>
      <x:c r="B1465" t="n">
        <x:v>10324</x:v>
      </x:c>
      <x:c r="C1465" s="16" t="n">
        <x:v>46115</x:v>
      </x:c>
      <x:c r="D1465" t="str">
        <x:v>10:30:00</x:v>
      </x:c>
      <x:c r="E1465" t="str">
        <x:v>Card</x:v>
      </x:c>
      <x:c r="F1465" t="str">
        <x:v>Retail</x:v>
      </x:c>
      <x:c r="G1465" s="18" t="n">
        <x:v>59.47</x:v>
      </x:c>
      <x:c r="H1465" t="n">
        <x:v>0</x:v>
      </x:c>
      <x:c r="I1465" t="n">
        <x:v>1</x:v>
      </x:c>
      <x:c r="J1465" t="n">
        <x:v>0</x:v>
      </x:c>
      <x:c r="K1465" t="n">
        <x:v>0</x:v>
      </x:c>
      <x:c r="L1465" t="n">
        <x:v>30</x:v>
      </x:c>
      <x:c r="M1465" t="n">
        <x:v>0</x:v>
      </x:c>
      <x:c r="N1465" t="str">
        <x:v>Approved</x:v>
      </x:c>
      <x:c r="O1465" t="n">
        <x:v>0</x:v>
      </x:c>
      <x:c r="P1465" t="str">
        <x:f>IF(L1465&gt;=75,"High",IF(L1465&gt;=55,"Medium","Low"))</x:f>
        <x:v>Low</x:v>
      </x:c>
    </x:row>
    <x:row r="1466">
      <x:c r="A1466" t="n">
        <x:v>1465</x:v>
      </x:c>
      <x:c r="B1466" t="n">
        <x:v>10005</x:v>
      </x:c>
      <x:c r="C1466" s="16" t="n">
        <x:v>46276</x:v>
      </x:c>
      <x:c r="D1466" t="str">
        <x:v>01:15:00</x:v>
      </x:c>
      <x:c r="E1466" t="str">
        <x:v>Card</x:v>
      </x:c>
      <x:c r="F1466" t="str">
        <x:v>Transfer</x:v>
      </x:c>
      <x:c r="G1466" s="18" t="n">
        <x:v>20.8</x:v>
      </x:c>
      <x:c r="H1466" t="n">
        <x:v>0</x:v>
      </x:c>
      <x:c r="I1466" t="n">
        <x:v>0</x:v>
      </x:c>
      <x:c r="J1466" t="n">
        <x:v>0</x:v>
      </x:c>
      <x:c r="K1466" t="n">
        <x:v>1</x:v>
      </x:c>
      <x:c r="L1466" t="n">
        <x:v>25</x:v>
      </x:c>
      <x:c r="M1466" t="n">
        <x:v>0</x:v>
      </x:c>
      <x:c r="N1466" t="str">
        <x:v>Approved</x:v>
      </x:c>
      <x:c r="O1466" t="n">
        <x:v>0</x:v>
      </x:c>
      <x:c r="P1466" t="str">
        <x:f>IF(L1466&gt;=75,"High",IF(L1466&gt;=55,"Medium","Low"))</x:f>
        <x:v>Low</x:v>
      </x:c>
    </x:row>
    <x:row r="1467">
      <x:c r="A1467" t="n">
        <x:v>1466</x:v>
      </x:c>
      <x:c r="B1467" t="n">
        <x:v>10346</x:v>
      </x:c>
      <x:c r="C1467" s="16" t="n">
        <x:v>46232</x:v>
      </x:c>
      <x:c r="D1467" t="str">
        <x:v>12:39:00</x:v>
      </x:c>
      <x:c r="E1467" t="str">
        <x:v>Card</x:v>
      </x:c>
      <x:c r="F1467" t="str">
        <x:v>Electronics</x:v>
      </x:c>
      <x:c r="G1467" s="18" t="n">
        <x:v>32.24</x:v>
      </x:c>
      <x:c r="H1467" t="n">
        <x:v>0</x:v>
      </x:c>
      <x:c r="I1467" t="n">
        <x:v>0</x:v>
      </x:c>
      <x:c r="J1467" t="n">
        <x:v>0</x:v>
      </x:c>
      <x:c r="K1467" t="n">
        <x:v>0</x:v>
      </x:c>
      <x:c r="L1467" t="n">
        <x:v>10</x:v>
      </x:c>
      <x:c r="M1467" t="n">
        <x:v>0</x:v>
      </x:c>
      <x:c r="N1467" t="str">
        <x:v>Approved</x:v>
      </x:c>
      <x:c r="O1467" t="n">
        <x:v>0</x:v>
      </x:c>
      <x:c r="P1467" t="str">
        <x:f>IF(L1467&gt;=75,"High",IF(L1467&gt;=55,"Medium","Low"))</x:f>
        <x:v>Low</x:v>
      </x:c>
    </x:row>
    <x:row r="1468">
      <x:c r="A1468" t="n">
        <x:v>1467</x:v>
      </x:c>
      <x:c r="B1468" t="n">
        <x:v>10213</x:v>
      </x:c>
      <x:c r="C1468" s="16" t="n">
        <x:v>46179</x:v>
      </x:c>
      <x:c r="D1468" t="str">
        <x:v>13:17:00</x:v>
      </x:c>
      <x:c r="E1468" t="str">
        <x:v>Card</x:v>
      </x:c>
      <x:c r="F1468" t="str">
        <x:v>Transfer</x:v>
      </x:c>
      <x:c r="G1468" s="18" t="n">
        <x:v>177.26</x:v>
      </x:c>
      <x:c r="H1468" t="n">
        <x:v>0</x:v>
      </x:c>
      <x:c r="I1468" t="n">
        <x:v>0</x:v>
      </x:c>
      <x:c r="J1468" t="n">
        <x:v>0</x:v>
      </x:c>
      <x:c r="K1468" t="n">
        <x:v>0</x:v>
      </x:c>
      <x:c r="L1468" t="n">
        <x:v>10</x:v>
      </x:c>
      <x:c r="M1468" t="n">
        <x:v>0</x:v>
      </x:c>
      <x:c r="N1468" t="str">
        <x:v>Declined</x:v>
      </x:c>
      <x:c r="O1468" t="n">
        <x:v>0</x:v>
      </x:c>
      <x:c r="P1468" t="str">
        <x:f>IF(L1468&gt;=75,"High",IF(L1468&gt;=55,"Medium","Low"))</x:f>
        <x:v>Low</x:v>
      </x:c>
    </x:row>
    <x:row r="1469">
      <x:c r="A1469" t="n">
        <x:v>1468</x:v>
      </x:c>
      <x:c r="B1469" t="n">
        <x:v>10028</x:v>
      </x:c>
      <x:c r="C1469" s="16" t="n">
        <x:v>46262</x:v>
      </x:c>
      <x:c r="D1469" t="str">
        <x:v>17:26:00</x:v>
      </x:c>
      <x:c r="E1469" t="str">
        <x:v>Card</x:v>
      </x:c>
      <x:c r="F1469" t="str">
        <x:v>Retail</x:v>
      </x:c>
      <x:c r="G1469" s="18" t="n">
        <x:v>46.06</x:v>
      </x:c>
      <x:c r="H1469" t="n">
        <x:v>1</x:v>
      </x:c>
      <x:c r="I1469" t="n">
        <x:v>0</x:v>
      </x:c>
      <x:c r="J1469" t="n">
        <x:v>0</x:v>
      </x:c>
      <x:c r="K1469" t="n">
        <x:v>0</x:v>
      </x:c>
      <x:c r="L1469" t="n">
        <x:v>36</x:v>
      </x:c>
      <x:c r="M1469" t="n">
        <x:v>0</x:v>
      </x:c>
      <x:c r="N1469" t="str">
        <x:v>Approved</x:v>
      </x:c>
      <x:c r="O1469" t="n">
        <x:v>0</x:v>
      </x:c>
      <x:c r="P1469" t="str">
        <x:f>IF(L1469&gt;=75,"High",IF(L1469&gt;=55,"Medium","Low"))</x:f>
        <x:v>Low</x:v>
      </x:c>
    </x:row>
    <x:row r="1470">
      <x:c r="A1470" t="n">
        <x:v>1469</x:v>
      </x:c>
      <x:c r="B1470" t="n">
        <x:v>10208</x:v>
      </x:c>
      <x:c r="C1470" s="16" t="n">
        <x:v>46193</x:v>
      </x:c>
      <x:c r="D1470" t="str">
        <x:v>16:37:00</x:v>
      </x:c>
      <x:c r="E1470" t="str">
        <x:v>Bank Transfer</x:v>
      </x:c>
      <x:c r="F1470" t="str">
        <x:v>Travel</x:v>
      </x:c>
      <x:c r="G1470" s="18" t="n">
        <x:v>136.37</x:v>
      </x:c>
      <x:c r="H1470" t="n">
        <x:v>1</x:v>
      </x:c>
      <x:c r="I1470" t="n">
        <x:v>0</x:v>
      </x:c>
      <x:c r="J1470" t="n">
        <x:v>0</x:v>
      </x:c>
      <x:c r="K1470" t="n">
        <x:v>0</x:v>
      </x:c>
      <x:c r="L1470" t="n">
        <x:v>36</x:v>
      </x:c>
      <x:c r="M1470" t="n">
        <x:v>0</x:v>
      </x:c>
      <x:c r="N1470" t="str">
        <x:v>Approved</x:v>
      </x:c>
      <x:c r="O1470" t="n">
        <x:v>0</x:v>
      </x:c>
      <x:c r="P1470" t="str">
        <x:f>IF(L1470&gt;=75,"High",IF(L1470&gt;=55,"Medium","Low"))</x:f>
        <x:v>Low</x:v>
      </x:c>
    </x:row>
    <x:row r="1471">
      <x:c r="A1471" t="n">
        <x:v>1470</x:v>
      </x:c>
      <x:c r="B1471" t="n">
        <x:v>10164</x:v>
      </x:c>
      <x:c r="C1471" s="16" t="n">
        <x:v>46281</x:v>
      </x:c>
      <x:c r="D1471" t="str">
        <x:v>23:38:00</x:v>
      </x:c>
      <x:c r="E1471" t="str">
        <x:v>Card</x:v>
      </x:c>
      <x:c r="F1471" t="str">
        <x:v>Electronics</x:v>
      </x:c>
      <x:c r="G1471" s="18" t="n">
        <x:v>139.62</x:v>
      </x:c>
      <x:c r="H1471" t="n">
        <x:v>0</x:v>
      </x:c>
      <x:c r="I1471" t="n">
        <x:v>0</x:v>
      </x:c>
      <x:c r="J1471" t="n">
        <x:v>0</x:v>
      </x:c>
      <x:c r="K1471" t="n">
        <x:v>0</x:v>
      </x:c>
      <x:c r="L1471" t="n">
        <x:v>10</x:v>
      </x:c>
      <x:c r="M1471" t="n">
        <x:v>0</x:v>
      </x:c>
      <x:c r="N1471" t="str">
        <x:v>Declined</x:v>
      </x:c>
      <x:c r="O1471" t="n">
        <x:v>0</x:v>
      </x:c>
      <x:c r="P1471" t="str">
        <x:f>IF(L1471&gt;=75,"High",IF(L1471&gt;=55,"Medium","Low"))</x:f>
        <x:v>Low</x:v>
      </x:c>
    </x:row>
    <x:row r="1472">
      <x:c r="A1472" t="n">
        <x:v>1471</x:v>
      </x:c>
      <x:c r="B1472" t="n">
        <x:v>10298</x:v>
      </x:c>
      <x:c r="C1472" s="16" t="n">
        <x:v>46254</x:v>
      </x:c>
      <x:c r="D1472" t="str">
        <x:v>23:59:00</x:v>
      </x:c>
      <x:c r="E1472" t="str">
        <x:v>Card</x:v>
      </x:c>
      <x:c r="F1472" t="str">
        <x:v>Dining</x:v>
      </x:c>
      <x:c r="G1472" s="18" t="n">
        <x:v>30.9</x:v>
      </x:c>
      <x:c r="H1472" t="n">
        <x:v>0</x:v>
      </x:c>
      <x:c r="I1472" t="n">
        <x:v>1</x:v>
      </x:c>
      <x:c r="J1472" t="n">
        <x:v>0</x:v>
      </x:c>
      <x:c r="K1472" t="n">
        <x:v>0</x:v>
      </x:c>
      <x:c r="L1472" t="n">
        <x:v>30</x:v>
      </x:c>
      <x:c r="M1472" t="n">
        <x:v>0</x:v>
      </x:c>
      <x:c r="N1472" t="str">
        <x:v>Approved</x:v>
      </x:c>
      <x:c r="O1472" t="n">
        <x:v>0</x:v>
      </x:c>
      <x:c r="P1472" t="str">
        <x:f>IF(L1472&gt;=75,"High",IF(L1472&gt;=55,"Medium","Low"))</x:f>
        <x:v>Low</x:v>
      </x:c>
    </x:row>
    <x:row r="1473">
      <x:c r="A1473" t="n">
        <x:v>1472</x:v>
      </x:c>
      <x:c r="B1473" t="n">
        <x:v>10038</x:v>
      </x:c>
      <x:c r="C1473" s="16" t="n">
        <x:v>46182</x:v>
      </x:c>
      <x:c r="D1473" t="str">
        <x:v>02:55:00</x:v>
      </x:c>
      <x:c r="E1473" t="str">
        <x:v>Card</x:v>
      </x:c>
      <x:c r="F1473" t="str">
        <x:v>Transfer</x:v>
      </x:c>
      <x:c r="G1473" s="18" t="n">
        <x:v>155.96</x:v>
      </x:c>
      <x:c r="H1473" t="n">
        <x:v>1</x:v>
      </x:c>
      <x:c r="I1473" t="n">
        <x:v>0</x:v>
      </x:c>
      <x:c r="J1473" t="n">
        <x:v>0</x:v>
      </x:c>
      <x:c r="K1473" t="n">
        <x:v>1</x:v>
      </x:c>
      <x:c r="L1473" t="n">
        <x:v>51</x:v>
      </x:c>
      <x:c r="M1473" t="n">
        <x:v>0</x:v>
      </x:c>
      <x:c r="N1473" t="str">
        <x:v>Approved</x:v>
      </x:c>
      <x:c r="O1473" t="n">
        <x:v>0</x:v>
      </x:c>
      <x:c r="P1473" t="str">
        <x:f>IF(L1473&gt;=75,"High",IF(L1473&gt;=55,"Medium","Low"))</x:f>
        <x:v>Low</x:v>
      </x:c>
    </x:row>
    <x:row r="1474">
      <x:c r="A1474" t="n">
        <x:v>1473</x:v>
      </x:c>
      <x:c r="B1474" t="n">
        <x:v>10166</x:v>
      </x:c>
      <x:c r="C1474" s="16" t="n">
        <x:v>46292</x:v>
      </x:c>
      <x:c r="D1474" t="str">
        <x:v>07:56:00</x:v>
      </x:c>
      <x:c r="E1474" t="str">
        <x:v>Card</x:v>
      </x:c>
      <x:c r="F1474" t="str">
        <x:v>Utilities</x:v>
      </x:c>
      <x:c r="G1474" s="18" t="n">
        <x:v>8.41</x:v>
      </x:c>
      <x:c r="H1474" t="n">
        <x:v>0</x:v>
      </x:c>
      <x:c r="I1474" t="n">
        <x:v>0</x:v>
      </x:c>
      <x:c r="J1474" t="n">
        <x:v>0</x:v>
      </x:c>
      <x:c r="K1474" t="n">
        <x:v>0</x:v>
      </x:c>
      <x:c r="L1474" t="n">
        <x:v>10</x:v>
      </x:c>
      <x:c r="M1474" t="n">
        <x:v>0</x:v>
      </x:c>
      <x:c r="N1474" t="str">
        <x:v>Declined</x:v>
      </x:c>
      <x:c r="O1474" t="n">
        <x:v>0</x:v>
      </x:c>
      <x:c r="P1474" t="str">
        <x:f>IF(L1474&gt;=75,"High",IF(L1474&gt;=55,"Medium","Low"))</x:f>
        <x:v>Low</x:v>
      </x:c>
    </x:row>
    <x:row r="1475">
      <x:c r="A1475" t="n">
        <x:v>1474</x:v>
      </x:c>
      <x:c r="B1475" t="n">
        <x:v>10104</x:v>
      </x:c>
      <x:c r="C1475" s="16" t="n">
        <x:v>46156</x:v>
      </x:c>
      <x:c r="D1475" t="str">
        <x:v>04:14:00</x:v>
      </x:c>
      <x:c r="E1475" t="str">
        <x:v>Bank Transfer</x:v>
      </x:c>
      <x:c r="F1475" t="str">
        <x:v>Retail</x:v>
      </x:c>
      <x:c r="G1475" s="18" t="n">
        <x:v>76.38</x:v>
      </x:c>
      <x:c r="H1475" t="n">
        <x:v>0</x:v>
      </x:c>
      <x:c r="I1475" t="n">
        <x:v>0</x:v>
      </x:c>
      <x:c r="J1475" t="n">
        <x:v>0</x:v>
      </x:c>
      <x:c r="K1475" t="n">
        <x:v>1</x:v>
      </x:c>
      <x:c r="L1475" t="n">
        <x:v>25</x:v>
      </x:c>
      <x:c r="M1475" t="n">
        <x:v>0</x:v>
      </x:c>
      <x:c r="N1475" t="str">
        <x:v>Approved</x:v>
      </x:c>
      <x:c r="O1475" t="n">
        <x:v>0</x:v>
      </x:c>
      <x:c r="P1475" t="str">
        <x:f>IF(L1475&gt;=75,"High",IF(L1475&gt;=55,"Medium","Low"))</x:f>
        <x:v>Low</x:v>
      </x:c>
    </x:row>
    <x:row r="1476">
      <x:c r="A1476" t="n">
        <x:v>1475</x:v>
      </x:c>
      <x:c r="B1476" t="n">
        <x:v>10306</x:v>
      </x:c>
      <x:c r="C1476" s="16" t="n">
        <x:v>46214</x:v>
      </x:c>
      <x:c r="D1476" t="str">
        <x:v>00:48:00</x:v>
      </x:c>
      <x:c r="E1476" t="str">
        <x:v>Card</x:v>
      </x:c>
      <x:c r="F1476" t="str">
        <x:v>Subscriptions</x:v>
      </x:c>
      <x:c r="G1476" s="18" t="n">
        <x:v>61.27</x:v>
      </x:c>
      <x:c r="H1476" t="n">
        <x:v>0</x:v>
      </x:c>
      <x:c r="I1476" t="n">
        <x:v>0</x:v>
      </x:c>
      <x:c r="J1476" t="n">
        <x:v>0</x:v>
      </x:c>
      <x:c r="K1476" t="n">
        <x:v>1</x:v>
      </x:c>
      <x:c r="L1476" t="n">
        <x:v>25</x:v>
      </x:c>
      <x:c r="M1476" t="n">
        <x:v>0</x:v>
      </x:c>
      <x:c r="N1476" t="str">
        <x:v>Approved</x:v>
      </x:c>
      <x:c r="O1476" t="n">
        <x:v>0</x:v>
      </x:c>
      <x:c r="P1476" t="str">
        <x:f>IF(L1476&gt;=75,"High",IF(L1476&gt;=55,"Medium","Low"))</x:f>
        <x:v>Low</x:v>
      </x:c>
    </x:row>
    <x:row r="1477">
      <x:c r="A1477" t="n">
        <x:v>1476</x:v>
      </x:c>
      <x:c r="B1477" t="n">
        <x:v>10332</x:v>
      </x:c>
      <x:c r="C1477" s="16" t="n">
        <x:v>46129</x:v>
      </x:c>
      <x:c r="D1477" t="str">
        <x:v>11:07:00</x:v>
      </x:c>
      <x:c r="E1477" t="str">
        <x:v>Card</x:v>
      </x:c>
      <x:c r="F1477" t="str">
        <x:v>Subscriptions</x:v>
      </x:c>
      <x:c r="G1477" s="18" t="n">
        <x:v>173.7</x:v>
      </x:c>
      <x:c r="H1477" t="n">
        <x:v>0</x:v>
      </x:c>
      <x:c r="I1477" t="n">
        <x:v>0</x:v>
      </x:c>
      <x:c r="J1477" t="n">
        <x:v>0</x:v>
      </x:c>
      <x:c r="K1477" t="n">
        <x:v>0</x:v>
      </x:c>
      <x:c r="L1477" t="n">
        <x:v>10</x:v>
      </x:c>
      <x:c r="M1477" t="n">
        <x:v>0</x:v>
      </x:c>
      <x:c r="N1477" t="str">
        <x:v>Approved</x:v>
      </x:c>
      <x:c r="O1477" t="n">
        <x:v>0</x:v>
      </x:c>
      <x:c r="P1477" t="str">
        <x:f>IF(L1477&gt;=75,"High",IF(L1477&gt;=55,"Medium","Low"))</x:f>
        <x:v>Low</x:v>
      </x:c>
    </x:row>
    <x:row r="1478">
      <x:c r="A1478" t="n">
        <x:v>1477</x:v>
      </x:c>
      <x:c r="B1478" t="n">
        <x:v>10345</x:v>
      </x:c>
      <x:c r="C1478" s="16" t="n">
        <x:v>46271</x:v>
      </x:c>
      <x:c r="D1478" t="str">
        <x:v>02:16:00</x:v>
      </x:c>
      <x:c r="E1478" t="str">
        <x:v>Card</x:v>
      </x:c>
      <x:c r="F1478" t="str">
        <x:v>Retail</x:v>
      </x:c>
      <x:c r="G1478" s="18" t="n">
        <x:v>255.62</x:v>
      </x:c>
      <x:c r="H1478" t="n">
        <x:v>0</x:v>
      </x:c>
      <x:c r="I1478" t="n">
        <x:v>0</x:v>
      </x:c>
      <x:c r="J1478" t="n">
        <x:v>0</x:v>
      </x:c>
      <x:c r="K1478" t="n">
        <x:v>1</x:v>
      </x:c>
      <x:c r="L1478" t="n">
        <x:v>25</x:v>
      </x:c>
      <x:c r="M1478" t="n">
        <x:v>0</x:v>
      </x:c>
      <x:c r="N1478" t="str">
        <x:v>Approved</x:v>
      </x:c>
      <x:c r="O1478" t="n">
        <x:v>0</x:v>
      </x:c>
      <x:c r="P1478" t="str">
        <x:f>IF(L1478&gt;=75,"High",IF(L1478&gt;=55,"Medium","Low"))</x:f>
        <x:v>Low</x:v>
      </x:c>
    </x:row>
    <x:row r="1479">
      <x:c r="A1479" t="n">
        <x:v>1478</x:v>
      </x:c>
      <x:c r="B1479" t="n">
        <x:v>10054</x:v>
      </x:c>
      <x:c r="C1479" s="16" t="n">
        <x:v>46157</x:v>
      </x:c>
      <x:c r="D1479" t="str">
        <x:v>22:47:00</x:v>
      </x:c>
      <x:c r="E1479" t="str">
        <x:v>Card</x:v>
      </x:c>
      <x:c r="F1479" t="str">
        <x:v>Utilities</x:v>
      </x:c>
      <x:c r="G1479" s="18" t="n">
        <x:v>21.92</x:v>
      </x:c>
      <x:c r="H1479" t="n">
        <x:v>0</x:v>
      </x:c>
      <x:c r="I1479" t="n">
        <x:v>0</x:v>
      </x:c>
      <x:c r="J1479" t="n">
        <x:v>0</x:v>
      </x:c>
      <x:c r="K1479" t="n">
        <x:v>0</x:v>
      </x:c>
      <x:c r="L1479" t="n">
        <x:v>10</x:v>
      </x:c>
      <x:c r="M1479" t="n">
        <x:v>0</x:v>
      </x:c>
      <x:c r="N1479" t="str">
        <x:v>Approved</x:v>
      </x:c>
      <x:c r="O1479" t="n">
        <x:v>0</x:v>
      </x:c>
      <x:c r="P1479" t="str">
        <x:f>IF(L1479&gt;=75,"High",IF(L1479&gt;=55,"Medium","Low"))</x:f>
        <x:v>Low</x:v>
      </x:c>
    </x:row>
    <x:row r="1480">
      <x:c r="A1480" t="n">
        <x:v>1479</x:v>
      </x:c>
      <x:c r="B1480" t="n">
        <x:v>10224</x:v>
      </x:c>
      <x:c r="C1480" s="16" t="n">
        <x:v>46196</x:v>
      </x:c>
      <x:c r="D1480" t="str">
        <x:v>15:36:00</x:v>
      </x:c>
      <x:c r="E1480" t="str">
        <x:v>Card</x:v>
      </x:c>
      <x:c r="F1480" t="str">
        <x:v>Retail</x:v>
      </x:c>
      <x:c r="G1480" s="18" t="n">
        <x:v>91.41</x:v>
      </x:c>
      <x:c r="H1480" t="n">
        <x:v>0</x:v>
      </x:c>
      <x:c r="I1480" t="n">
        <x:v>0</x:v>
      </x:c>
      <x:c r="J1480" t="n">
        <x:v>0</x:v>
      </x:c>
      <x:c r="K1480" t="n">
        <x:v>0</x:v>
      </x:c>
      <x:c r="L1480" t="n">
        <x:v>10</x:v>
      </x:c>
      <x:c r="M1480" t="n">
        <x:v>0</x:v>
      </x:c>
      <x:c r="N1480" t="str">
        <x:v>Approved</x:v>
      </x:c>
      <x:c r="O1480" t="n">
        <x:v>0</x:v>
      </x:c>
      <x:c r="P1480" t="str">
        <x:f>IF(L1480&gt;=75,"High",IF(L1480&gt;=55,"Medium","Low"))</x:f>
        <x:v>Low</x:v>
      </x:c>
    </x:row>
    <x:row r="1481">
      <x:c r="A1481" t="n">
        <x:v>1480</x:v>
      </x:c>
      <x:c r="B1481" t="n">
        <x:v>10046</x:v>
      </x:c>
      <x:c r="C1481" s="16" t="n">
        <x:v>46200</x:v>
      </x:c>
      <x:c r="D1481" t="str">
        <x:v>11:13:00</x:v>
      </x:c>
      <x:c r="E1481" t="str">
        <x:v>Bank Transfer</x:v>
      </x:c>
      <x:c r="F1481" t="str">
        <x:v>Utilities</x:v>
      </x:c>
      <x:c r="G1481" s="18" t="n">
        <x:v>68.31</x:v>
      </x:c>
      <x:c r="H1481" t="n">
        <x:v>1</x:v>
      </x:c>
      <x:c r="I1481" t="n">
        <x:v>0</x:v>
      </x:c>
      <x:c r="J1481" t="n">
        <x:v>0</x:v>
      </x:c>
      <x:c r="K1481" t="n">
        <x:v>0</x:v>
      </x:c>
      <x:c r="L1481" t="n">
        <x:v>36</x:v>
      </x:c>
      <x:c r="M1481" t="n">
        <x:v>0</x:v>
      </x:c>
      <x:c r="N1481" t="str">
        <x:v>Approved</x:v>
      </x:c>
      <x:c r="O1481" t="n">
        <x:v>0</x:v>
      </x:c>
      <x:c r="P1481" t="str">
        <x:f>IF(L1481&gt;=75,"High",IF(L1481&gt;=55,"Medium","Low"))</x:f>
        <x:v>Low</x:v>
      </x:c>
    </x:row>
    <x:row r="1482">
      <x:c r="A1482" t="n">
        <x:v>1481</x:v>
      </x:c>
      <x:c r="B1482" t="n">
        <x:v>10271</x:v>
      </x:c>
      <x:c r="C1482" s="16" t="n">
        <x:v>46141</x:v>
      </x:c>
      <x:c r="D1482" t="str">
        <x:v>00:17:00</x:v>
      </x:c>
      <x:c r="E1482" t="str">
        <x:v>Card</x:v>
      </x:c>
      <x:c r="F1482" t="str">
        <x:v>Subscriptions</x:v>
      </x:c>
      <x:c r="G1482" s="18" t="n">
        <x:v>113.36</x:v>
      </x:c>
      <x:c r="H1482" t="n">
        <x:v>0</x:v>
      </x:c>
      <x:c r="I1482" t="n">
        <x:v>0</x:v>
      </x:c>
      <x:c r="J1482" t="n">
        <x:v>0</x:v>
      </x:c>
      <x:c r="K1482" t="n">
        <x:v>1</x:v>
      </x:c>
      <x:c r="L1482" t="n">
        <x:v>25</x:v>
      </x:c>
      <x:c r="M1482" t="n">
        <x:v>0</x:v>
      </x:c>
      <x:c r="N1482" t="str">
        <x:v>Approved</x:v>
      </x:c>
      <x:c r="O1482" t="n">
        <x:v>0</x:v>
      </x:c>
      <x:c r="P1482" t="str">
        <x:f>IF(L1482&gt;=75,"High",IF(L1482&gt;=55,"Medium","Low"))</x:f>
        <x:v>Low</x:v>
      </x:c>
    </x:row>
    <x:row r="1483">
      <x:c r="A1483" t="n">
        <x:v>1482</x:v>
      </x:c>
      <x:c r="B1483" t="n">
        <x:v>10349</x:v>
      </x:c>
      <x:c r="C1483" s="16" t="n">
        <x:v>46204</x:v>
      </x:c>
      <x:c r="D1483" t="str">
        <x:v>05:32:00</x:v>
      </x:c>
      <x:c r="E1483" t="str">
        <x:v>Bank Transfer</x:v>
      </x:c>
      <x:c r="F1483" t="str">
        <x:v>Dining</x:v>
      </x:c>
      <x:c r="G1483" s="18" t="n">
        <x:v>27.71</x:v>
      </x:c>
      <x:c r="H1483" t="n">
        <x:v>0</x:v>
      </x:c>
      <x:c r="I1483" t="n">
        <x:v>0</x:v>
      </x:c>
      <x:c r="J1483" t="n">
        <x:v>0</x:v>
      </x:c>
      <x:c r="K1483" t="n">
        <x:v>0</x:v>
      </x:c>
      <x:c r="L1483" t="n">
        <x:v>10</x:v>
      </x:c>
      <x:c r="M1483" t="n">
        <x:v>0</x:v>
      </x:c>
      <x:c r="N1483" t="str">
        <x:v>Approved</x:v>
      </x:c>
      <x:c r="O1483" t="n">
        <x:v>0</x:v>
      </x:c>
      <x:c r="P1483" t="str">
        <x:f>IF(L1483&gt;=75,"High",IF(L1483&gt;=55,"Medium","Low"))</x:f>
        <x:v>Low</x:v>
      </x:c>
    </x:row>
    <x:row r="1484">
      <x:c r="A1484" t="n">
        <x:v>1483</x:v>
      </x:c>
      <x:c r="B1484" t="n">
        <x:v>10081</x:v>
      </x:c>
      <x:c r="C1484" s="16" t="n">
        <x:v>46179</x:v>
      </x:c>
      <x:c r="D1484" t="str">
        <x:v>01:12:00</x:v>
      </x:c>
      <x:c r="E1484" t="str">
        <x:v>Bank Transfer</x:v>
      </x:c>
      <x:c r="F1484" t="str">
        <x:v>Transfer</x:v>
      </x:c>
      <x:c r="G1484" s="18" t="n">
        <x:v>50.37</x:v>
      </x:c>
      <x:c r="H1484" t="n">
        <x:v>0</x:v>
      </x:c>
      <x:c r="I1484" t="n">
        <x:v>0</x:v>
      </x:c>
      <x:c r="J1484" t="n">
        <x:v>0</x:v>
      </x:c>
      <x:c r="K1484" t="n">
        <x:v>1</x:v>
      </x:c>
      <x:c r="L1484" t="n">
        <x:v>25</x:v>
      </x:c>
      <x:c r="M1484" t="n">
        <x:v>0</x:v>
      </x:c>
      <x:c r="N1484" t="str">
        <x:v>Approved</x:v>
      </x:c>
      <x:c r="O1484" t="n">
        <x:v>0</x:v>
      </x:c>
      <x:c r="P1484" t="str">
        <x:f>IF(L1484&gt;=75,"High",IF(L1484&gt;=55,"Medium","Low"))</x:f>
        <x:v>Low</x:v>
      </x:c>
    </x:row>
    <x:row r="1485">
      <x:c r="A1485" t="n">
        <x:v>1484</x:v>
      </x:c>
      <x:c r="B1485" t="n">
        <x:v>10289</x:v>
      </x:c>
      <x:c r="C1485" s="16" t="n">
        <x:v>46244</x:v>
      </x:c>
      <x:c r="D1485" t="str">
        <x:v>19:37:00</x:v>
      </x:c>
      <x:c r="E1485" t="str">
        <x:v>Card</x:v>
      </x:c>
      <x:c r="F1485" t="str">
        <x:v>Retail</x:v>
      </x:c>
      <x:c r="G1485" s="18" t="n">
        <x:v>60.44</x:v>
      </x:c>
      <x:c r="H1485" t="n">
        <x:v>0</x:v>
      </x:c>
      <x:c r="I1485" t="n">
        <x:v>0</x:v>
      </x:c>
      <x:c r="J1485" t="n">
        <x:v>0</x:v>
      </x:c>
      <x:c r="K1485" t="n">
        <x:v>0</x:v>
      </x:c>
      <x:c r="L1485" t="n">
        <x:v>10</x:v>
      </x:c>
      <x:c r="M1485" t="n">
        <x:v>0</x:v>
      </x:c>
      <x:c r="N1485" t="str">
        <x:v>Declined</x:v>
      </x:c>
      <x:c r="O1485" t="n">
        <x:v>0</x:v>
      </x:c>
      <x:c r="P1485" t="str">
        <x:f>IF(L1485&gt;=75,"High",IF(L1485&gt;=55,"Medium","Low"))</x:f>
        <x:v>Low</x:v>
      </x:c>
    </x:row>
    <x:row r="1486">
      <x:c r="A1486" t="n">
        <x:v>1485</x:v>
      </x:c>
      <x:c r="B1486" t="n">
        <x:v>10028</x:v>
      </x:c>
      <x:c r="C1486" s="16" t="n">
        <x:v>46117</x:v>
      </x:c>
      <x:c r="D1486" t="str">
        <x:v>01:23:00</x:v>
      </x:c>
      <x:c r="E1486" t="str">
        <x:v>Card</x:v>
      </x:c>
      <x:c r="F1486" t="str">
        <x:v>Retail</x:v>
      </x:c>
      <x:c r="G1486" s="18" t="n">
        <x:v>51.31</x:v>
      </x:c>
      <x:c r="H1486" t="n">
        <x:v>0</x:v>
      </x:c>
      <x:c r="I1486" t="n">
        <x:v>0</x:v>
      </x:c>
      <x:c r="J1486" t="n">
        <x:v>0</x:v>
      </x:c>
      <x:c r="K1486" t="n">
        <x:v>1</x:v>
      </x:c>
      <x:c r="L1486" t="n">
        <x:v>25</x:v>
      </x:c>
      <x:c r="M1486" t="n">
        <x:v>0</x:v>
      </x:c>
      <x:c r="N1486" t="str">
        <x:v>Approved</x:v>
      </x:c>
      <x:c r="O1486" t="n">
        <x:v>0</x:v>
      </x:c>
      <x:c r="P1486" t="str">
        <x:f>IF(L1486&gt;=75,"High",IF(L1486&gt;=55,"Medium","Low"))</x:f>
        <x:v>Low</x:v>
      </x:c>
    </x:row>
    <x:row r="1487">
      <x:c r="A1487" t="n">
        <x:v>1486</x:v>
      </x:c>
      <x:c r="B1487" t="n">
        <x:v>10148</x:v>
      </x:c>
      <x:c r="C1487" s="16" t="n">
        <x:v>46172</x:v>
      </x:c>
      <x:c r="D1487" t="str">
        <x:v>23:34:00</x:v>
      </x:c>
      <x:c r="E1487" t="str">
        <x:v>Bank Transfer</x:v>
      </x:c>
      <x:c r="F1487" t="str">
        <x:v>Transfer</x:v>
      </x:c>
      <x:c r="G1487" s="18" t="n">
        <x:v>190.62</x:v>
      </x:c>
      <x:c r="H1487" t="n">
        <x:v>0</x:v>
      </x:c>
      <x:c r="I1487" t="n">
        <x:v>0</x:v>
      </x:c>
      <x:c r="J1487" t="n">
        <x:v>0</x:v>
      </x:c>
      <x:c r="K1487" t="n">
        <x:v>0</x:v>
      </x:c>
      <x:c r="L1487" t="n">
        <x:v>10</x:v>
      </x:c>
      <x:c r="M1487" t="n">
        <x:v>0</x:v>
      </x:c>
      <x:c r="N1487" t="str">
        <x:v>Approved</x:v>
      </x:c>
      <x:c r="O1487" t="n">
        <x:v>0</x:v>
      </x:c>
      <x:c r="P1487" t="str">
        <x:f>IF(L1487&gt;=75,"High",IF(L1487&gt;=55,"Medium","Low"))</x:f>
        <x:v>Low</x:v>
      </x:c>
    </x:row>
    <x:row r="1488">
      <x:c r="A1488" t="n">
        <x:v>1487</x:v>
      </x:c>
      <x:c r="B1488" t="n">
        <x:v>10105</x:v>
      </x:c>
      <x:c r="C1488" s="16" t="n">
        <x:v>46182</x:v>
      </x:c>
      <x:c r="D1488" t="str">
        <x:v>03:12:00</x:v>
      </x:c>
      <x:c r="E1488" t="str">
        <x:v>Bank Transfer</x:v>
      </x:c>
      <x:c r="F1488" t="str">
        <x:v>Dining</x:v>
      </x:c>
      <x:c r="G1488" s="18" t="n">
        <x:v>18.6</x:v>
      </x:c>
      <x:c r="H1488" t="n">
        <x:v>1</x:v>
      </x:c>
      <x:c r="I1488" t="n">
        <x:v>1</x:v>
      </x:c>
      <x:c r="J1488" t="n">
        <x:v>0</x:v>
      </x:c>
      <x:c r="K1488" t="n">
        <x:v>1</x:v>
      </x:c>
      <x:c r="L1488" t="n">
        <x:v>71</x:v>
      </x:c>
      <x:c r="M1488" t="n">
        <x:v>1</x:v>
      </x:c>
      <x:c r="N1488" t="str">
        <x:v>Approved</x:v>
      </x:c>
      <x:c r="O1488" t="n">
        <x:v>0</x:v>
      </x:c>
      <x:c r="P1488" t="str">
        <x:f>IF(L1488&gt;=75,"High",IF(L1488&gt;=55,"Medium","Low"))</x:f>
        <x:v>Medium</x:v>
      </x:c>
    </x:row>
    <x:row r="1489">
      <x:c r="A1489" t="n">
        <x:v>1488</x:v>
      </x:c>
      <x:c r="B1489" t="n">
        <x:v>10072</x:v>
      </x:c>
      <x:c r="C1489" s="16" t="n">
        <x:v>46158</x:v>
      </x:c>
      <x:c r="D1489" t="str">
        <x:v>05:38:00</x:v>
      </x:c>
      <x:c r="E1489" t="str">
        <x:v>Card</x:v>
      </x:c>
      <x:c r="F1489" t="str">
        <x:v>Utilities</x:v>
      </x:c>
      <x:c r="G1489" s="18" t="n">
        <x:v>176.04</x:v>
      </x:c>
      <x:c r="H1489" t="n">
        <x:v>0</x:v>
      </x:c>
      <x:c r="I1489" t="n">
        <x:v>0</x:v>
      </x:c>
      <x:c r="J1489" t="n">
        <x:v>0</x:v>
      </x:c>
      <x:c r="K1489" t="n">
        <x:v>0</x:v>
      </x:c>
      <x:c r="L1489" t="n">
        <x:v>10</x:v>
      </x:c>
      <x:c r="M1489" t="n">
        <x:v>0</x:v>
      </x:c>
      <x:c r="N1489" t="str">
        <x:v>Approved</x:v>
      </x:c>
      <x:c r="O1489" t="n">
        <x:v>0</x:v>
      </x:c>
      <x:c r="P1489" t="str">
        <x:f>IF(L1489&gt;=75,"High",IF(L1489&gt;=55,"Medium","Low"))</x:f>
        <x:v>Low</x:v>
      </x:c>
    </x:row>
    <x:row r="1490">
      <x:c r="A1490" t="n">
        <x:v>1489</x:v>
      </x:c>
      <x:c r="B1490" t="n">
        <x:v>10158</x:v>
      </x:c>
      <x:c r="C1490" s="16" t="n">
        <x:v>46181</x:v>
      </x:c>
      <x:c r="D1490" t="str">
        <x:v>11:23:00</x:v>
      </x:c>
      <x:c r="E1490" t="str">
        <x:v>Card</x:v>
      </x:c>
      <x:c r="F1490" t="str">
        <x:v>Transfer</x:v>
      </x:c>
      <x:c r="G1490" s="18" t="n">
        <x:v>36.4</x:v>
      </x:c>
      <x:c r="H1490" t="n">
        <x:v>0</x:v>
      </x:c>
      <x:c r="I1490" t="n">
        <x:v>0</x:v>
      </x:c>
      <x:c r="J1490" t="n">
        <x:v>0</x:v>
      </x:c>
      <x:c r="K1490" t="n">
        <x:v>0</x:v>
      </x:c>
      <x:c r="L1490" t="n">
        <x:v>10</x:v>
      </x:c>
      <x:c r="M1490" t="n">
        <x:v>0</x:v>
      </x:c>
      <x:c r="N1490" t="str">
        <x:v>Approved</x:v>
      </x:c>
      <x:c r="O1490" t="n">
        <x:v>0</x:v>
      </x:c>
      <x:c r="P1490" t="str">
        <x:f>IF(L1490&gt;=75,"High",IF(L1490&gt;=55,"Medium","Low"))</x:f>
        <x:v>Low</x:v>
      </x:c>
    </x:row>
    <x:row r="1491">
      <x:c r="A1491" t="n">
        <x:v>1490</x:v>
      </x:c>
      <x:c r="B1491" t="n">
        <x:v>10024</x:v>
      </x:c>
      <x:c r="C1491" s="16" t="n">
        <x:v>46183</x:v>
      </x:c>
      <x:c r="D1491" t="str">
        <x:v>02:31:00</x:v>
      </x:c>
      <x:c r="E1491" t="str">
        <x:v>P2P</x:v>
      </x:c>
      <x:c r="F1491" t="str">
        <x:v>Electronics</x:v>
      </x:c>
      <x:c r="G1491" s="18" t="n">
        <x:v>25.79</x:v>
      </x:c>
      <x:c r="H1491" t="n">
        <x:v>0</x:v>
      </x:c>
      <x:c r="I1491" t="n">
        <x:v>0</x:v>
      </x:c>
      <x:c r="J1491" t="n">
        <x:v>0</x:v>
      </x:c>
      <x:c r="K1491" t="n">
        <x:v>1</x:v>
      </x:c>
      <x:c r="L1491" t="n">
        <x:v>25</x:v>
      </x:c>
      <x:c r="M1491" t="n">
        <x:v>0</x:v>
      </x:c>
      <x:c r="N1491" t="str">
        <x:v>Approved</x:v>
      </x:c>
      <x:c r="O1491" t="n">
        <x:v>0</x:v>
      </x:c>
      <x:c r="P1491" t="str">
        <x:f>IF(L1491&gt;=75,"High",IF(L1491&gt;=55,"Medium","Low"))</x:f>
        <x:v>Low</x:v>
      </x:c>
    </x:row>
    <x:row r="1492">
      <x:c r="A1492" t="n">
        <x:v>1491</x:v>
      </x:c>
      <x:c r="B1492" t="n">
        <x:v>10163</x:v>
      </x:c>
      <x:c r="C1492" s="16" t="n">
        <x:v>46273</x:v>
      </x:c>
      <x:c r="D1492" t="str">
        <x:v>21:07:00</x:v>
      </x:c>
      <x:c r="E1492" t="str">
        <x:v>Bank Transfer</x:v>
      </x:c>
      <x:c r="F1492" t="str">
        <x:v>Transfer</x:v>
      </x:c>
      <x:c r="G1492" s="18" t="n">
        <x:v>39.48</x:v>
      </x:c>
      <x:c r="H1492" t="n">
        <x:v>0</x:v>
      </x:c>
      <x:c r="I1492" t="n">
        <x:v>0</x:v>
      </x:c>
      <x:c r="J1492" t="n">
        <x:v>0</x:v>
      </x:c>
      <x:c r="K1492" t="n">
        <x:v>0</x:v>
      </x:c>
      <x:c r="L1492" t="n">
        <x:v>10</x:v>
      </x:c>
      <x:c r="M1492" t="n">
        <x:v>0</x:v>
      </x:c>
      <x:c r="N1492" t="str">
        <x:v>Approved</x:v>
      </x:c>
      <x:c r="O1492" t="n">
        <x:v>0</x:v>
      </x:c>
      <x:c r="P1492" t="str">
        <x:f>IF(L1492&gt;=75,"High",IF(L1492&gt;=55,"Medium","Low"))</x:f>
        <x:v>Low</x:v>
      </x:c>
    </x:row>
    <x:row r="1493">
      <x:c r="A1493" t="n">
        <x:v>1492</x:v>
      </x:c>
      <x:c r="B1493" t="n">
        <x:v>10301</x:v>
      </x:c>
      <x:c r="C1493" s="16" t="n">
        <x:v>46178</x:v>
      </x:c>
      <x:c r="D1493" t="str">
        <x:v>15:59:00</x:v>
      </x:c>
      <x:c r="E1493" t="str">
        <x:v>P2P</x:v>
      </x:c>
      <x:c r="F1493" t="str">
        <x:v>Subscriptions</x:v>
      </x:c>
      <x:c r="G1493" s="18" t="n">
        <x:v>56.11</x:v>
      </x:c>
      <x:c r="H1493" t="n">
        <x:v>0</x:v>
      </x:c>
      <x:c r="I1493" t="n">
        <x:v>1</x:v>
      </x:c>
      <x:c r="J1493" t="n">
        <x:v>0</x:v>
      </x:c>
      <x:c r="K1493" t="n">
        <x:v>0</x:v>
      </x:c>
      <x:c r="L1493" t="n">
        <x:v>30</x:v>
      </x:c>
      <x:c r="M1493" t="n">
        <x:v>0</x:v>
      </x:c>
      <x:c r="N1493" t="str">
        <x:v>Approved</x:v>
      </x:c>
      <x:c r="O1493" t="n">
        <x:v>0</x:v>
      </x:c>
      <x:c r="P1493" t="str">
        <x:f>IF(L1493&gt;=75,"High",IF(L1493&gt;=55,"Medium","Low"))</x:f>
        <x:v>Low</x:v>
      </x:c>
    </x:row>
    <x:row r="1494">
      <x:c r="A1494" t="n">
        <x:v>1493</x:v>
      </x:c>
      <x:c r="B1494" t="n">
        <x:v>10185</x:v>
      </x:c>
      <x:c r="C1494" s="16" t="n">
        <x:v>46137</x:v>
      </x:c>
      <x:c r="D1494" t="str">
        <x:v>03:31:00</x:v>
      </x:c>
      <x:c r="E1494" t="str">
        <x:v>Card</x:v>
      </x:c>
      <x:c r="F1494" t="str">
        <x:v>Retail</x:v>
      </x:c>
      <x:c r="G1494" s="18" t="n">
        <x:v>179.88</x:v>
      </x:c>
      <x:c r="H1494" t="n">
        <x:v>0</x:v>
      </x:c>
      <x:c r="I1494" t="n">
        <x:v>1</x:v>
      </x:c>
      <x:c r="J1494" t="n">
        <x:v>0</x:v>
      </x:c>
      <x:c r="K1494" t="n">
        <x:v>1</x:v>
      </x:c>
      <x:c r="L1494" t="n">
        <x:v>45</x:v>
      </x:c>
      <x:c r="M1494" t="n">
        <x:v>0</x:v>
      </x:c>
      <x:c r="N1494" t="str">
        <x:v>Approved</x:v>
      </x:c>
      <x:c r="O1494" t="n">
        <x:v>0</x:v>
      </x:c>
      <x:c r="P1494" t="str">
        <x:f>IF(L1494&gt;=75,"High",IF(L1494&gt;=55,"Medium","Low"))</x:f>
        <x:v>Low</x:v>
      </x:c>
    </x:row>
    <x:row r="1495">
      <x:c r="A1495" t="n">
        <x:v>1494</x:v>
      </x:c>
      <x:c r="B1495" t="n">
        <x:v>10290</x:v>
      </x:c>
      <x:c r="C1495" s="16" t="n">
        <x:v>46151</x:v>
      </x:c>
      <x:c r="D1495" t="str">
        <x:v>05:09:00</x:v>
      </x:c>
      <x:c r="E1495" t="str">
        <x:v>Card</x:v>
      </x:c>
      <x:c r="F1495" t="str">
        <x:v>Dining</x:v>
      </x:c>
      <x:c r="G1495" s="18" t="n">
        <x:v>21.01</x:v>
      </x:c>
      <x:c r="H1495" t="n">
        <x:v>0</x:v>
      </x:c>
      <x:c r="I1495" t="n">
        <x:v>0</x:v>
      </x:c>
      <x:c r="J1495" t="n">
        <x:v>0</x:v>
      </x:c>
      <x:c r="K1495" t="n">
        <x:v>0</x:v>
      </x:c>
      <x:c r="L1495" t="n">
        <x:v>10</x:v>
      </x:c>
      <x:c r="M1495" t="n">
        <x:v>0</x:v>
      </x:c>
      <x:c r="N1495" t="str">
        <x:v>Approved</x:v>
      </x:c>
      <x:c r="O1495" t="n">
        <x:v>0</x:v>
      </x:c>
      <x:c r="P1495" t="str">
        <x:f>IF(L1495&gt;=75,"High",IF(L1495&gt;=55,"Medium","Low"))</x:f>
        <x:v>Low</x:v>
      </x:c>
    </x:row>
    <x:row r="1496">
      <x:c r="A1496" t="n">
        <x:v>1495</x:v>
      </x:c>
      <x:c r="B1496" t="n">
        <x:v>10037</x:v>
      </x:c>
      <x:c r="C1496" s="16" t="n">
        <x:v>46269</x:v>
      </x:c>
      <x:c r="D1496" t="str">
        <x:v>20:30:00</x:v>
      </x:c>
      <x:c r="E1496" t="str">
        <x:v>Card</x:v>
      </x:c>
      <x:c r="F1496" t="str">
        <x:v>Dining</x:v>
      </x:c>
      <x:c r="G1496" s="18" t="n">
        <x:v>94.37</x:v>
      </x:c>
      <x:c r="H1496" t="n">
        <x:v>1</x:v>
      </x:c>
      <x:c r="I1496" t="n">
        <x:v>0</x:v>
      </x:c>
      <x:c r="J1496" t="n">
        <x:v>0</x:v>
      </x:c>
      <x:c r="K1496" t="n">
        <x:v>0</x:v>
      </x:c>
      <x:c r="L1496" t="n">
        <x:v>36</x:v>
      </x:c>
      <x:c r="M1496" t="n">
        <x:v>0</x:v>
      </x:c>
      <x:c r="N1496" t="str">
        <x:v>Approved</x:v>
      </x:c>
      <x:c r="O1496" t="n">
        <x:v>0</x:v>
      </x:c>
      <x:c r="P1496" t="str">
        <x:f>IF(L1496&gt;=75,"High",IF(L1496&gt;=55,"Medium","Low"))</x:f>
        <x:v>Low</x:v>
      </x:c>
    </x:row>
    <x:row r="1497">
      <x:c r="A1497" t="n">
        <x:v>1496</x:v>
      </x:c>
      <x:c r="B1497" t="n">
        <x:v>10100</x:v>
      </x:c>
      <x:c r="C1497" s="16" t="n">
        <x:v>46156</x:v>
      </x:c>
      <x:c r="D1497" t="str">
        <x:v>00:32:00</x:v>
      </x:c>
      <x:c r="E1497" t="str">
        <x:v>Card</x:v>
      </x:c>
      <x:c r="F1497" t="str">
        <x:v>Utilities</x:v>
      </x:c>
      <x:c r="G1497" s="18" t="n">
        <x:v>247.54</x:v>
      </x:c>
      <x:c r="H1497" t="n">
        <x:v>0</x:v>
      </x:c>
      <x:c r="I1497" t="n">
        <x:v>0</x:v>
      </x:c>
      <x:c r="J1497" t="n">
        <x:v>0</x:v>
      </x:c>
      <x:c r="K1497" t="n">
        <x:v>1</x:v>
      </x:c>
      <x:c r="L1497" t="n">
        <x:v>25</x:v>
      </x:c>
      <x:c r="M1497" t="n">
        <x:v>0</x:v>
      </x:c>
      <x:c r="N1497" t="str">
        <x:v>Approved</x:v>
      </x:c>
      <x:c r="O1497" t="n">
        <x:v>0</x:v>
      </x:c>
      <x:c r="P1497" t="str">
        <x:f>IF(L1497&gt;=75,"High",IF(L1497&gt;=55,"Medium","Low"))</x:f>
        <x:v>Low</x:v>
      </x:c>
    </x:row>
    <x:row r="1498">
      <x:c r="A1498" t="n">
        <x:v>1497</x:v>
      </x:c>
      <x:c r="B1498" t="n">
        <x:v>10349</x:v>
      </x:c>
      <x:c r="C1498" s="16" t="n">
        <x:v>46218</x:v>
      </x:c>
      <x:c r="D1498" t="str">
        <x:v>06:29:00</x:v>
      </x:c>
      <x:c r="E1498" t="str">
        <x:v>Bank Transfer</x:v>
      </x:c>
      <x:c r="F1498" t="str">
        <x:v>Dining</x:v>
      </x:c>
      <x:c r="G1498" s="18" t="n">
        <x:v>223.88</x:v>
      </x:c>
      <x:c r="H1498" t="n">
        <x:v>0</x:v>
      </x:c>
      <x:c r="I1498" t="n">
        <x:v>0</x:v>
      </x:c>
      <x:c r="J1498" t="n">
        <x:v>0</x:v>
      </x:c>
      <x:c r="K1498" t="n">
        <x:v>0</x:v>
      </x:c>
      <x:c r="L1498" t="n">
        <x:v>10</x:v>
      </x:c>
      <x:c r="M1498" t="n">
        <x:v>0</x:v>
      </x:c>
      <x:c r="N1498" t="str">
        <x:v>Declined</x:v>
      </x:c>
      <x:c r="O1498" t="n">
        <x:v>0</x:v>
      </x:c>
      <x:c r="P1498" t="str">
        <x:f>IF(L1498&gt;=75,"High",IF(L1498&gt;=55,"Medium","Low"))</x:f>
        <x:v>Low</x:v>
      </x:c>
    </x:row>
    <x:row r="1499">
      <x:c r="A1499" t="n">
        <x:v>1498</x:v>
      </x:c>
      <x:c r="B1499" t="n">
        <x:v>10155</x:v>
      </x:c>
      <x:c r="C1499" s="16" t="n">
        <x:v>46227</x:v>
      </x:c>
      <x:c r="D1499" t="str">
        <x:v>09:41:00</x:v>
      </x:c>
      <x:c r="E1499" t="str">
        <x:v>Card</x:v>
      </x:c>
      <x:c r="F1499" t="str">
        <x:v>Dining</x:v>
      </x:c>
      <x:c r="G1499" s="18" t="n">
        <x:v>356.88</x:v>
      </x:c>
      <x:c r="H1499" t="n">
        <x:v>0</x:v>
      </x:c>
      <x:c r="I1499" t="n">
        <x:v>0</x:v>
      </x:c>
      <x:c r="J1499" t="n">
        <x:v>0</x:v>
      </x:c>
      <x:c r="K1499" t="n">
        <x:v>0</x:v>
      </x:c>
      <x:c r="L1499" t="n">
        <x:v>10</x:v>
      </x:c>
      <x:c r="M1499" t="n">
        <x:v>0</x:v>
      </x:c>
      <x:c r="N1499" t="str">
        <x:v>Declined</x:v>
      </x:c>
      <x:c r="O1499" t="n">
        <x:v>0</x:v>
      </x:c>
      <x:c r="P1499" t="str">
        <x:f>IF(L1499&gt;=75,"High",IF(L1499&gt;=55,"Medium","Low"))</x:f>
        <x:v>Low</x:v>
      </x:c>
    </x:row>
    <x:row r="1500">
      <x:c r="A1500" t="n">
        <x:v>1499</x:v>
      </x:c>
      <x:c r="B1500" t="n">
        <x:v>10072</x:v>
      </x:c>
      <x:c r="C1500" s="16" t="n">
        <x:v>46228</x:v>
      </x:c>
      <x:c r="D1500" t="str">
        <x:v>01:30:00</x:v>
      </x:c>
      <x:c r="E1500" t="str">
        <x:v>P2P</x:v>
      </x:c>
      <x:c r="F1500" t="str">
        <x:v>Transfer</x:v>
      </x:c>
      <x:c r="G1500" s="18" t="n">
        <x:v>159.8</x:v>
      </x:c>
      <x:c r="H1500" t="n">
        <x:v>1</x:v>
      </x:c>
      <x:c r="I1500" t="n">
        <x:v>0</x:v>
      </x:c>
      <x:c r="J1500" t="n">
        <x:v>0</x:v>
      </x:c>
      <x:c r="K1500" t="n">
        <x:v>1</x:v>
      </x:c>
      <x:c r="L1500" t="n">
        <x:v>51</x:v>
      </x:c>
      <x:c r="M1500" t="n">
        <x:v>0</x:v>
      </x:c>
      <x:c r="N1500" t="str">
        <x:v>Approved</x:v>
      </x:c>
      <x:c r="O1500" t="n">
        <x:v>0</x:v>
      </x:c>
      <x:c r="P1500" t="str">
        <x:f>IF(L1500&gt;=75,"High",IF(L1500&gt;=55,"Medium","Low"))</x:f>
        <x:v>Low</x:v>
      </x:c>
    </x:row>
    <x:row r="1501">
      <x:c r="A1501" t="n">
        <x:v>1500</x:v>
      </x:c>
      <x:c r="B1501" t="n">
        <x:v>10042</x:v>
      </x:c>
      <x:c r="C1501" s="16" t="n">
        <x:v>46197</x:v>
      </x:c>
      <x:c r="D1501" t="str">
        <x:v>00:59:00</x:v>
      </x:c>
      <x:c r="E1501" t="str">
        <x:v>Card</x:v>
      </x:c>
      <x:c r="F1501" t="str">
        <x:v>Electronics</x:v>
      </x:c>
      <x:c r="G1501" s="18" t="n">
        <x:v>85.53</x:v>
      </x:c>
      <x:c r="H1501" t="n">
        <x:v>0</x:v>
      </x:c>
      <x:c r="I1501" t="n">
        <x:v>0</x:v>
      </x:c>
      <x:c r="J1501" t="n">
        <x:v>0</x:v>
      </x:c>
      <x:c r="K1501" t="n">
        <x:v>1</x:v>
      </x:c>
      <x:c r="L1501" t="n">
        <x:v>25</x:v>
      </x:c>
      <x:c r="M1501" t="n">
        <x:v>0</x:v>
      </x:c>
      <x:c r="N1501" t="str">
        <x:v>Declined</x:v>
      </x:c>
      <x:c r="O1501" t="n">
        <x:v>0</x:v>
      </x:c>
      <x:c r="P1501" t="str">
        <x:f>IF(L1501&gt;=75,"High",IF(L1501&gt;=55,"Medium","Low"))</x:f>
        <x:v>Low</x:v>
      </x:c>
    </x:row>
    <x:row r="1502">
      <x:c r="A1502" t="n">
        <x:v>1501</x:v>
      </x:c>
      <x:c r="B1502" t="n">
        <x:v>10042</x:v>
      </x:c>
      <x:c r="C1502" s="16" t="n">
        <x:v>46124</x:v>
      </x:c>
      <x:c r="D1502" t="str">
        <x:v>00:00:00</x:v>
      </x:c>
      <x:c r="E1502" t="str">
        <x:v>Card</x:v>
      </x:c>
      <x:c r="F1502" t="str">
        <x:v>Subscriptions</x:v>
      </x:c>
      <x:c r="G1502" s="18" t="n">
        <x:v>134.2</x:v>
      </x:c>
      <x:c r="H1502" t="n">
        <x:v>0</x:v>
      </x:c>
      <x:c r="I1502" t="n">
        <x:v>0</x:v>
      </x:c>
      <x:c r="J1502" t="n">
        <x:v>0</x:v>
      </x:c>
      <x:c r="K1502" t="n">
        <x:v>1</x:v>
      </x:c>
      <x:c r="L1502" t="n">
        <x:v>25</x:v>
      </x:c>
      <x:c r="M1502" t="n">
        <x:v>0</x:v>
      </x:c>
      <x:c r="N1502" t="str">
        <x:v>Approved</x:v>
      </x:c>
      <x:c r="O1502" t="n">
        <x:v>0</x:v>
      </x:c>
      <x:c r="P1502" t="str">
        <x:f>IF(L1502&gt;=75,"High",IF(L1502&gt;=55,"Medium","Low"))</x:f>
        <x:v>Low</x:v>
      </x:c>
    </x:row>
    <x:row r="1503">
      <x:c r="A1503" t="n">
        <x:v>1502</x:v>
      </x:c>
      <x:c r="B1503" t="n">
        <x:v>10069</x:v>
      </x:c>
      <x:c r="C1503" s="16" t="n">
        <x:v>46275</x:v>
      </x:c>
      <x:c r="D1503" t="str">
        <x:v>03:26:00</x:v>
      </x:c>
      <x:c r="E1503" t="str">
        <x:v>Card</x:v>
      </x:c>
      <x:c r="F1503" t="str">
        <x:v>Subscriptions</x:v>
      </x:c>
      <x:c r="G1503" s="18" t="n">
        <x:v>43.83</x:v>
      </x:c>
      <x:c r="H1503" t="n">
        <x:v>1</x:v>
      </x:c>
      <x:c r="I1503" t="n">
        <x:v>0</x:v>
      </x:c>
      <x:c r="J1503" t="n">
        <x:v>0</x:v>
      </x:c>
      <x:c r="K1503" t="n">
        <x:v>1</x:v>
      </x:c>
      <x:c r="L1503" t="n">
        <x:v>51</x:v>
      </x:c>
      <x:c r="M1503" t="n">
        <x:v>0</x:v>
      </x:c>
      <x:c r="N1503" t="str">
        <x:v>Declined</x:v>
      </x:c>
      <x:c r="O1503" t="n">
        <x:v>0</x:v>
      </x:c>
      <x:c r="P1503" t="str">
        <x:f>IF(L1503&gt;=75,"High",IF(L1503&gt;=55,"Medium","Low"))</x:f>
        <x:v>Low</x:v>
      </x:c>
    </x:row>
    <x:row r="1504">
      <x:c r="A1504" t="n">
        <x:v>1503</x:v>
      </x:c>
      <x:c r="B1504" t="n">
        <x:v>10007</x:v>
      </x:c>
      <x:c r="C1504" s="16" t="n">
        <x:v>46123</x:v>
      </x:c>
      <x:c r="D1504" t="str">
        <x:v>19:36:00</x:v>
      </x:c>
      <x:c r="E1504" t="str">
        <x:v>Card</x:v>
      </x:c>
      <x:c r="F1504" t="str">
        <x:v>Retail</x:v>
      </x:c>
      <x:c r="G1504" s="18" t="n">
        <x:v>19.11</x:v>
      </x:c>
      <x:c r="H1504" t="n">
        <x:v>0</x:v>
      </x:c>
      <x:c r="I1504" t="n">
        <x:v>0</x:v>
      </x:c>
      <x:c r="J1504" t="n">
        <x:v>0</x:v>
      </x:c>
      <x:c r="K1504" t="n">
        <x:v>0</x:v>
      </x:c>
      <x:c r="L1504" t="n">
        <x:v>10</x:v>
      </x:c>
      <x:c r="M1504" t="n">
        <x:v>0</x:v>
      </x:c>
      <x:c r="N1504" t="str">
        <x:v>Approved</x:v>
      </x:c>
      <x:c r="O1504" t="n">
        <x:v>0</x:v>
      </x:c>
      <x:c r="P1504" t="str">
        <x:f>IF(L1504&gt;=75,"High",IF(L1504&gt;=55,"Medium","Low"))</x:f>
        <x:v>Low</x:v>
      </x:c>
    </x:row>
    <x:row r="1505">
      <x:c r="A1505" t="n">
        <x:v>1504</x:v>
      </x:c>
      <x:c r="B1505" t="n">
        <x:v>10024</x:v>
      </x:c>
      <x:c r="C1505" s="16" t="n">
        <x:v>46149</x:v>
      </x:c>
      <x:c r="D1505" t="str">
        <x:v>07:28:00</x:v>
      </x:c>
      <x:c r="E1505" t="str">
        <x:v>Card</x:v>
      </x:c>
      <x:c r="F1505" t="str">
        <x:v>Utilities</x:v>
      </x:c>
      <x:c r="G1505" s="18" t="n">
        <x:v>264.73</x:v>
      </x:c>
      <x:c r="H1505" t="n">
        <x:v>0</x:v>
      </x:c>
      <x:c r="I1505" t="n">
        <x:v>0</x:v>
      </x:c>
      <x:c r="J1505" t="n">
        <x:v>0</x:v>
      </x:c>
      <x:c r="K1505" t="n">
        <x:v>0</x:v>
      </x:c>
      <x:c r="L1505" t="n">
        <x:v>10</x:v>
      </x:c>
      <x:c r="M1505" t="n">
        <x:v>0</x:v>
      </x:c>
      <x:c r="N1505" t="str">
        <x:v>Approved</x:v>
      </x:c>
      <x:c r="O1505" t="n">
        <x:v>0</x:v>
      </x:c>
      <x:c r="P1505" t="str">
        <x:f>IF(L1505&gt;=75,"High",IF(L1505&gt;=55,"Medium","Low"))</x:f>
        <x:v>Low</x:v>
      </x:c>
    </x:row>
    <x:row r="1506">
      <x:c r="A1506" t="n">
        <x:v>1505</x:v>
      </x:c>
      <x:c r="B1506" t="n">
        <x:v>10173</x:v>
      </x:c>
      <x:c r="C1506" s="16" t="n">
        <x:v>46120</x:v>
      </x:c>
      <x:c r="D1506" t="str">
        <x:v>00:20:00</x:v>
      </x:c>
      <x:c r="E1506" t="str">
        <x:v>P2P</x:v>
      </x:c>
      <x:c r="F1506" t="str">
        <x:v>Utilities</x:v>
      </x:c>
      <x:c r="G1506" s="18" t="n">
        <x:v>111.2</x:v>
      </x:c>
      <x:c r="H1506" t="n">
        <x:v>0</x:v>
      </x:c>
      <x:c r="I1506" t="n">
        <x:v>0</x:v>
      </x:c>
      <x:c r="J1506" t="n">
        <x:v>0</x:v>
      </x:c>
      <x:c r="K1506" t="n">
        <x:v>1</x:v>
      </x:c>
      <x:c r="L1506" t="n">
        <x:v>25</x:v>
      </x:c>
      <x:c r="M1506" t="n">
        <x:v>0</x:v>
      </x:c>
      <x:c r="N1506" t="str">
        <x:v>Approved</x:v>
      </x:c>
      <x:c r="O1506" t="n">
        <x:v>0</x:v>
      </x:c>
      <x:c r="P1506" t="str">
        <x:f>IF(L1506&gt;=75,"High",IF(L1506&gt;=55,"Medium","Low"))</x:f>
        <x:v>Low</x:v>
      </x:c>
    </x:row>
    <x:row r="1507">
      <x:c r="A1507" t="n">
        <x:v>1506</x:v>
      </x:c>
      <x:c r="B1507" t="n">
        <x:v>10310</x:v>
      </x:c>
      <x:c r="C1507" s="16" t="n">
        <x:v>46163</x:v>
      </x:c>
      <x:c r="D1507" t="str">
        <x:v>21:39:00</x:v>
      </x:c>
      <x:c r="E1507" t="str">
        <x:v>Bank Transfer</x:v>
      </x:c>
      <x:c r="F1507" t="str">
        <x:v>Utilities</x:v>
      </x:c>
      <x:c r="G1507" s="18" t="n">
        <x:v>24.86</x:v>
      </x:c>
      <x:c r="H1507" t="n">
        <x:v>0</x:v>
      </x:c>
      <x:c r="I1507" t="n">
        <x:v>0</x:v>
      </x:c>
      <x:c r="J1507" t="n">
        <x:v>0</x:v>
      </x:c>
      <x:c r="K1507" t="n">
        <x:v>0</x:v>
      </x:c>
      <x:c r="L1507" t="n">
        <x:v>10</x:v>
      </x:c>
      <x:c r="M1507" t="n">
        <x:v>0</x:v>
      </x:c>
      <x:c r="N1507" t="str">
        <x:v>Approved</x:v>
      </x:c>
      <x:c r="O1507" t="n">
        <x:v>0</x:v>
      </x:c>
      <x:c r="P1507" t="str">
        <x:f>IF(L1507&gt;=75,"High",IF(L1507&gt;=55,"Medium","Low"))</x:f>
        <x:v>Low</x:v>
      </x:c>
    </x:row>
    <x:row r="1508">
      <x:c r="A1508" t="n">
        <x:v>1507</x:v>
      </x:c>
      <x:c r="B1508" t="n">
        <x:v>10053</x:v>
      </x:c>
      <x:c r="C1508" s="16" t="n">
        <x:v>46121</x:v>
      </x:c>
      <x:c r="D1508" t="str">
        <x:v>14:57:00</x:v>
      </x:c>
      <x:c r="E1508" t="str">
        <x:v>P2P</x:v>
      </x:c>
      <x:c r="F1508" t="str">
        <x:v>Retail</x:v>
      </x:c>
      <x:c r="G1508" s="18" t="n">
        <x:v>66.85</x:v>
      </x:c>
      <x:c r="H1508" t="n">
        <x:v>0</x:v>
      </x:c>
      <x:c r="I1508" t="n">
        <x:v>0</x:v>
      </x:c>
      <x:c r="J1508" t="n">
        <x:v>0</x:v>
      </x:c>
      <x:c r="K1508" t="n">
        <x:v>0</x:v>
      </x:c>
      <x:c r="L1508" t="n">
        <x:v>10</x:v>
      </x:c>
      <x:c r="M1508" t="n">
        <x:v>0</x:v>
      </x:c>
      <x:c r="N1508" t="str">
        <x:v>Approved</x:v>
      </x:c>
      <x:c r="O1508" t="n">
        <x:v>0</x:v>
      </x:c>
      <x:c r="P1508" t="str">
        <x:f>IF(L1508&gt;=75,"High",IF(L1508&gt;=55,"Medium","Low"))</x:f>
        <x:v>Low</x:v>
      </x:c>
    </x:row>
    <x:row r="1509">
      <x:c r="A1509" t="n">
        <x:v>1508</x:v>
      </x:c>
      <x:c r="B1509" t="n">
        <x:v>10182</x:v>
      </x:c>
      <x:c r="C1509" s="16" t="n">
        <x:v>46207</x:v>
      </x:c>
      <x:c r="D1509" t="str">
        <x:v>09:54:00</x:v>
      </x:c>
      <x:c r="E1509" t="str">
        <x:v>Bank Transfer</x:v>
      </x:c>
      <x:c r="F1509" t="str">
        <x:v>Utilities</x:v>
      </x:c>
      <x:c r="G1509" s="18" t="n">
        <x:v>374.06</x:v>
      </x:c>
      <x:c r="H1509" t="n">
        <x:v>1</x:v>
      </x:c>
      <x:c r="I1509" t="n">
        <x:v>0</x:v>
      </x:c>
      <x:c r="J1509" t="n">
        <x:v>0</x:v>
      </x:c>
      <x:c r="K1509" t="n">
        <x:v>0</x:v>
      </x:c>
      <x:c r="L1509" t="n">
        <x:v>36</x:v>
      </x:c>
      <x:c r="M1509" t="n">
        <x:v>0</x:v>
      </x:c>
      <x:c r="N1509" t="str">
        <x:v>Approved</x:v>
      </x:c>
      <x:c r="O1509" t="n">
        <x:v>0</x:v>
      </x:c>
      <x:c r="P1509" t="str">
        <x:f>IF(L1509&gt;=75,"High",IF(L1509&gt;=55,"Medium","Low"))</x:f>
        <x:v>Low</x:v>
      </x:c>
    </x:row>
    <x:row r="1510">
      <x:c r="A1510" t="n">
        <x:v>1509</x:v>
      </x:c>
      <x:c r="B1510" t="n">
        <x:v>10088</x:v>
      </x:c>
      <x:c r="C1510" s="16" t="n">
        <x:v>46165</x:v>
      </x:c>
      <x:c r="D1510" t="str">
        <x:v>20:52:00</x:v>
      </x:c>
      <x:c r="E1510" t="str">
        <x:v>Card</x:v>
      </x:c>
      <x:c r="F1510" t="str">
        <x:v>Electronics</x:v>
      </x:c>
      <x:c r="G1510" s="18" t="n">
        <x:v>415.4</x:v>
      </x:c>
      <x:c r="H1510" t="n">
        <x:v>0</x:v>
      </x:c>
      <x:c r="I1510" t="n">
        <x:v>0</x:v>
      </x:c>
      <x:c r="J1510" t="n">
        <x:v>0</x:v>
      </x:c>
      <x:c r="K1510" t="n">
        <x:v>0</x:v>
      </x:c>
      <x:c r="L1510" t="n">
        <x:v>10</x:v>
      </x:c>
      <x:c r="M1510" t="n">
        <x:v>0</x:v>
      </x:c>
      <x:c r="N1510" t="str">
        <x:v>Approved</x:v>
      </x:c>
      <x:c r="O1510" t="n">
        <x:v>0</x:v>
      </x:c>
      <x:c r="P1510" t="str">
        <x:f>IF(L1510&gt;=75,"High",IF(L1510&gt;=55,"Medium","Low"))</x:f>
        <x:v>Low</x:v>
      </x:c>
    </x:row>
    <x:row r="1511">
      <x:c r="A1511" t="n">
        <x:v>1510</x:v>
      </x:c>
      <x:c r="B1511" t="n">
        <x:v>10333</x:v>
      </x:c>
      <x:c r="C1511" s="16" t="n">
        <x:v>46159</x:v>
      </x:c>
      <x:c r="D1511" t="str">
        <x:v>12:58:00</x:v>
      </x:c>
      <x:c r="E1511" t="str">
        <x:v>Card</x:v>
      </x:c>
      <x:c r="F1511" t="str">
        <x:v>Travel</x:v>
      </x:c>
      <x:c r="G1511" s="18" t="n">
        <x:v>63.55</x:v>
      </x:c>
      <x:c r="H1511" t="n">
        <x:v>0</x:v>
      </x:c>
      <x:c r="I1511" t="n">
        <x:v>0</x:v>
      </x:c>
      <x:c r="J1511" t="n">
        <x:v>0</x:v>
      </x:c>
      <x:c r="K1511" t="n">
        <x:v>0</x:v>
      </x:c>
      <x:c r="L1511" t="n">
        <x:v>10</x:v>
      </x:c>
      <x:c r="M1511" t="n">
        <x:v>0</x:v>
      </x:c>
      <x:c r="N1511" t="str">
        <x:v>Declined</x:v>
      </x:c>
      <x:c r="O1511" t="n">
        <x:v>0</x:v>
      </x:c>
      <x:c r="P1511" t="str">
        <x:f>IF(L1511&gt;=75,"High",IF(L1511&gt;=55,"Medium","Low"))</x:f>
        <x:v>Low</x:v>
      </x:c>
    </x:row>
    <x:row r="1512">
      <x:c r="A1512" t="n">
        <x:v>1511</x:v>
      </x:c>
      <x:c r="B1512" t="n">
        <x:v>10132</x:v>
      </x:c>
      <x:c r="C1512" s="16" t="n">
        <x:v>46129</x:v>
      </x:c>
      <x:c r="D1512" t="str">
        <x:v>04:22:00</x:v>
      </x:c>
      <x:c r="E1512" t="str">
        <x:v>Card</x:v>
      </x:c>
      <x:c r="F1512" t="str">
        <x:v>Dining</x:v>
      </x:c>
      <x:c r="G1512" s="18" t="n">
        <x:v>36.36</x:v>
      </x:c>
      <x:c r="H1512" t="n">
        <x:v>0</x:v>
      </x:c>
      <x:c r="I1512" t="n">
        <x:v>0</x:v>
      </x:c>
      <x:c r="J1512" t="n">
        <x:v>0</x:v>
      </x:c>
      <x:c r="K1512" t="n">
        <x:v>1</x:v>
      </x:c>
      <x:c r="L1512" t="n">
        <x:v>25</x:v>
      </x:c>
      <x:c r="M1512" t="n">
        <x:v>0</x:v>
      </x:c>
      <x:c r="N1512" t="str">
        <x:v>Approved</x:v>
      </x:c>
      <x:c r="O1512" t="n">
        <x:v>0</x:v>
      </x:c>
      <x:c r="P1512" t="str">
        <x:f>IF(L1512&gt;=75,"High",IF(L1512&gt;=55,"Medium","Low"))</x:f>
        <x:v>Low</x:v>
      </x:c>
    </x:row>
    <x:row r="1513">
      <x:c r="A1513" t="n">
        <x:v>1512</x:v>
      </x:c>
      <x:c r="B1513" t="n">
        <x:v>10184</x:v>
      </x:c>
      <x:c r="C1513" s="16" t="n">
        <x:v>46205</x:v>
      </x:c>
      <x:c r="D1513" t="str">
        <x:v>04:30:00</x:v>
      </x:c>
      <x:c r="E1513" t="str">
        <x:v>Bank Transfer</x:v>
      </x:c>
      <x:c r="F1513" t="str">
        <x:v>Retail</x:v>
      </x:c>
      <x:c r="G1513" s="18" t="n">
        <x:v>976.54</x:v>
      </x:c>
      <x:c r="H1513" t="n">
        <x:v>0</x:v>
      </x:c>
      <x:c r="I1513" t="n">
        <x:v>1</x:v>
      </x:c>
      <x:c r="J1513" t="n">
        <x:v>1</x:v>
      </x:c>
      <x:c r="K1513" t="n">
        <x:v>1</x:v>
      </x:c>
      <x:c r="L1513" t="n">
        <x:v>79</x:v>
      </x:c>
      <x:c r="M1513" t="n">
        <x:v>1</x:v>
      </x:c>
      <x:c r="N1513" t="str">
        <x:v>Approved</x:v>
      </x:c>
      <x:c r="O1513" t="n">
        <x:v>0</x:v>
      </x:c>
      <x:c r="P1513" t="str">
        <x:f>IF(L1513&gt;=75,"High",IF(L1513&gt;=55,"Medium","Low"))</x:f>
        <x:v>High</x:v>
      </x:c>
    </x:row>
    <x:row r="1514">
      <x:c r="A1514" t="n">
        <x:v>1513</x:v>
      </x:c>
      <x:c r="B1514" t="n">
        <x:v>10072</x:v>
      </x:c>
      <x:c r="C1514" s="16" t="n">
        <x:v>46170</x:v>
      </x:c>
      <x:c r="D1514" t="str">
        <x:v>07:07:00</x:v>
      </x:c>
      <x:c r="E1514" t="str">
        <x:v>Card</x:v>
      </x:c>
      <x:c r="F1514" t="str">
        <x:v>Transfer</x:v>
      </x:c>
      <x:c r="G1514" s="18" t="n">
        <x:v>28.1</x:v>
      </x:c>
      <x:c r="H1514" t="n">
        <x:v>0</x:v>
      </x:c>
      <x:c r="I1514" t="n">
        <x:v>0</x:v>
      </x:c>
      <x:c r="J1514" t="n">
        <x:v>0</x:v>
      </x:c>
      <x:c r="K1514" t="n">
        <x:v>0</x:v>
      </x:c>
      <x:c r="L1514" t="n">
        <x:v>10</x:v>
      </x:c>
      <x:c r="M1514" t="n">
        <x:v>0</x:v>
      </x:c>
      <x:c r="N1514" t="str">
        <x:v>Approved</x:v>
      </x:c>
      <x:c r="O1514" t="n">
        <x:v>0</x:v>
      </x:c>
      <x:c r="P1514" t="str">
        <x:f>IF(L1514&gt;=75,"High",IF(L1514&gt;=55,"Medium","Low"))</x:f>
        <x:v>Low</x:v>
      </x:c>
    </x:row>
    <x:row r="1515">
      <x:c r="A1515" t="n">
        <x:v>1514</x:v>
      </x:c>
      <x:c r="B1515" t="n">
        <x:v>10062</x:v>
      </x:c>
      <x:c r="C1515" s="16" t="n">
        <x:v>46262</x:v>
      </x:c>
      <x:c r="D1515" t="str">
        <x:v>03:27:00</x:v>
      </x:c>
      <x:c r="E1515" t="str">
        <x:v>Card</x:v>
      </x:c>
      <x:c r="F1515" t="str">
        <x:v>Travel</x:v>
      </x:c>
      <x:c r="G1515" s="18" t="n">
        <x:v>56.01</x:v>
      </x:c>
      <x:c r="H1515" t="n">
        <x:v>0</x:v>
      </x:c>
      <x:c r="I1515" t="n">
        <x:v>0</x:v>
      </x:c>
      <x:c r="J1515" t="n">
        <x:v>0</x:v>
      </x:c>
      <x:c r="K1515" t="n">
        <x:v>1</x:v>
      </x:c>
      <x:c r="L1515" t="n">
        <x:v>25</x:v>
      </x:c>
      <x:c r="M1515" t="n">
        <x:v>0</x:v>
      </x:c>
      <x:c r="N1515" t="str">
        <x:v>Approved</x:v>
      </x:c>
      <x:c r="O1515" t="n">
        <x:v>0</x:v>
      </x:c>
      <x:c r="P1515" t="str">
        <x:f>IF(L1515&gt;=75,"High",IF(L1515&gt;=55,"Medium","Low"))</x:f>
        <x:v>Low</x:v>
      </x:c>
    </x:row>
    <x:row r="1516">
      <x:c r="A1516" t="n">
        <x:v>1515</x:v>
      </x:c>
      <x:c r="B1516" t="n">
        <x:v>10089</x:v>
      </x:c>
      <x:c r="C1516" s="16" t="n">
        <x:v>46158</x:v>
      </x:c>
      <x:c r="D1516" t="str">
        <x:v>15:45:00</x:v>
      </x:c>
      <x:c r="E1516" t="str">
        <x:v>Card</x:v>
      </x:c>
      <x:c r="F1516" t="str">
        <x:v>Travel</x:v>
      </x:c>
      <x:c r="G1516" s="18" t="n">
        <x:v>7.71</x:v>
      </x:c>
      <x:c r="H1516" t="n">
        <x:v>0</x:v>
      </x:c>
      <x:c r="I1516" t="n">
        <x:v>0</x:v>
      </x:c>
      <x:c r="J1516" t="n">
        <x:v>0</x:v>
      </x:c>
      <x:c r="K1516" t="n">
        <x:v>0</x:v>
      </x:c>
      <x:c r="L1516" t="n">
        <x:v>10</x:v>
      </x:c>
      <x:c r="M1516" t="n">
        <x:v>0</x:v>
      </x:c>
      <x:c r="N1516" t="str">
        <x:v>Approved</x:v>
      </x:c>
      <x:c r="O1516" t="n">
        <x:v>0</x:v>
      </x:c>
      <x:c r="P1516" t="str">
        <x:f>IF(L1516&gt;=75,"High",IF(L1516&gt;=55,"Medium","Low"))</x:f>
        <x:v>Low</x:v>
      </x:c>
    </x:row>
    <x:row r="1517">
      <x:c r="A1517" t="n">
        <x:v>1516</x:v>
      </x:c>
      <x:c r="B1517" t="n">
        <x:v>10103</x:v>
      </x:c>
      <x:c r="C1517" s="16" t="n">
        <x:v>46210</x:v>
      </x:c>
      <x:c r="D1517" t="str">
        <x:v>21:34:00</x:v>
      </x:c>
      <x:c r="E1517" t="str">
        <x:v>Bank Transfer</x:v>
      </x:c>
      <x:c r="F1517" t="str">
        <x:v>Dining</x:v>
      </x:c>
      <x:c r="G1517" s="18" t="n">
        <x:v>15.02</x:v>
      </x:c>
      <x:c r="H1517" t="n">
        <x:v>0</x:v>
      </x:c>
      <x:c r="I1517" t="n">
        <x:v>0</x:v>
      </x:c>
      <x:c r="J1517" t="n">
        <x:v>0</x:v>
      </x:c>
      <x:c r="K1517" t="n">
        <x:v>0</x:v>
      </x:c>
      <x:c r="L1517" t="n">
        <x:v>10</x:v>
      </x:c>
      <x:c r="M1517" t="n">
        <x:v>0</x:v>
      </x:c>
      <x:c r="N1517" t="str">
        <x:v>Approved</x:v>
      </x:c>
      <x:c r="O1517" t="n">
        <x:v>0</x:v>
      </x:c>
      <x:c r="P1517" t="str">
        <x:f>IF(L1517&gt;=75,"High",IF(L1517&gt;=55,"Medium","Low"))</x:f>
        <x:v>Low</x:v>
      </x:c>
    </x:row>
    <x:row r="1518">
      <x:c r="A1518" t="n">
        <x:v>1517</x:v>
      </x:c>
      <x:c r="B1518" t="n">
        <x:v>10290</x:v>
      </x:c>
      <x:c r="C1518" s="16" t="n">
        <x:v>46151</x:v>
      </x:c>
      <x:c r="D1518" t="str">
        <x:v>19:14:00</x:v>
      </x:c>
      <x:c r="E1518" t="str">
        <x:v>Card</x:v>
      </x:c>
      <x:c r="F1518" t="str">
        <x:v>Dining</x:v>
      </x:c>
      <x:c r="G1518" s="18" t="n">
        <x:v>155.39</x:v>
      </x:c>
      <x:c r="H1518" t="n">
        <x:v>0</x:v>
      </x:c>
      <x:c r="I1518" t="n">
        <x:v>0</x:v>
      </x:c>
      <x:c r="J1518" t="n">
        <x:v>0</x:v>
      </x:c>
      <x:c r="K1518" t="n">
        <x:v>0</x:v>
      </x:c>
      <x:c r="L1518" t="n">
        <x:v>10</x:v>
      </x:c>
      <x:c r="M1518" t="n">
        <x:v>0</x:v>
      </x:c>
      <x:c r="N1518" t="str">
        <x:v>Approved</x:v>
      </x:c>
      <x:c r="O1518" t="n">
        <x:v>0</x:v>
      </x:c>
      <x:c r="P1518" t="str">
        <x:f>IF(L1518&gt;=75,"High",IF(L1518&gt;=55,"Medium","Low"))</x:f>
        <x:v>Low</x:v>
      </x:c>
    </x:row>
    <x:row r="1519">
      <x:c r="A1519" t="n">
        <x:v>1518</x:v>
      </x:c>
      <x:c r="B1519" t="n">
        <x:v>10302</x:v>
      </x:c>
      <x:c r="C1519" s="16" t="n">
        <x:v>46128</x:v>
      </x:c>
      <x:c r="D1519" t="str">
        <x:v>20:52:00</x:v>
      </x:c>
      <x:c r="E1519" t="str">
        <x:v>Card</x:v>
      </x:c>
      <x:c r="F1519" t="str">
        <x:v>Electronics</x:v>
      </x:c>
      <x:c r="G1519" s="18" t="n">
        <x:v>195.34</x:v>
      </x:c>
      <x:c r="H1519" t="n">
        <x:v>0</x:v>
      </x:c>
      <x:c r="I1519" t="n">
        <x:v>0</x:v>
      </x:c>
      <x:c r="J1519" t="n">
        <x:v>0</x:v>
      </x:c>
      <x:c r="K1519" t="n">
        <x:v>0</x:v>
      </x:c>
      <x:c r="L1519" t="n">
        <x:v>10</x:v>
      </x:c>
      <x:c r="M1519" t="n">
        <x:v>0</x:v>
      </x:c>
      <x:c r="N1519" t="str">
        <x:v>Approved</x:v>
      </x:c>
      <x:c r="O1519" t="n">
        <x:v>0</x:v>
      </x:c>
      <x:c r="P1519" t="str">
        <x:f>IF(L1519&gt;=75,"High",IF(L1519&gt;=55,"Medium","Low"))</x:f>
        <x:v>Low</x:v>
      </x:c>
    </x:row>
    <x:row r="1520">
      <x:c r="A1520" t="n">
        <x:v>1519</x:v>
      </x:c>
      <x:c r="B1520" t="n">
        <x:v>10333</x:v>
      </x:c>
      <x:c r="C1520" s="16" t="n">
        <x:v>46281</x:v>
      </x:c>
      <x:c r="D1520" t="str">
        <x:v>18:42:00</x:v>
      </x:c>
      <x:c r="E1520" t="str">
        <x:v>P2P</x:v>
      </x:c>
      <x:c r="F1520" t="str">
        <x:v>Utilities</x:v>
      </x:c>
      <x:c r="G1520" s="18" t="n">
        <x:v>91.74</x:v>
      </x:c>
      <x:c r="H1520" t="n">
        <x:v>0</x:v>
      </x:c>
      <x:c r="I1520" t="n">
        <x:v>1</x:v>
      </x:c>
      <x:c r="J1520" t="n">
        <x:v>0</x:v>
      </x:c>
      <x:c r="K1520" t="n">
        <x:v>0</x:v>
      </x:c>
      <x:c r="L1520" t="n">
        <x:v>30</x:v>
      </x:c>
      <x:c r="M1520" t="n">
        <x:v>0</x:v>
      </x:c>
      <x:c r="N1520" t="str">
        <x:v>Approved</x:v>
      </x:c>
      <x:c r="O1520" t="n">
        <x:v>0</x:v>
      </x:c>
      <x:c r="P1520" t="str">
        <x:f>IF(L1520&gt;=75,"High",IF(L1520&gt;=55,"Medium","Low"))</x:f>
        <x:v>Low</x:v>
      </x:c>
    </x:row>
    <x:row r="1521">
      <x:c r="A1521" t="n">
        <x:v>1520</x:v>
      </x:c>
      <x:c r="B1521" t="n">
        <x:v>10083</x:v>
      </x:c>
      <x:c r="C1521" s="16" t="n">
        <x:v>46122</x:v>
      </x:c>
      <x:c r="D1521" t="str">
        <x:v>08:09:00</x:v>
      </x:c>
      <x:c r="E1521" t="str">
        <x:v>Card</x:v>
      </x:c>
      <x:c r="F1521" t="str">
        <x:v>Dining</x:v>
      </x:c>
      <x:c r="G1521" s="18" t="n">
        <x:v>158.26</x:v>
      </x:c>
      <x:c r="H1521" t="n">
        <x:v>0</x:v>
      </x:c>
      <x:c r="I1521" t="n">
        <x:v>0</x:v>
      </x:c>
      <x:c r="J1521" t="n">
        <x:v>0</x:v>
      </x:c>
      <x:c r="K1521" t="n">
        <x:v>0</x:v>
      </x:c>
      <x:c r="L1521" t="n">
        <x:v>10</x:v>
      </x:c>
      <x:c r="M1521" t="n">
        <x:v>0</x:v>
      </x:c>
      <x:c r="N1521" t="str">
        <x:v>Approved</x:v>
      </x:c>
      <x:c r="O1521" t="n">
        <x:v>0</x:v>
      </x:c>
      <x:c r="P1521" t="str">
        <x:f>IF(L1521&gt;=75,"High",IF(L1521&gt;=55,"Medium","Low"))</x:f>
        <x:v>Low</x:v>
      </x:c>
    </x:row>
    <x:row r="1522">
      <x:c r="A1522" t="n">
        <x:v>1521</x:v>
      </x:c>
      <x:c r="B1522" t="n">
        <x:v>10129</x:v>
      </x:c>
      <x:c r="C1522" s="16" t="n">
        <x:v>46118</x:v>
      </x:c>
      <x:c r="D1522" t="str">
        <x:v>23:52:00</x:v>
      </x:c>
      <x:c r="E1522" t="str">
        <x:v>Card</x:v>
      </x:c>
      <x:c r="F1522" t="str">
        <x:v>Retail</x:v>
      </x:c>
      <x:c r="G1522" s="18" t="n">
        <x:v>334.62</x:v>
      </x:c>
      <x:c r="H1522" t="n">
        <x:v>0</x:v>
      </x:c>
      <x:c r="I1522" t="n">
        <x:v>0</x:v>
      </x:c>
      <x:c r="J1522" t="n">
        <x:v>0</x:v>
      </x:c>
      <x:c r="K1522" t="n">
        <x:v>0</x:v>
      </x:c>
      <x:c r="L1522" t="n">
        <x:v>10</x:v>
      </x:c>
      <x:c r="M1522" t="n">
        <x:v>0</x:v>
      </x:c>
      <x:c r="N1522" t="str">
        <x:v>Approved</x:v>
      </x:c>
      <x:c r="O1522" t="n">
        <x:v>0</x:v>
      </x:c>
      <x:c r="P1522" t="str">
        <x:f>IF(L1522&gt;=75,"High",IF(L1522&gt;=55,"Medium","Low"))</x:f>
        <x:v>Low</x:v>
      </x:c>
    </x:row>
    <x:row r="1523">
      <x:c r="A1523" t="n">
        <x:v>1522</x:v>
      </x:c>
      <x:c r="B1523" t="n">
        <x:v>10260</x:v>
      </x:c>
      <x:c r="C1523" s="16" t="n">
        <x:v>46236</x:v>
      </x:c>
      <x:c r="D1523" t="str">
        <x:v>23:48:00</x:v>
      </x:c>
      <x:c r="E1523" t="str">
        <x:v>Card</x:v>
      </x:c>
      <x:c r="F1523" t="str">
        <x:v>Electronics</x:v>
      </x:c>
      <x:c r="G1523" s="18" t="n">
        <x:v>1032.98</x:v>
      </x:c>
      <x:c r="H1523" t="n">
        <x:v>0</x:v>
      </x:c>
      <x:c r="I1523" t="n">
        <x:v>0</x:v>
      </x:c>
      <x:c r="J1523" t="n">
        <x:v>1</x:v>
      </x:c>
      <x:c r="K1523" t="n">
        <x:v>0</x:v>
      </x:c>
      <x:c r="L1523" t="n">
        <x:v>44</x:v>
      </x:c>
      <x:c r="M1523" t="n">
        <x:v>0</x:v>
      </x:c>
      <x:c r="N1523" t="str">
        <x:v>Approved</x:v>
      </x:c>
      <x:c r="O1523" t="n">
        <x:v>0</x:v>
      </x:c>
      <x:c r="P1523" t="str">
        <x:f>IF(L1523&gt;=75,"High",IF(L1523&gt;=55,"Medium","Low"))</x:f>
        <x:v>Low</x:v>
      </x:c>
    </x:row>
    <x:row r="1524">
      <x:c r="A1524" t="n">
        <x:v>1523</x:v>
      </x:c>
      <x:c r="B1524" t="n">
        <x:v>10122</x:v>
      </x:c>
      <x:c r="C1524" s="16" t="n">
        <x:v>46246</x:v>
      </x:c>
      <x:c r="D1524" t="str">
        <x:v>21:39:00</x:v>
      </x:c>
      <x:c r="E1524" t="str">
        <x:v>Card</x:v>
      </x:c>
      <x:c r="F1524" t="str">
        <x:v>Retail</x:v>
      </x:c>
      <x:c r="G1524" s="18" t="n">
        <x:v>288.61</x:v>
      </x:c>
      <x:c r="H1524" t="n">
        <x:v>1</x:v>
      </x:c>
      <x:c r="I1524" t="n">
        <x:v>0</x:v>
      </x:c>
      <x:c r="J1524" t="n">
        <x:v>0</x:v>
      </x:c>
      <x:c r="K1524" t="n">
        <x:v>0</x:v>
      </x:c>
      <x:c r="L1524" t="n">
        <x:v>36</x:v>
      </x:c>
      <x:c r="M1524" t="n">
        <x:v>0</x:v>
      </x:c>
      <x:c r="N1524" t="str">
        <x:v>Approved</x:v>
      </x:c>
      <x:c r="O1524" t="n">
        <x:v>0</x:v>
      </x:c>
      <x:c r="P1524" t="str">
        <x:f>IF(L1524&gt;=75,"High",IF(L1524&gt;=55,"Medium","Low"))</x:f>
        <x:v>Low</x:v>
      </x:c>
    </x:row>
    <x:row r="1525">
      <x:c r="A1525" t="n">
        <x:v>1524</x:v>
      </x:c>
      <x:c r="B1525" t="n">
        <x:v>10206</x:v>
      </x:c>
      <x:c r="C1525" s="16" t="n">
        <x:v>46132</x:v>
      </x:c>
      <x:c r="D1525" t="str">
        <x:v>06:06:00</x:v>
      </x:c>
      <x:c r="E1525" t="str">
        <x:v>Card</x:v>
      </x:c>
      <x:c r="F1525" t="str">
        <x:v>Transfer</x:v>
      </x:c>
      <x:c r="G1525" s="18" t="n">
        <x:v>167.33</x:v>
      </x:c>
      <x:c r="H1525" t="n">
        <x:v>0</x:v>
      </x:c>
      <x:c r="I1525" t="n">
        <x:v>0</x:v>
      </x:c>
      <x:c r="J1525" t="n">
        <x:v>0</x:v>
      </x:c>
      <x:c r="K1525" t="n">
        <x:v>0</x:v>
      </x:c>
      <x:c r="L1525" t="n">
        <x:v>10</x:v>
      </x:c>
      <x:c r="M1525" t="n">
        <x:v>0</x:v>
      </x:c>
      <x:c r="N1525" t="str">
        <x:v>Approved</x:v>
      </x:c>
      <x:c r="O1525" t="n">
        <x:v>0</x:v>
      </x:c>
      <x:c r="P1525" t="str">
        <x:f>IF(L1525&gt;=75,"High",IF(L1525&gt;=55,"Medium","Low"))</x:f>
        <x:v>Low</x:v>
      </x:c>
    </x:row>
    <x:row r="1526">
      <x:c r="A1526" t="n">
        <x:v>1525</x:v>
      </x:c>
      <x:c r="B1526" t="n">
        <x:v>10074</x:v>
      </x:c>
      <x:c r="C1526" s="16" t="n">
        <x:v>46199</x:v>
      </x:c>
      <x:c r="D1526" t="str">
        <x:v>03:08:00</x:v>
      </x:c>
      <x:c r="E1526" t="str">
        <x:v>Bank Transfer</x:v>
      </x:c>
      <x:c r="F1526" t="str">
        <x:v>Retail</x:v>
      </x:c>
      <x:c r="G1526" s="18" t="n">
        <x:v>34.94</x:v>
      </x:c>
      <x:c r="H1526" t="n">
        <x:v>0</x:v>
      </x:c>
      <x:c r="I1526" t="n">
        <x:v>0</x:v>
      </x:c>
      <x:c r="J1526" t="n">
        <x:v>0</x:v>
      </x:c>
      <x:c r="K1526" t="n">
        <x:v>1</x:v>
      </x:c>
      <x:c r="L1526" t="n">
        <x:v>25</x:v>
      </x:c>
      <x:c r="M1526" t="n">
        <x:v>0</x:v>
      </x:c>
      <x:c r="N1526" t="str">
        <x:v>Approved</x:v>
      </x:c>
      <x:c r="O1526" t="n">
        <x:v>0</x:v>
      </x:c>
      <x:c r="P1526" t="str">
        <x:f>IF(L1526&gt;=75,"High",IF(L1526&gt;=55,"Medium","Low"))</x:f>
        <x:v>Low</x:v>
      </x:c>
    </x:row>
    <x:row r="1527">
      <x:c r="A1527" t="n">
        <x:v>1526</x:v>
      </x:c>
      <x:c r="B1527" t="n">
        <x:v>10147</x:v>
      </x:c>
      <x:c r="C1527" s="16" t="n">
        <x:v>46285</x:v>
      </x:c>
      <x:c r="D1527" t="str">
        <x:v>00:26:00</x:v>
      </x:c>
      <x:c r="E1527" t="str">
        <x:v>P2P</x:v>
      </x:c>
      <x:c r="F1527" t="str">
        <x:v>Retail</x:v>
      </x:c>
      <x:c r="G1527" s="18" t="n">
        <x:v>21.3</x:v>
      </x:c>
      <x:c r="H1527" t="n">
        <x:v>1</x:v>
      </x:c>
      <x:c r="I1527" t="n">
        <x:v>0</x:v>
      </x:c>
      <x:c r="J1527" t="n">
        <x:v>0</x:v>
      </x:c>
      <x:c r="K1527" t="n">
        <x:v>1</x:v>
      </x:c>
      <x:c r="L1527" t="n">
        <x:v>51</x:v>
      </x:c>
      <x:c r="M1527" t="n">
        <x:v>0</x:v>
      </x:c>
      <x:c r="N1527" t="str">
        <x:v>Approved</x:v>
      </x:c>
      <x:c r="O1527" t="n">
        <x:v>0</x:v>
      </x:c>
      <x:c r="P1527" t="str">
        <x:f>IF(L1527&gt;=75,"High",IF(L1527&gt;=55,"Medium","Low"))</x:f>
        <x:v>Low</x:v>
      </x:c>
    </x:row>
    <x:row r="1528">
      <x:c r="A1528" t="n">
        <x:v>1527</x:v>
      </x:c>
      <x:c r="B1528" t="n">
        <x:v>10018</x:v>
      </x:c>
      <x:c r="C1528" s="16" t="n">
        <x:v>46121</x:v>
      </x:c>
      <x:c r="D1528" t="str">
        <x:v>01:36:00</x:v>
      </x:c>
      <x:c r="E1528" t="str">
        <x:v>Bank Transfer</x:v>
      </x:c>
      <x:c r="F1528" t="str">
        <x:v>Utilities</x:v>
      </x:c>
      <x:c r="G1528" s="18" t="n">
        <x:v>194.77</x:v>
      </x:c>
      <x:c r="H1528" t="n">
        <x:v>1</x:v>
      </x:c>
      <x:c r="I1528" t="n">
        <x:v>0</x:v>
      </x:c>
      <x:c r="J1528" t="n">
        <x:v>0</x:v>
      </x:c>
      <x:c r="K1528" t="n">
        <x:v>1</x:v>
      </x:c>
      <x:c r="L1528" t="n">
        <x:v>51</x:v>
      </x:c>
      <x:c r="M1528" t="n">
        <x:v>0</x:v>
      </x:c>
      <x:c r="N1528" t="str">
        <x:v>Approved</x:v>
      </x:c>
      <x:c r="O1528" t="n">
        <x:v>0</x:v>
      </x:c>
      <x:c r="P1528" t="str">
        <x:f>IF(L1528&gt;=75,"High",IF(L1528&gt;=55,"Medium","Low"))</x:f>
        <x:v>Low</x:v>
      </x:c>
    </x:row>
    <x:row r="1529">
      <x:c r="A1529" t="n">
        <x:v>1528</x:v>
      </x:c>
      <x:c r="B1529" t="n">
        <x:v>10024</x:v>
      </x:c>
      <x:c r="C1529" s="16" t="n">
        <x:v>46196</x:v>
      </x:c>
      <x:c r="D1529" t="str">
        <x:v>06:49:00</x:v>
      </x:c>
      <x:c r="E1529" t="str">
        <x:v>P2P</x:v>
      </x:c>
      <x:c r="F1529" t="str">
        <x:v>Dining</x:v>
      </x:c>
      <x:c r="G1529" s="18" t="n">
        <x:v>316.47</x:v>
      </x:c>
      <x:c r="H1529" t="n">
        <x:v>0</x:v>
      </x:c>
      <x:c r="I1529" t="n">
        <x:v>0</x:v>
      </x:c>
      <x:c r="J1529" t="n">
        <x:v>0</x:v>
      </x:c>
      <x:c r="K1529" t="n">
        <x:v>0</x:v>
      </x:c>
      <x:c r="L1529" t="n">
        <x:v>10</x:v>
      </x:c>
      <x:c r="M1529" t="n">
        <x:v>0</x:v>
      </x:c>
      <x:c r="N1529" t="str">
        <x:v>Approved</x:v>
      </x:c>
      <x:c r="O1529" t="n">
        <x:v>0</x:v>
      </x:c>
      <x:c r="P1529" t="str">
        <x:f>IF(L1529&gt;=75,"High",IF(L1529&gt;=55,"Medium","Low"))</x:f>
        <x:v>Low</x:v>
      </x:c>
    </x:row>
    <x:row r="1530">
      <x:c r="A1530" t="n">
        <x:v>1529</x:v>
      </x:c>
      <x:c r="B1530" t="n">
        <x:v>10271</x:v>
      </x:c>
      <x:c r="C1530" s="16" t="n">
        <x:v>46244</x:v>
      </x:c>
      <x:c r="D1530" t="str">
        <x:v>23:15:00</x:v>
      </x:c>
      <x:c r="E1530" t="str">
        <x:v>Card</x:v>
      </x:c>
      <x:c r="F1530" t="str">
        <x:v>Dining</x:v>
      </x:c>
      <x:c r="G1530" s="18" t="n">
        <x:v>83.47</x:v>
      </x:c>
      <x:c r="H1530" t="n">
        <x:v>0</x:v>
      </x:c>
      <x:c r="I1530" t="n">
        <x:v>0</x:v>
      </x:c>
      <x:c r="J1530" t="n">
        <x:v>0</x:v>
      </x:c>
      <x:c r="K1530" t="n">
        <x:v>0</x:v>
      </x:c>
      <x:c r="L1530" t="n">
        <x:v>10</x:v>
      </x:c>
      <x:c r="M1530" t="n">
        <x:v>0</x:v>
      </x:c>
      <x:c r="N1530" t="str">
        <x:v>Approved</x:v>
      </x:c>
      <x:c r="O1530" t="n">
        <x:v>0</x:v>
      </x:c>
      <x:c r="P1530" t="str">
        <x:f>IF(L1530&gt;=75,"High",IF(L1530&gt;=55,"Medium","Low"))</x:f>
        <x:v>Low</x:v>
      </x:c>
    </x:row>
    <x:row r="1531">
      <x:c r="A1531" t="n">
        <x:v>1530</x:v>
      </x:c>
      <x:c r="B1531" t="n">
        <x:v>10188</x:v>
      </x:c>
      <x:c r="C1531" s="16" t="n">
        <x:v>46142</x:v>
      </x:c>
      <x:c r="D1531" t="str">
        <x:v>12:55:00</x:v>
      </x:c>
      <x:c r="E1531" t="str">
        <x:v>Card</x:v>
      </x:c>
      <x:c r="F1531" t="str">
        <x:v>Travel</x:v>
      </x:c>
      <x:c r="G1531" s="18" t="n">
        <x:v>62.91</x:v>
      </x:c>
      <x:c r="H1531" t="n">
        <x:v>0</x:v>
      </x:c>
      <x:c r="I1531" t="n">
        <x:v>0</x:v>
      </x:c>
      <x:c r="J1531" t="n">
        <x:v>0</x:v>
      </x:c>
      <x:c r="K1531" t="n">
        <x:v>0</x:v>
      </x:c>
      <x:c r="L1531" t="n">
        <x:v>10</x:v>
      </x:c>
      <x:c r="M1531" t="n">
        <x:v>0</x:v>
      </x:c>
      <x:c r="N1531" t="str">
        <x:v>Approved</x:v>
      </x:c>
      <x:c r="O1531" t="n">
        <x:v>0</x:v>
      </x:c>
      <x:c r="P1531" t="str">
        <x:f>IF(L1531&gt;=75,"High",IF(L1531&gt;=55,"Medium","Low"))</x:f>
        <x:v>Low</x:v>
      </x:c>
    </x:row>
    <x:row r="1532">
      <x:c r="A1532" t="n">
        <x:v>1531</x:v>
      </x:c>
      <x:c r="B1532" t="n">
        <x:v>10151</x:v>
      </x:c>
      <x:c r="C1532" s="16" t="n">
        <x:v>46247</x:v>
      </x:c>
      <x:c r="D1532" t="str">
        <x:v>17:55:00</x:v>
      </x:c>
      <x:c r="E1532" t="str">
        <x:v>P2P</x:v>
      </x:c>
      <x:c r="F1532" t="str">
        <x:v>Subscriptions</x:v>
      </x:c>
      <x:c r="G1532" s="18" t="n">
        <x:v>82.9</x:v>
      </x:c>
      <x:c r="H1532" t="n">
        <x:v>0</x:v>
      </x:c>
      <x:c r="I1532" t="n">
        <x:v>0</x:v>
      </x:c>
      <x:c r="J1532" t="n">
        <x:v>0</x:v>
      </x:c>
      <x:c r="K1532" t="n">
        <x:v>0</x:v>
      </x:c>
      <x:c r="L1532" t="n">
        <x:v>10</x:v>
      </x:c>
      <x:c r="M1532" t="n">
        <x:v>0</x:v>
      </x:c>
      <x:c r="N1532" t="str">
        <x:v>Approved</x:v>
      </x:c>
      <x:c r="O1532" t="n">
        <x:v>0</x:v>
      </x:c>
      <x:c r="P1532" t="str">
        <x:f>IF(L1532&gt;=75,"High",IF(L1532&gt;=55,"Medium","Low"))</x:f>
        <x:v>Low</x:v>
      </x:c>
    </x:row>
    <x:row r="1533">
      <x:c r="A1533" t="n">
        <x:v>1532</x:v>
      </x:c>
      <x:c r="B1533" t="n">
        <x:v>10054</x:v>
      </x:c>
      <x:c r="C1533" s="16" t="n">
        <x:v>46236</x:v>
      </x:c>
      <x:c r="D1533" t="str">
        <x:v>19:46:00</x:v>
      </x:c>
      <x:c r="E1533" t="str">
        <x:v>Card</x:v>
      </x:c>
      <x:c r="F1533" t="str">
        <x:v>Electronics</x:v>
      </x:c>
      <x:c r="G1533" s="18" t="n">
        <x:v>54.13</x:v>
      </x:c>
      <x:c r="H1533" t="n">
        <x:v>1</x:v>
      </x:c>
      <x:c r="I1533" t="n">
        <x:v>0</x:v>
      </x:c>
      <x:c r="J1533" t="n">
        <x:v>0</x:v>
      </x:c>
      <x:c r="K1533" t="n">
        <x:v>0</x:v>
      </x:c>
      <x:c r="L1533" t="n">
        <x:v>36</x:v>
      </x:c>
      <x:c r="M1533" t="n">
        <x:v>0</x:v>
      </x:c>
      <x:c r="N1533" t="str">
        <x:v>Approved</x:v>
      </x:c>
      <x:c r="O1533" t="n">
        <x:v>0</x:v>
      </x:c>
      <x:c r="P1533" t="str">
        <x:f>IF(L1533&gt;=75,"High",IF(L1533&gt;=55,"Medium","Low"))</x:f>
        <x:v>Low</x:v>
      </x:c>
    </x:row>
    <x:row r="1534">
      <x:c r="A1534" t="n">
        <x:v>1533</x:v>
      </x:c>
      <x:c r="B1534" t="n">
        <x:v>10154</x:v>
      </x:c>
      <x:c r="C1534" s="16" t="n">
        <x:v>46264</x:v>
      </x:c>
      <x:c r="D1534" t="str">
        <x:v>12:48:00</x:v>
      </x:c>
      <x:c r="E1534" t="str">
        <x:v>Card</x:v>
      </x:c>
      <x:c r="F1534" t="str">
        <x:v>Subscriptions</x:v>
      </x:c>
      <x:c r="G1534" s="18" t="n">
        <x:v>16.03</x:v>
      </x:c>
      <x:c r="H1534" t="n">
        <x:v>0</x:v>
      </x:c>
      <x:c r="I1534" t="n">
        <x:v>0</x:v>
      </x:c>
      <x:c r="J1534" t="n">
        <x:v>0</x:v>
      </x:c>
      <x:c r="K1534" t="n">
        <x:v>0</x:v>
      </x:c>
      <x:c r="L1534" t="n">
        <x:v>10</x:v>
      </x:c>
      <x:c r="M1534" t="n">
        <x:v>0</x:v>
      </x:c>
      <x:c r="N1534" t="str">
        <x:v>Approved</x:v>
      </x:c>
      <x:c r="O1534" t="n">
        <x:v>0</x:v>
      </x:c>
      <x:c r="P1534" t="str">
        <x:f>IF(L1534&gt;=75,"High",IF(L1534&gt;=55,"Medium","Low"))</x:f>
        <x:v>Low</x:v>
      </x:c>
    </x:row>
    <x:row r="1535">
      <x:c r="A1535" t="n">
        <x:v>1534</x:v>
      </x:c>
      <x:c r="B1535" t="n">
        <x:v>10260</x:v>
      </x:c>
      <x:c r="C1535" s="16" t="n">
        <x:v>46208</x:v>
      </x:c>
      <x:c r="D1535" t="str">
        <x:v>21:30:00</x:v>
      </x:c>
      <x:c r="E1535" t="str">
        <x:v>Card</x:v>
      </x:c>
      <x:c r="F1535" t="str">
        <x:v>Dining</x:v>
      </x:c>
      <x:c r="G1535" s="18" t="n">
        <x:v>19.51</x:v>
      </x:c>
      <x:c r="H1535" t="n">
        <x:v>0</x:v>
      </x:c>
      <x:c r="I1535" t="n">
        <x:v>0</x:v>
      </x:c>
      <x:c r="J1535" t="n">
        <x:v>0</x:v>
      </x:c>
      <x:c r="K1535" t="n">
        <x:v>0</x:v>
      </x:c>
      <x:c r="L1535" t="n">
        <x:v>10</x:v>
      </x:c>
      <x:c r="M1535" t="n">
        <x:v>0</x:v>
      </x:c>
      <x:c r="N1535" t="str">
        <x:v>Approved</x:v>
      </x:c>
      <x:c r="O1535" t="n">
        <x:v>0</x:v>
      </x:c>
      <x:c r="P1535" t="str">
        <x:f>IF(L1535&gt;=75,"High",IF(L1535&gt;=55,"Medium","Low"))</x:f>
        <x:v>Low</x:v>
      </x:c>
    </x:row>
    <x:row r="1536">
      <x:c r="A1536" t="n">
        <x:v>1535</x:v>
      </x:c>
      <x:c r="B1536" t="n">
        <x:v>10322</x:v>
      </x:c>
      <x:c r="C1536" s="16" t="n">
        <x:v>46143</x:v>
      </x:c>
      <x:c r="D1536" t="str">
        <x:v>19:55:00</x:v>
      </x:c>
      <x:c r="E1536" t="str">
        <x:v>Card</x:v>
      </x:c>
      <x:c r="F1536" t="str">
        <x:v>Transfer</x:v>
      </x:c>
      <x:c r="G1536" s="18" t="n">
        <x:v>772.56</x:v>
      </x:c>
      <x:c r="H1536" t="n">
        <x:v>0</x:v>
      </x:c>
      <x:c r="I1536" t="n">
        <x:v>0</x:v>
      </x:c>
      <x:c r="J1536" t="n">
        <x:v>1</x:v>
      </x:c>
      <x:c r="K1536" t="n">
        <x:v>0</x:v>
      </x:c>
      <x:c r="L1536" t="n">
        <x:v>44</x:v>
      </x:c>
      <x:c r="M1536" t="n">
        <x:v>0</x:v>
      </x:c>
      <x:c r="N1536" t="str">
        <x:v>Approved</x:v>
      </x:c>
      <x:c r="O1536" t="n">
        <x:v>0</x:v>
      </x:c>
      <x:c r="P1536" t="str">
        <x:f>IF(L1536&gt;=75,"High",IF(L1536&gt;=55,"Medium","Low"))</x:f>
        <x:v>Low</x:v>
      </x:c>
    </x:row>
    <x:row r="1537">
      <x:c r="A1537" t="n">
        <x:v>1536</x:v>
      </x:c>
      <x:c r="B1537" t="n">
        <x:v>10337</x:v>
      </x:c>
      <x:c r="C1537" s="16" t="n">
        <x:v>46155</x:v>
      </x:c>
      <x:c r="D1537" t="str">
        <x:v>12:15:00</x:v>
      </x:c>
      <x:c r="E1537" t="str">
        <x:v>Card</x:v>
      </x:c>
      <x:c r="F1537" t="str">
        <x:v>Travel</x:v>
      </x:c>
      <x:c r="G1537" s="18" t="n">
        <x:v>90.03</x:v>
      </x:c>
      <x:c r="H1537" t="n">
        <x:v>1</x:v>
      </x:c>
      <x:c r="I1537" t="n">
        <x:v>0</x:v>
      </x:c>
      <x:c r="J1537" t="n">
        <x:v>0</x:v>
      </x:c>
      <x:c r="K1537" t="n">
        <x:v>0</x:v>
      </x:c>
      <x:c r="L1537" t="n">
        <x:v>36</x:v>
      </x:c>
      <x:c r="M1537" t="n">
        <x:v>0</x:v>
      </x:c>
      <x:c r="N1537" t="str">
        <x:v>Approved</x:v>
      </x:c>
      <x:c r="O1537" t="n">
        <x:v>0</x:v>
      </x:c>
      <x:c r="P1537" t="str">
        <x:f>IF(L1537&gt;=75,"High",IF(L1537&gt;=55,"Medium","Low"))</x:f>
        <x:v>Low</x:v>
      </x:c>
    </x:row>
    <x:row r="1538">
      <x:c r="A1538" t="n">
        <x:v>1537</x:v>
      </x:c>
      <x:c r="B1538" t="n">
        <x:v>10039</x:v>
      </x:c>
      <x:c r="C1538" s="16" t="n">
        <x:v>46167</x:v>
      </x:c>
      <x:c r="D1538" t="str">
        <x:v>18:36:00</x:v>
      </x:c>
      <x:c r="E1538" t="str">
        <x:v>Card</x:v>
      </x:c>
      <x:c r="F1538" t="str">
        <x:v>Travel</x:v>
      </x:c>
      <x:c r="G1538" s="18" t="n">
        <x:v>193.27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10</x:v>
      </x:c>
      <x:c r="M1538" t="n">
        <x:v>0</x:v>
      </x:c>
      <x:c r="N1538" t="str">
        <x:v>Approved</x:v>
      </x:c>
      <x:c r="O1538" t="n">
        <x:v>0</x:v>
      </x:c>
      <x:c r="P1538" t="str">
        <x:f>IF(L1538&gt;=75,"High",IF(L1538&gt;=55,"Medium","Low"))</x:f>
        <x:v>Low</x:v>
      </x:c>
    </x:row>
    <x:row r="1539">
      <x:c r="A1539" t="n">
        <x:v>1538</x:v>
      </x:c>
      <x:c r="B1539" t="n">
        <x:v>10077</x:v>
      </x:c>
      <x:c r="C1539" s="16" t="n">
        <x:v>46213</x:v>
      </x:c>
      <x:c r="D1539" t="str">
        <x:v>23:24:00</x:v>
      </x:c>
      <x:c r="E1539" t="str">
        <x:v>Card</x:v>
      </x:c>
      <x:c r="F1539" t="str">
        <x:v>Utilities</x:v>
      </x:c>
      <x:c r="G1539" s="18" t="n">
        <x:v>39.64</x:v>
      </x:c>
      <x:c r="H1539" t="n">
        <x:v>0</x:v>
      </x:c>
      <x:c r="I1539" t="n">
        <x:v>0</x:v>
      </x:c>
      <x:c r="J1539" t="n">
        <x:v>0</x:v>
      </x:c>
      <x:c r="K1539" t="n">
        <x:v>0</x:v>
      </x:c>
      <x:c r="L1539" t="n">
        <x:v>10</x:v>
      </x:c>
      <x:c r="M1539" t="n">
        <x:v>0</x:v>
      </x:c>
      <x:c r="N1539" t="str">
        <x:v>Declined</x:v>
      </x:c>
      <x:c r="O1539" t="n">
        <x:v>0</x:v>
      </x:c>
      <x:c r="P1539" t="str">
        <x:f>IF(L1539&gt;=75,"High",IF(L1539&gt;=55,"Medium","Low"))</x:f>
        <x:v>Low</x:v>
      </x:c>
    </x:row>
    <x:row r="1540">
      <x:c r="A1540" t="n">
        <x:v>1539</x:v>
      </x:c>
      <x:c r="B1540" t="n">
        <x:v>10217</x:v>
      </x:c>
      <x:c r="C1540" s="16" t="n">
        <x:v>46125</x:v>
      </x:c>
      <x:c r="D1540" t="str">
        <x:v>18:18:00</x:v>
      </x:c>
      <x:c r="E1540" t="str">
        <x:v>P2P</x:v>
      </x:c>
      <x:c r="F1540" t="str">
        <x:v>Retail</x:v>
      </x:c>
      <x:c r="G1540" s="18" t="n">
        <x:v>40.94</x:v>
      </x:c>
      <x:c r="H1540" t="n">
        <x:v>0</x:v>
      </x:c>
      <x:c r="I1540" t="n">
        <x:v>1</x:v>
      </x:c>
      <x:c r="J1540" t="n">
        <x:v>0</x:v>
      </x:c>
      <x:c r="K1540" t="n">
        <x:v>0</x:v>
      </x:c>
      <x:c r="L1540" t="n">
        <x:v>30</x:v>
      </x:c>
      <x:c r="M1540" t="n">
        <x:v>0</x:v>
      </x:c>
      <x:c r="N1540" t="str">
        <x:v>Approved</x:v>
      </x:c>
      <x:c r="O1540" t="n">
        <x:v>0</x:v>
      </x:c>
      <x:c r="P1540" t="str">
        <x:f>IF(L1540&gt;=75,"High",IF(L1540&gt;=55,"Medium","Low"))</x:f>
        <x:v>Low</x:v>
      </x:c>
    </x:row>
    <x:row r="1541">
      <x:c r="A1541" t="n">
        <x:v>1540</x:v>
      </x:c>
      <x:c r="B1541" t="n">
        <x:v>10190</x:v>
      </x:c>
      <x:c r="C1541" s="16" t="n">
        <x:v>46225</x:v>
      </x:c>
      <x:c r="D1541" t="str">
        <x:v>23:56:00</x:v>
      </x:c>
      <x:c r="E1541" t="str">
        <x:v>P2P</x:v>
      </x:c>
      <x:c r="F1541" t="str">
        <x:v>Utilities</x:v>
      </x:c>
      <x:c r="G1541" s="18" t="n">
        <x:v>38.93</x:v>
      </x:c>
      <x:c r="H1541" t="n">
        <x:v>0</x:v>
      </x:c>
      <x:c r="I1541" t="n">
        <x:v>0</x:v>
      </x:c>
      <x:c r="J1541" t="n">
        <x:v>0</x:v>
      </x:c>
      <x:c r="K1541" t="n">
        <x:v>0</x:v>
      </x:c>
      <x:c r="L1541" t="n">
        <x:v>10</x:v>
      </x:c>
      <x:c r="M1541" t="n">
        <x:v>0</x:v>
      </x:c>
      <x:c r="N1541" t="str">
        <x:v>Approved</x:v>
      </x:c>
      <x:c r="O1541" t="n">
        <x:v>0</x:v>
      </x:c>
      <x:c r="P1541" t="str">
        <x:f>IF(L1541&gt;=75,"High",IF(L1541&gt;=55,"Medium","Low"))</x:f>
        <x:v>Low</x:v>
      </x:c>
    </x:row>
    <x:row r="1542">
      <x:c r="A1542" t="n">
        <x:v>1541</x:v>
      </x:c>
      <x:c r="B1542" t="n">
        <x:v>10065</x:v>
      </x:c>
      <x:c r="C1542" s="16" t="n">
        <x:v>46129</x:v>
      </x:c>
      <x:c r="D1542" t="str">
        <x:v>00:42:00</x:v>
      </x:c>
      <x:c r="E1542" t="str">
        <x:v>Card</x:v>
      </x:c>
      <x:c r="F1542" t="str">
        <x:v>Subscriptions</x:v>
      </x:c>
      <x:c r="G1542" s="18" t="n">
        <x:v>605.94</x:v>
      </x:c>
      <x:c r="H1542" t="n">
        <x:v>0</x:v>
      </x:c>
      <x:c r="I1542" t="n">
        <x:v>0</x:v>
      </x:c>
      <x:c r="J1542" t="n">
        <x:v>0</x:v>
      </x:c>
      <x:c r="K1542" t="n">
        <x:v>1</x:v>
      </x:c>
      <x:c r="L1542" t="n">
        <x:v>25</x:v>
      </x:c>
      <x:c r="M1542" t="n">
        <x:v>0</x:v>
      </x:c>
      <x:c r="N1542" t="str">
        <x:v>Approved</x:v>
      </x:c>
      <x:c r="O1542" t="n">
        <x:v>0</x:v>
      </x:c>
      <x:c r="P1542" t="str">
        <x:f>IF(L1542&gt;=75,"High",IF(L1542&gt;=55,"Medium","Low"))</x:f>
        <x:v>Low</x:v>
      </x:c>
    </x:row>
    <x:row r="1543">
      <x:c r="A1543" t="n">
        <x:v>1542</x:v>
      </x:c>
      <x:c r="B1543" t="n">
        <x:v>10267</x:v>
      </x:c>
      <x:c r="C1543" s="16" t="n">
        <x:v>46284</x:v>
      </x:c>
      <x:c r="D1543" t="str">
        <x:v>06:30:00</x:v>
      </x:c>
      <x:c r="E1543" t="str">
        <x:v>Card</x:v>
      </x:c>
      <x:c r="F1543" t="str">
        <x:v>Electronics</x:v>
      </x:c>
      <x:c r="G1543" s="18" t="n">
        <x:v>13.54</x:v>
      </x:c>
      <x:c r="H1543" t="n">
        <x:v>0</x:v>
      </x:c>
      <x:c r="I1543" t="n">
        <x:v>0</x:v>
      </x:c>
      <x:c r="J1543" t="n">
        <x:v>0</x:v>
      </x:c>
      <x:c r="K1543" t="n">
        <x:v>0</x:v>
      </x:c>
      <x:c r="L1543" t="n">
        <x:v>10</x:v>
      </x:c>
      <x:c r="M1543" t="n">
        <x:v>0</x:v>
      </x:c>
      <x:c r="N1543" t="str">
        <x:v>Approved</x:v>
      </x:c>
      <x:c r="O1543" t="n">
        <x:v>0</x:v>
      </x:c>
      <x:c r="P1543" t="str">
        <x:f>IF(L1543&gt;=75,"High",IF(L1543&gt;=55,"Medium","Low"))</x:f>
        <x:v>Low</x:v>
      </x:c>
    </x:row>
    <x:row r="1544">
      <x:c r="A1544" t="n">
        <x:v>1543</x:v>
      </x:c>
      <x:c r="B1544" t="n">
        <x:v>10054</x:v>
      </x:c>
      <x:c r="C1544" s="16" t="n">
        <x:v>46139</x:v>
      </x:c>
      <x:c r="D1544" t="str">
        <x:v>19:52:00</x:v>
      </x:c>
      <x:c r="E1544" t="str">
        <x:v>Bank Transfer</x:v>
      </x:c>
      <x:c r="F1544" t="str">
        <x:v>Utilities</x:v>
      </x:c>
      <x:c r="G1544" s="18" t="n">
        <x:v>266.77</x:v>
      </x:c>
      <x:c r="H1544" t="n">
        <x:v>1</x:v>
      </x:c>
      <x:c r="I1544" t="n">
        <x:v>0</x:v>
      </x:c>
      <x:c r="J1544" t="n">
        <x:v>0</x:v>
      </x:c>
      <x:c r="K1544" t="n">
        <x:v>0</x:v>
      </x:c>
      <x:c r="L1544" t="n">
        <x:v>36</x:v>
      </x:c>
      <x:c r="M1544" t="n">
        <x:v>0</x:v>
      </x:c>
      <x:c r="N1544" t="str">
        <x:v>Approved</x:v>
      </x:c>
      <x:c r="O1544" t="n">
        <x:v>0</x:v>
      </x:c>
      <x:c r="P1544" t="str">
        <x:f>IF(L1544&gt;=75,"High",IF(L1544&gt;=55,"Medium","Low"))</x:f>
        <x:v>Low</x:v>
      </x:c>
    </x:row>
    <x:row r="1545">
      <x:c r="A1545" t="n">
        <x:v>1544</x:v>
      </x:c>
      <x:c r="B1545" t="n">
        <x:v>10083</x:v>
      </x:c>
      <x:c r="C1545" s="16" t="n">
        <x:v>46237</x:v>
      </x:c>
      <x:c r="D1545" t="str">
        <x:v>13:23:00</x:v>
      </x:c>
      <x:c r="E1545" t="str">
        <x:v>Card</x:v>
      </x:c>
      <x:c r="F1545" t="str">
        <x:v>Travel</x:v>
      </x:c>
      <x:c r="G1545" s="18" t="n">
        <x:v>181.01</x:v>
      </x:c>
      <x:c r="H1545" t="n">
        <x:v>0</x:v>
      </x:c>
      <x:c r="I1545" t="n">
        <x:v>0</x:v>
      </x:c>
      <x:c r="J1545" t="n">
        <x:v>0</x:v>
      </x:c>
      <x:c r="K1545" t="n">
        <x:v>0</x:v>
      </x:c>
      <x:c r="L1545" t="n">
        <x:v>10</x:v>
      </x:c>
      <x:c r="M1545" t="n">
        <x:v>0</x:v>
      </x:c>
      <x:c r="N1545" t="str">
        <x:v>Approved</x:v>
      </x:c>
      <x:c r="O1545" t="n">
        <x:v>0</x:v>
      </x:c>
      <x:c r="P1545" t="str">
        <x:f>IF(L1545&gt;=75,"High",IF(L1545&gt;=55,"Medium","Low"))</x:f>
        <x:v>Low</x:v>
      </x:c>
    </x:row>
    <x:row r="1546">
      <x:c r="A1546" t="n">
        <x:v>1545</x:v>
      </x:c>
      <x:c r="B1546" t="n">
        <x:v>10356</x:v>
      </x:c>
      <x:c r="C1546" s="16" t="n">
        <x:v>46275</x:v>
      </x:c>
      <x:c r="D1546" t="str">
        <x:v>13:26:00</x:v>
      </x:c>
      <x:c r="E1546" t="str">
        <x:v>Card</x:v>
      </x:c>
      <x:c r="F1546" t="str">
        <x:v>Electronics</x:v>
      </x:c>
      <x:c r="G1546" s="18" t="n">
        <x:v>102.71</x:v>
      </x:c>
      <x:c r="H1546" t="n">
        <x:v>0</x:v>
      </x:c>
      <x:c r="I1546" t="n">
        <x:v>0</x:v>
      </x:c>
      <x:c r="J1546" t="n">
        <x:v>0</x:v>
      </x:c>
      <x:c r="K1546" t="n">
        <x:v>0</x:v>
      </x:c>
      <x:c r="L1546" t="n">
        <x:v>10</x:v>
      </x:c>
      <x:c r="M1546" t="n">
        <x:v>0</x:v>
      </x:c>
      <x:c r="N1546" t="str">
        <x:v>Approved</x:v>
      </x:c>
      <x:c r="O1546" t="n">
        <x:v>0</x:v>
      </x:c>
      <x:c r="P1546" t="str">
        <x:f>IF(L1546&gt;=75,"High",IF(L1546&gt;=55,"Medium","Low"))</x:f>
        <x:v>Low</x:v>
      </x:c>
    </x:row>
    <x:row r="1547">
      <x:c r="A1547" t="n">
        <x:v>1546</x:v>
      </x:c>
      <x:c r="B1547" t="n">
        <x:v>10126</x:v>
      </x:c>
      <x:c r="C1547" s="16" t="n">
        <x:v>46130</x:v>
      </x:c>
      <x:c r="D1547" t="str">
        <x:v>03:15:00</x:v>
      </x:c>
      <x:c r="E1547" t="str">
        <x:v>Card</x:v>
      </x:c>
      <x:c r="F1547" t="str">
        <x:v>Dining</x:v>
      </x:c>
      <x:c r="G1547" s="18" t="n">
        <x:v>38.75</x:v>
      </x:c>
      <x:c r="H1547" t="n">
        <x:v>1</x:v>
      </x:c>
      <x:c r="I1547" t="n">
        <x:v>1</x:v>
      </x:c>
      <x:c r="J1547" t="n">
        <x:v>0</x:v>
      </x:c>
      <x:c r="K1547" t="n">
        <x:v>1</x:v>
      </x:c>
      <x:c r="L1547" t="n">
        <x:v>71</x:v>
      </x:c>
      <x:c r="M1547" t="n">
        <x:v>1</x:v>
      </x:c>
      <x:c r="N1547" t="str">
        <x:v>Approved</x:v>
      </x:c>
      <x:c r="O1547" t="n">
        <x:v>0</x:v>
      </x:c>
      <x:c r="P1547" t="str">
        <x:f>IF(L1547&gt;=75,"High",IF(L1547&gt;=55,"Medium","Low"))</x:f>
        <x:v>Medium</x:v>
      </x:c>
    </x:row>
    <x:row r="1548">
      <x:c r="A1548" t="n">
        <x:v>1547</x:v>
      </x:c>
      <x:c r="B1548" t="n">
        <x:v>10262</x:v>
      </x:c>
      <x:c r="C1548" s="16" t="n">
        <x:v>46278</x:v>
      </x:c>
      <x:c r="D1548" t="str">
        <x:v>07:55:00</x:v>
      </x:c>
      <x:c r="E1548" t="str">
        <x:v>P2P</x:v>
      </x:c>
      <x:c r="F1548" t="str">
        <x:v>Electronics</x:v>
      </x:c>
      <x:c r="G1548" s="18" t="n">
        <x:v>138.24</x:v>
      </x:c>
      <x:c r="H1548" t="n">
        <x:v>0</x:v>
      </x:c>
      <x:c r="I1548" t="n">
        <x:v>0</x:v>
      </x:c>
      <x:c r="J1548" t="n">
        <x:v>0</x:v>
      </x:c>
      <x:c r="K1548" t="n">
        <x:v>0</x:v>
      </x:c>
      <x:c r="L1548" t="n">
        <x:v>10</x:v>
      </x:c>
      <x:c r="M1548" t="n">
        <x:v>0</x:v>
      </x:c>
      <x:c r="N1548" t="str">
        <x:v>Approved</x:v>
      </x:c>
      <x:c r="O1548" t="n">
        <x:v>0</x:v>
      </x:c>
      <x:c r="P1548" t="str">
        <x:f>IF(L1548&gt;=75,"High",IF(L1548&gt;=55,"Medium","Low"))</x:f>
        <x:v>Low</x:v>
      </x:c>
    </x:row>
    <x:row r="1549">
      <x:c r="A1549" t="n">
        <x:v>1548</x:v>
      </x:c>
      <x:c r="B1549" t="n">
        <x:v>10322</x:v>
      </x:c>
      <x:c r="C1549" s="16" t="n">
        <x:v>46176</x:v>
      </x:c>
      <x:c r="D1549" t="str">
        <x:v>01:15:00</x:v>
      </x:c>
      <x:c r="E1549" t="str">
        <x:v>Bank Transfer</x:v>
      </x:c>
      <x:c r="F1549" t="str">
        <x:v>Subscriptions</x:v>
      </x:c>
      <x:c r="G1549" s="18" t="n">
        <x:v>10.57</x:v>
      </x:c>
      <x:c r="H1549" t="n">
        <x:v>0</x:v>
      </x:c>
      <x:c r="I1549" t="n">
        <x:v>0</x:v>
      </x:c>
      <x:c r="J1549" t="n">
        <x:v>0</x:v>
      </x:c>
      <x:c r="K1549" t="n">
        <x:v>1</x:v>
      </x:c>
      <x:c r="L1549" t="n">
        <x:v>25</x:v>
      </x:c>
      <x:c r="M1549" t="n">
        <x:v>0</x:v>
      </x:c>
      <x:c r="N1549" t="str">
        <x:v>Approved</x:v>
      </x:c>
      <x:c r="O1549" t="n">
        <x:v>0</x:v>
      </x:c>
      <x:c r="P1549" t="str">
        <x:f>IF(L1549&gt;=75,"High",IF(L1549&gt;=55,"Medium","Low"))</x:f>
        <x:v>Low</x:v>
      </x:c>
    </x:row>
    <x:row r="1550">
      <x:c r="A1550" t="n">
        <x:v>1549</x:v>
      </x:c>
      <x:c r="B1550" t="n">
        <x:v>10044</x:v>
      </x:c>
      <x:c r="C1550" s="16" t="n">
        <x:v>46250</x:v>
      </x:c>
      <x:c r="D1550" t="str">
        <x:v>23:28:00</x:v>
      </x:c>
      <x:c r="E1550" t="str">
        <x:v>P2P</x:v>
      </x:c>
      <x:c r="F1550" t="str">
        <x:v>Retail</x:v>
      </x:c>
      <x:c r="G1550" s="18" t="n">
        <x:v>64.16</x:v>
      </x:c>
      <x:c r="H1550" t="n">
        <x:v>0</x:v>
      </x:c>
      <x:c r="I1550" t="n">
        <x:v>0</x:v>
      </x:c>
      <x:c r="J1550" t="n">
        <x:v>0</x:v>
      </x:c>
      <x:c r="K1550" t="n">
        <x:v>0</x:v>
      </x:c>
      <x:c r="L1550" t="n">
        <x:v>10</x:v>
      </x:c>
      <x:c r="M1550" t="n">
        <x:v>0</x:v>
      </x:c>
      <x:c r="N1550" t="str">
        <x:v>Approved</x:v>
      </x:c>
      <x:c r="O1550" t="n">
        <x:v>0</x:v>
      </x:c>
      <x:c r="P1550" t="str">
        <x:f>IF(L1550&gt;=75,"High",IF(L1550&gt;=55,"Medium","Low"))</x:f>
        <x:v>Low</x:v>
      </x:c>
    </x:row>
    <x:row r="1551">
      <x:c r="A1551" t="n">
        <x:v>1550</x:v>
      </x:c>
      <x:c r="B1551" t="n">
        <x:v>10046</x:v>
      </x:c>
      <x:c r="C1551" s="16" t="n">
        <x:v>46213</x:v>
      </x:c>
      <x:c r="D1551" t="str">
        <x:v>20:10:00</x:v>
      </x:c>
      <x:c r="E1551" t="str">
        <x:v>Bank Transfer</x:v>
      </x:c>
      <x:c r="F1551" t="str">
        <x:v>Transfer</x:v>
      </x:c>
      <x:c r="G1551" s="18" t="n">
        <x:v>12.32</x:v>
      </x:c>
      <x:c r="H1551" t="n">
        <x:v>1</x:v>
      </x:c>
      <x:c r="I1551" t="n">
        <x:v>0</x:v>
      </x:c>
      <x:c r="J1551" t="n">
        <x:v>0</x:v>
      </x:c>
      <x:c r="K1551" t="n">
        <x:v>0</x:v>
      </x:c>
      <x:c r="L1551" t="n">
        <x:v>36</x:v>
      </x:c>
      <x:c r="M1551" t="n">
        <x:v>0</x:v>
      </x:c>
      <x:c r="N1551" t="str">
        <x:v>Approved</x:v>
      </x:c>
      <x:c r="O1551" t="n">
        <x:v>0</x:v>
      </x:c>
      <x:c r="P1551" t="str">
        <x:f>IF(L1551&gt;=75,"High",IF(L1551&gt;=55,"Medium","Low"))</x:f>
        <x:v>Low</x:v>
      </x:c>
    </x:row>
    <x:row r="1552">
      <x:c r="A1552" t="n">
        <x:v>1551</x:v>
      </x:c>
      <x:c r="B1552" t="n">
        <x:v>10240</x:v>
      </x:c>
      <x:c r="C1552" s="16" t="n">
        <x:v>46267</x:v>
      </x:c>
      <x:c r="D1552" t="str">
        <x:v>22:18:00</x:v>
      </x:c>
      <x:c r="E1552" t="str">
        <x:v>Bank Transfer</x:v>
      </x:c>
      <x:c r="F1552" t="str">
        <x:v>Transfer</x:v>
      </x:c>
      <x:c r="G1552" s="18" t="n">
        <x:v>115.19</x:v>
      </x:c>
      <x:c r="H1552" t="n">
        <x:v>0</x:v>
      </x:c>
      <x:c r="I1552" t="n">
        <x:v>0</x:v>
      </x:c>
      <x:c r="J1552" t="n">
        <x:v>0</x:v>
      </x:c>
      <x:c r="K1552" t="n">
        <x:v>0</x:v>
      </x:c>
      <x:c r="L1552" t="n">
        <x:v>10</x:v>
      </x:c>
      <x:c r="M1552" t="n">
        <x:v>0</x:v>
      </x:c>
      <x:c r="N1552" t="str">
        <x:v>Declined</x:v>
      </x:c>
      <x:c r="O1552" t="n">
        <x:v>0</x:v>
      </x:c>
      <x:c r="P1552" t="str">
        <x:f>IF(L1552&gt;=75,"High",IF(L1552&gt;=55,"Medium","Low"))</x:f>
        <x:v>Low</x:v>
      </x:c>
    </x:row>
    <x:row r="1553">
      <x:c r="A1553" t="n">
        <x:v>1552</x:v>
      </x:c>
      <x:c r="B1553" t="n">
        <x:v>10179</x:v>
      </x:c>
      <x:c r="C1553" s="16" t="n">
        <x:v>46176</x:v>
      </x:c>
      <x:c r="D1553" t="str">
        <x:v>22:29:00</x:v>
      </x:c>
      <x:c r="E1553" t="str">
        <x:v>Bank Transfer</x:v>
      </x:c>
      <x:c r="F1553" t="str">
        <x:v>Utilities</x:v>
      </x:c>
      <x:c r="G1553" s="18" t="n">
        <x:v>42.33</x:v>
      </x:c>
      <x:c r="H1553" t="n">
        <x:v>0</x:v>
      </x:c>
      <x:c r="I1553" t="n">
        <x:v>0</x:v>
      </x:c>
      <x:c r="J1553" t="n">
        <x:v>0</x:v>
      </x:c>
      <x:c r="K1553" t="n">
        <x:v>0</x:v>
      </x:c>
      <x:c r="L1553" t="n">
        <x:v>10</x:v>
      </x:c>
      <x:c r="M1553" t="n">
        <x:v>0</x:v>
      </x:c>
      <x:c r="N1553" t="str">
        <x:v>Approved</x:v>
      </x:c>
      <x:c r="O1553" t="n">
        <x:v>0</x:v>
      </x:c>
      <x:c r="P1553" t="str">
        <x:f>IF(L1553&gt;=75,"High",IF(L1553&gt;=55,"Medium","Low"))</x:f>
        <x:v>Low</x:v>
      </x:c>
    </x:row>
    <x:row r="1554">
      <x:c r="A1554" t="n">
        <x:v>1553</x:v>
      </x:c>
      <x:c r="B1554" t="n">
        <x:v>10350</x:v>
      </x:c>
      <x:c r="C1554" s="16" t="n">
        <x:v>46115</x:v>
      </x:c>
      <x:c r="D1554" t="str">
        <x:v>14:23:00</x:v>
      </x:c>
      <x:c r="E1554" t="str">
        <x:v>Bank Transfer</x:v>
      </x:c>
      <x:c r="F1554" t="str">
        <x:v>Subscriptions</x:v>
      </x:c>
      <x:c r="G1554" s="18" t="n">
        <x:v>124.13</x:v>
      </x:c>
      <x:c r="H1554" t="n">
        <x:v>0</x:v>
      </x:c>
      <x:c r="I1554" t="n">
        <x:v>0</x:v>
      </x:c>
      <x:c r="J1554" t="n">
        <x:v>0</x:v>
      </x:c>
      <x:c r="K1554" t="n">
        <x:v>0</x:v>
      </x:c>
      <x:c r="L1554" t="n">
        <x:v>10</x:v>
      </x:c>
      <x:c r="M1554" t="n">
        <x:v>0</x:v>
      </x:c>
      <x:c r="N1554" t="str">
        <x:v>Approved</x:v>
      </x:c>
      <x:c r="O1554" t="n">
        <x:v>0</x:v>
      </x:c>
      <x:c r="P1554" t="str">
        <x:f>IF(L1554&gt;=75,"High",IF(L1554&gt;=55,"Medium","Low"))</x:f>
        <x:v>Low</x:v>
      </x:c>
    </x:row>
    <x:row r="1555">
      <x:c r="A1555" t="n">
        <x:v>1554</x:v>
      </x:c>
      <x:c r="B1555" t="n">
        <x:v>10284</x:v>
      </x:c>
      <x:c r="C1555" s="16" t="n">
        <x:v>46189</x:v>
      </x:c>
      <x:c r="D1555" t="str">
        <x:v>11:21:00</x:v>
      </x:c>
      <x:c r="E1555" t="str">
        <x:v>P2P</x:v>
      </x:c>
      <x:c r="F1555" t="str">
        <x:v>Subscriptions</x:v>
      </x:c>
      <x:c r="G1555" s="18" t="n">
        <x:v>237.85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10</x:v>
      </x:c>
      <x:c r="M1555" t="n">
        <x:v>0</x:v>
      </x:c>
      <x:c r="N1555" t="str">
        <x:v>Approved</x:v>
      </x:c>
      <x:c r="O1555" t="n">
        <x:v>0</x:v>
      </x:c>
      <x:c r="P1555" t="str">
        <x:f>IF(L1555&gt;=75,"High",IF(L1555&gt;=55,"Medium","Low"))</x:f>
        <x:v>Low</x:v>
      </x:c>
    </x:row>
    <x:row r="1556">
      <x:c r="A1556" t="n">
        <x:v>1555</x:v>
      </x:c>
      <x:c r="B1556" t="n">
        <x:v>10222</x:v>
      </x:c>
      <x:c r="C1556" s="16" t="n">
        <x:v>46272</x:v>
      </x:c>
      <x:c r="D1556" t="str">
        <x:v>04:09:00</x:v>
      </x:c>
      <x:c r="E1556" t="str">
        <x:v>Card</x:v>
      </x:c>
      <x:c r="F1556" t="str">
        <x:v>Utilities</x:v>
      </x:c>
      <x:c r="G1556" s="18" t="n">
        <x:v>91.73</x:v>
      </x:c>
      <x:c r="H1556" t="n">
        <x:v>0</x:v>
      </x:c>
      <x:c r="I1556" t="n">
        <x:v>0</x:v>
      </x:c>
      <x:c r="J1556" t="n">
        <x:v>0</x:v>
      </x:c>
      <x:c r="K1556" t="n">
        <x:v>1</x:v>
      </x:c>
      <x:c r="L1556" t="n">
        <x:v>25</x:v>
      </x:c>
      <x:c r="M1556" t="n">
        <x:v>0</x:v>
      </x:c>
      <x:c r="N1556" t="str">
        <x:v>Declined</x:v>
      </x:c>
      <x:c r="O1556" t="n">
        <x:v>0</x:v>
      </x:c>
      <x:c r="P1556" t="str">
        <x:f>IF(L1556&gt;=75,"High",IF(L1556&gt;=55,"Medium","Low"))</x:f>
        <x:v>Low</x:v>
      </x:c>
    </x:row>
    <x:row r="1557">
      <x:c r="A1557" t="n">
        <x:v>1556</x:v>
      </x:c>
      <x:c r="B1557" t="n">
        <x:v>10284</x:v>
      </x:c>
      <x:c r="C1557" s="16" t="n">
        <x:v>46141</x:v>
      </x:c>
      <x:c r="D1557" t="str">
        <x:v>04:38:00</x:v>
      </x:c>
      <x:c r="E1557" t="str">
        <x:v>Card</x:v>
      </x:c>
      <x:c r="F1557" t="str">
        <x:v>Subscriptions</x:v>
      </x:c>
      <x:c r="G1557" s="18" t="n">
        <x:v>21.53</x:v>
      </x:c>
      <x:c r="H1557" t="n">
        <x:v>0</x:v>
      </x:c>
      <x:c r="I1557" t="n">
        <x:v>0</x:v>
      </x:c>
      <x:c r="J1557" t="n">
        <x:v>0</x:v>
      </x:c>
      <x:c r="K1557" t="n">
        <x:v>1</x:v>
      </x:c>
      <x:c r="L1557" t="n">
        <x:v>25</x:v>
      </x:c>
      <x:c r="M1557" t="n">
        <x:v>0</x:v>
      </x:c>
      <x:c r="N1557" t="str">
        <x:v>Approved</x:v>
      </x:c>
      <x:c r="O1557" t="n">
        <x:v>0</x:v>
      </x:c>
      <x:c r="P1557" t="str">
        <x:f>IF(L1557&gt;=75,"High",IF(L1557&gt;=55,"Medium","Low"))</x:f>
        <x:v>Low</x:v>
      </x:c>
    </x:row>
    <x:row r="1558">
      <x:c r="A1558" t="n">
        <x:v>1557</x:v>
      </x:c>
      <x:c r="B1558" t="n">
        <x:v>10033</x:v>
      </x:c>
      <x:c r="C1558" s="16" t="n">
        <x:v>46242</x:v>
      </x:c>
      <x:c r="D1558" t="str">
        <x:v>04:03:00</x:v>
      </x:c>
      <x:c r="E1558" t="str">
        <x:v>Bank Transfer</x:v>
      </x:c>
      <x:c r="F1558" t="str">
        <x:v>Subscriptions</x:v>
      </x:c>
      <x:c r="G1558" s="18" t="n">
        <x:v>121.37</x:v>
      </x:c>
      <x:c r="H1558" t="n">
        <x:v>0</x:v>
      </x:c>
      <x:c r="I1558" t="n">
        <x:v>0</x:v>
      </x:c>
      <x:c r="J1558" t="n">
        <x:v>0</x:v>
      </x:c>
      <x:c r="K1558" t="n">
        <x:v>1</x:v>
      </x:c>
      <x:c r="L1558" t="n">
        <x:v>25</x:v>
      </x:c>
      <x:c r="M1558" t="n">
        <x:v>0</x:v>
      </x:c>
      <x:c r="N1558" t="str">
        <x:v>Approved</x:v>
      </x:c>
      <x:c r="O1558" t="n">
        <x:v>0</x:v>
      </x:c>
      <x:c r="P1558" t="str">
        <x:f>IF(L1558&gt;=75,"High",IF(L1558&gt;=55,"Medium","Low"))</x:f>
        <x:v>Low</x:v>
      </x:c>
    </x:row>
    <x:row r="1559">
      <x:c r="A1559" t="n">
        <x:v>1558</x:v>
      </x:c>
      <x:c r="B1559" t="n">
        <x:v>10320</x:v>
      </x:c>
      <x:c r="C1559" s="16" t="n">
        <x:v>46217</x:v>
      </x:c>
      <x:c r="D1559" t="str">
        <x:v>19:01:00</x:v>
      </x:c>
      <x:c r="E1559" t="str">
        <x:v>Card</x:v>
      </x:c>
      <x:c r="F1559" t="str">
        <x:v>Subscriptions</x:v>
      </x:c>
      <x:c r="G1559" s="18" t="n">
        <x:v>38.38</x:v>
      </x:c>
      <x:c r="H1559" t="n">
        <x:v>0</x:v>
      </x:c>
      <x:c r="I1559" t="n">
        <x:v>0</x:v>
      </x:c>
      <x:c r="J1559" t="n">
        <x:v>0</x:v>
      </x:c>
      <x:c r="K1559" t="n">
        <x:v>0</x:v>
      </x:c>
      <x:c r="L1559" t="n">
        <x:v>10</x:v>
      </x:c>
      <x:c r="M1559" t="n">
        <x:v>0</x:v>
      </x:c>
      <x:c r="N1559" t="str">
        <x:v>Declined</x:v>
      </x:c>
      <x:c r="O1559" t="n">
        <x:v>0</x:v>
      </x:c>
      <x:c r="P1559" t="str">
        <x:f>IF(L1559&gt;=75,"High",IF(L1559&gt;=55,"Medium","Low"))</x:f>
        <x:v>Low</x:v>
      </x:c>
    </x:row>
    <x:row r="1560">
      <x:c r="A1560" t="n">
        <x:v>1559</x:v>
      </x:c>
      <x:c r="B1560" t="n">
        <x:v>10197</x:v>
      </x:c>
      <x:c r="C1560" s="16" t="n">
        <x:v>46283</x:v>
      </x:c>
      <x:c r="D1560" t="str">
        <x:v>12:19:00</x:v>
      </x:c>
      <x:c r="E1560" t="str">
        <x:v>Bank Transfer</x:v>
      </x:c>
      <x:c r="F1560" t="str">
        <x:v>Travel</x:v>
      </x:c>
      <x:c r="G1560" s="18" t="n">
        <x:v>37.26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10</x:v>
      </x:c>
      <x:c r="M1560" t="n">
        <x:v>0</x:v>
      </x:c>
      <x:c r="N1560" t="str">
        <x:v>Approved</x:v>
      </x:c>
      <x:c r="O1560" t="n">
        <x:v>0</x:v>
      </x:c>
      <x:c r="P1560" t="str">
        <x:f>IF(L1560&gt;=75,"High",IF(L1560&gt;=55,"Medium","Low"))</x:f>
        <x:v>Low</x:v>
      </x:c>
    </x:row>
    <x:row r="1561">
      <x:c r="A1561" t="n">
        <x:v>1560</x:v>
      </x:c>
      <x:c r="B1561" t="n">
        <x:v>10072</x:v>
      </x:c>
      <x:c r="C1561" s="16" t="n">
        <x:v>46176</x:v>
      </x:c>
      <x:c r="D1561" t="str">
        <x:v>13:00:00</x:v>
      </x:c>
      <x:c r="E1561" t="str">
        <x:v>Card</x:v>
      </x:c>
      <x:c r="F1561" t="str">
        <x:v>Retail</x:v>
      </x:c>
      <x:c r="G1561" s="18" t="n">
        <x:v>143.09</x:v>
      </x:c>
      <x:c r="H1561" t="n">
        <x:v>0</x:v>
      </x:c>
      <x:c r="I1561" t="n">
        <x:v>1</x:v>
      </x:c>
      <x:c r="J1561" t="n">
        <x:v>0</x:v>
      </x:c>
      <x:c r="K1561" t="n">
        <x:v>0</x:v>
      </x:c>
      <x:c r="L1561" t="n">
        <x:v>30</x:v>
      </x:c>
      <x:c r="M1561" t="n">
        <x:v>0</x:v>
      </x:c>
      <x:c r="N1561" t="str">
        <x:v>Approved</x:v>
      </x:c>
      <x:c r="O1561" t="n">
        <x:v>0</x:v>
      </x:c>
      <x:c r="P1561" t="str">
        <x:f>IF(L1561&gt;=75,"High",IF(L1561&gt;=55,"Medium","Low"))</x:f>
        <x:v>Low</x:v>
      </x:c>
    </x:row>
    <x:row r="1562">
      <x:c r="A1562" t="n">
        <x:v>1561</x:v>
      </x:c>
      <x:c r="B1562" t="n">
        <x:v>10238</x:v>
      </x:c>
      <x:c r="C1562" s="16" t="n">
        <x:v>46163</x:v>
      </x:c>
      <x:c r="D1562" t="str">
        <x:v>05:39:00</x:v>
      </x:c>
      <x:c r="E1562" t="str">
        <x:v>P2P</x:v>
      </x:c>
      <x:c r="F1562" t="str">
        <x:v>Travel</x:v>
      </x:c>
      <x:c r="G1562" s="18" t="n">
        <x:v>395.21</x:v>
      </x:c>
      <x:c r="H1562" t="n">
        <x:v>0</x:v>
      </x:c>
      <x:c r="I1562" t="n">
        <x:v>0</x:v>
      </x:c>
      <x:c r="J1562" t="n">
        <x:v>0</x:v>
      </x:c>
      <x:c r="K1562" t="n">
        <x:v>0</x:v>
      </x:c>
      <x:c r="L1562" t="n">
        <x:v>10</x:v>
      </x:c>
      <x:c r="M1562" t="n">
        <x:v>0</x:v>
      </x:c>
      <x:c r="N1562" t="str">
        <x:v>Approved</x:v>
      </x:c>
      <x:c r="O1562" t="n">
        <x:v>0</x:v>
      </x:c>
      <x:c r="P1562" t="str">
        <x:f>IF(L1562&gt;=75,"High",IF(L1562&gt;=55,"Medium","Low"))</x:f>
        <x:v>Low</x:v>
      </x:c>
    </x:row>
    <x:row r="1563">
      <x:c r="A1563" t="n">
        <x:v>1562</x:v>
      </x:c>
      <x:c r="B1563" t="n">
        <x:v>10026</x:v>
      </x:c>
      <x:c r="C1563" s="16" t="n">
        <x:v>46134</x:v>
      </x:c>
      <x:c r="D1563" t="str">
        <x:v>08:04:00</x:v>
      </x:c>
      <x:c r="E1563" t="str">
        <x:v>Card</x:v>
      </x:c>
      <x:c r="F1563" t="str">
        <x:v>Transfer</x:v>
      </x:c>
      <x:c r="G1563" s="18" t="n">
        <x:v>410.36</x:v>
      </x:c>
      <x:c r="H1563" t="n">
        <x:v>0</x:v>
      </x:c>
      <x:c r="I1563" t="n">
        <x:v>0</x:v>
      </x:c>
      <x:c r="J1563" t="n">
        <x:v>0</x:v>
      </x:c>
      <x:c r="K1563" t="n">
        <x:v>0</x:v>
      </x:c>
      <x:c r="L1563" t="n">
        <x:v>10</x:v>
      </x:c>
      <x:c r="M1563" t="n">
        <x:v>0</x:v>
      </x:c>
      <x:c r="N1563" t="str">
        <x:v>Approved</x:v>
      </x:c>
      <x:c r="O1563" t="n">
        <x:v>0</x:v>
      </x:c>
      <x:c r="P1563" t="str">
        <x:f>IF(L1563&gt;=75,"High",IF(L1563&gt;=55,"Medium","Low"))</x:f>
        <x:v>Low</x:v>
      </x:c>
    </x:row>
    <x:row r="1564">
      <x:c r="A1564" t="n">
        <x:v>1563</x:v>
      </x:c>
      <x:c r="B1564" t="n">
        <x:v>10135</x:v>
      </x:c>
      <x:c r="C1564" s="16" t="n">
        <x:v>46261</x:v>
      </x:c>
      <x:c r="D1564" t="str">
        <x:v>15:46:00</x:v>
      </x:c>
      <x:c r="E1564" t="str">
        <x:v>Bank Transfer</x:v>
      </x:c>
      <x:c r="F1564" t="str">
        <x:v>Electronics</x:v>
      </x:c>
      <x:c r="G1564" s="18" t="n">
        <x:v>192.09</x:v>
      </x:c>
      <x:c r="H1564" t="n">
        <x:v>0</x:v>
      </x:c>
      <x:c r="I1564" t="n">
        <x:v>0</x:v>
      </x:c>
      <x:c r="J1564" t="n">
        <x:v>0</x:v>
      </x:c>
      <x:c r="K1564" t="n">
        <x:v>0</x:v>
      </x:c>
      <x:c r="L1564" t="n">
        <x:v>10</x:v>
      </x:c>
      <x:c r="M1564" t="n">
        <x:v>0</x:v>
      </x:c>
      <x:c r="N1564" t="str">
        <x:v>Approved</x:v>
      </x:c>
      <x:c r="O1564" t="n">
        <x:v>0</x:v>
      </x:c>
      <x:c r="P1564" t="str">
        <x:f>IF(L1564&gt;=75,"High",IF(L1564&gt;=55,"Medium","Low"))</x:f>
        <x:v>Low</x:v>
      </x:c>
    </x:row>
    <x:row r="1565">
      <x:c r="A1565" t="n">
        <x:v>1564</x:v>
      </x:c>
      <x:c r="B1565" t="n">
        <x:v>10269</x:v>
      </x:c>
      <x:c r="C1565" s="16" t="n">
        <x:v>46173</x:v>
      </x:c>
      <x:c r="D1565" t="str">
        <x:v>16:20:00</x:v>
      </x:c>
      <x:c r="E1565" t="str">
        <x:v>P2P</x:v>
      </x:c>
      <x:c r="F1565" t="str">
        <x:v>Electronics</x:v>
      </x:c>
      <x:c r="G1565" s="18" t="n">
        <x:v>139.56</x:v>
      </x:c>
      <x:c r="H1565" t="n">
        <x:v>0</x:v>
      </x:c>
      <x:c r="I1565" t="n">
        <x:v>0</x:v>
      </x:c>
      <x:c r="J1565" t="n">
        <x:v>0</x:v>
      </x:c>
      <x:c r="K1565" t="n">
        <x:v>0</x:v>
      </x:c>
      <x:c r="L1565" t="n">
        <x:v>10</x:v>
      </x:c>
      <x:c r="M1565" t="n">
        <x:v>0</x:v>
      </x:c>
      <x:c r="N1565" t="str">
        <x:v>Approved</x:v>
      </x:c>
      <x:c r="O1565" t="n">
        <x:v>0</x:v>
      </x:c>
      <x:c r="P1565" t="str">
        <x:f>IF(L1565&gt;=75,"High",IF(L1565&gt;=55,"Medium","Low"))</x:f>
        <x:v>Low</x:v>
      </x:c>
    </x:row>
    <x:row r="1566">
      <x:c r="A1566" t="n">
        <x:v>1565</x:v>
      </x:c>
      <x:c r="B1566" t="n">
        <x:v>10341</x:v>
      </x:c>
      <x:c r="C1566" s="16" t="n">
        <x:v>46248</x:v>
      </x:c>
      <x:c r="D1566" t="str">
        <x:v>20:22:00</x:v>
      </x:c>
      <x:c r="E1566" t="str">
        <x:v>Card</x:v>
      </x:c>
      <x:c r="F1566" t="str">
        <x:v>Utilities</x:v>
      </x:c>
      <x:c r="G1566" s="18" t="n">
        <x:v>89.34</x:v>
      </x:c>
      <x:c r="H1566" t="n">
        <x:v>1</x:v>
      </x:c>
      <x:c r="I1566" t="n">
        <x:v>0</x:v>
      </x:c>
      <x:c r="J1566" t="n">
        <x:v>0</x:v>
      </x:c>
      <x:c r="K1566" t="n">
        <x:v>0</x:v>
      </x:c>
      <x:c r="L1566" t="n">
        <x:v>36</x:v>
      </x:c>
      <x:c r="M1566" t="n">
        <x:v>0</x:v>
      </x:c>
      <x:c r="N1566" t="str">
        <x:v>Approved</x:v>
      </x:c>
      <x:c r="O1566" t="n">
        <x:v>0</x:v>
      </x:c>
      <x:c r="P1566" t="str">
        <x:f>IF(L1566&gt;=75,"High",IF(L1566&gt;=55,"Medium","Low"))</x:f>
        <x:v>Low</x:v>
      </x:c>
    </x:row>
    <x:row r="1567">
      <x:c r="A1567" t="n">
        <x:v>1566</x:v>
      </x:c>
      <x:c r="B1567" t="n">
        <x:v>10062</x:v>
      </x:c>
      <x:c r="C1567" s="16" t="n">
        <x:v>46197</x:v>
      </x:c>
      <x:c r="D1567" t="str">
        <x:v>10:17:00</x:v>
      </x:c>
      <x:c r="E1567" t="str">
        <x:v>Card</x:v>
      </x:c>
      <x:c r="F1567" t="str">
        <x:v>Electronics</x:v>
      </x:c>
      <x:c r="G1567" s="18" t="n">
        <x:v>170.22</x:v>
      </x:c>
      <x:c r="H1567" t="n">
        <x:v>0</x:v>
      </x:c>
      <x:c r="I1567" t="n">
        <x:v>0</x:v>
      </x:c>
      <x:c r="J1567" t="n">
        <x:v>0</x:v>
      </x:c>
      <x:c r="K1567" t="n">
        <x:v>0</x:v>
      </x:c>
      <x:c r="L1567" t="n">
        <x:v>10</x:v>
      </x:c>
      <x:c r="M1567" t="n">
        <x:v>0</x:v>
      </x:c>
      <x:c r="N1567" t="str">
        <x:v>Declined</x:v>
      </x:c>
      <x:c r="O1567" t="n">
        <x:v>0</x:v>
      </x:c>
      <x:c r="P1567" t="str">
        <x:f>IF(L1567&gt;=75,"High",IF(L1567&gt;=55,"Medium","Low"))</x:f>
        <x:v>Low</x:v>
      </x:c>
    </x:row>
    <x:row r="1568">
      <x:c r="A1568" t="n">
        <x:v>1567</x:v>
      </x:c>
      <x:c r="B1568" t="n">
        <x:v>10202</x:v>
      </x:c>
      <x:c r="C1568" s="16" t="n">
        <x:v>46233</x:v>
      </x:c>
      <x:c r="D1568" t="str">
        <x:v>06:15:00</x:v>
      </x:c>
      <x:c r="E1568" t="str">
        <x:v>Bank Transfer</x:v>
      </x:c>
      <x:c r="F1568" t="str">
        <x:v>Electronics</x:v>
      </x:c>
      <x:c r="G1568" s="18" t="n">
        <x:v>198.97</x:v>
      </x:c>
      <x:c r="H1568" t="n">
        <x:v>1</x:v>
      </x:c>
      <x:c r="I1568" t="n">
        <x:v>0</x:v>
      </x:c>
      <x:c r="J1568" t="n">
        <x:v>0</x:v>
      </x:c>
      <x:c r="K1568" t="n">
        <x:v>0</x:v>
      </x:c>
      <x:c r="L1568" t="n">
        <x:v>36</x:v>
      </x:c>
      <x:c r="M1568" t="n">
        <x:v>0</x:v>
      </x:c>
      <x:c r="N1568" t="str">
        <x:v>Approved</x:v>
      </x:c>
      <x:c r="O1568" t="n">
        <x:v>0</x:v>
      </x:c>
      <x:c r="P1568" t="str">
        <x:f>IF(L1568&gt;=75,"High",IF(L1568&gt;=55,"Medium","Low"))</x:f>
        <x:v>Low</x:v>
      </x:c>
    </x:row>
    <x:row r="1569">
      <x:c r="A1569" t="n">
        <x:v>1568</x:v>
      </x:c>
      <x:c r="B1569" t="n">
        <x:v>10359</x:v>
      </x:c>
      <x:c r="C1569" s="16" t="n">
        <x:v>46140</x:v>
      </x:c>
      <x:c r="D1569" t="str">
        <x:v>18:41:00</x:v>
      </x:c>
      <x:c r="E1569" t="str">
        <x:v>Card</x:v>
      </x:c>
      <x:c r="F1569" t="str">
        <x:v>Subscriptions</x:v>
      </x:c>
      <x:c r="G1569" s="18" t="n">
        <x:v>136.83</x:v>
      </x:c>
      <x:c r="H1569" t="n">
        <x:v>0</x:v>
      </x:c>
      <x:c r="I1569" t="n">
        <x:v>0</x:v>
      </x:c>
      <x:c r="J1569" t="n">
        <x:v>0</x:v>
      </x:c>
      <x:c r="K1569" t="n">
        <x:v>0</x:v>
      </x:c>
      <x:c r="L1569" t="n">
        <x:v>10</x:v>
      </x:c>
      <x:c r="M1569" t="n">
        <x:v>0</x:v>
      </x:c>
      <x:c r="N1569" t="str">
        <x:v>Declined</x:v>
      </x:c>
      <x:c r="O1569" t="n">
        <x:v>0</x:v>
      </x:c>
      <x:c r="P1569" t="str">
        <x:f>IF(L1569&gt;=75,"High",IF(L1569&gt;=55,"Medium","Low"))</x:f>
        <x:v>Low</x:v>
      </x:c>
    </x:row>
    <x:row r="1570">
      <x:c r="A1570" t="n">
        <x:v>1569</x:v>
      </x:c>
      <x:c r="B1570" t="n">
        <x:v>10343</x:v>
      </x:c>
      <x:c r="C1570" s="16" t="n">
        <x:v>46207</x:v>
      </x:c>
      <x:c r="D1570" t="str">
        <x:v>04:09:00</x:v>
      </x:c>
      <x:c r="E1570" t="str">
        <x:v>Card</x:v>
      </x:c>
      <x:c r="F1570" t="str">
        <x:v>Transfer</x:v>
      </x:c>
      <x:c r="G1570" s="18" t="n">
        <x:v>305.24</x:v>
      </x:c>
      <x:c r="H1570" t="n">
        <x:v>1</x:v>
      </x:c>
      <x:c r="I1570" t="n">
        <x:v>0</x:v>
      </x:c>
      <x:c r="J1570" t="n">
        <x:v>0</x:v>
      </x:c>
      <x:c r="K1570" t="n">
        <x:v>1</x:v>
      </x:c>
      <x:c r="L1570" t="n">
        <x:v>51</x:v>
      </x:c>
      <x:c r="M1570" t="n">
        <x:v>0</x:v>
      </x:c>
      <x:c r="N1570" t="str">
        <x:v>Approved</x:v>
      </x:c>
      <x:c r="O1570" t="n">
        <x:v>0</x:v>
      </x:c>
      <x:c r="P1570" t="str">
        <x:f>IF(L1570&gt;=75,"High",IF(L1570&gt;=55,"Medium","Low"))</x:f>
        <x:v>Low</x:v>
      </x:c>
    </x:row>
    <x:row r="1571">
      <x:c r="A1571" t="n">
        <x:v>1570</x:v>
      </x:c>
      <x:c r="B1571" t="n">
        <x:v>10295</x:v>
      </x:c>
      <x:c r="C1571" s="16" t="n">
        <x:v>46121</x:v>
      </x:c>
      <x:c r="D1571" t="str">
        <x:v>05:04:00</x:v>
      </x:c>
      <x:c r="E1571" t="str">
        <x:v>Card</x:v>
      </x:c>
      <x:c r="F1571" t="str">
        <x:v>Travel</x:v>
      </x:c>
      <x:c r="G1571" s="18" t="n">
        <x:v>51.62</x:v>
      </x:c>
      <x:c r="H1571" t="n">
        <x:v>0</x:v>
      </x:c>
      <x:c r="I1571" t="n">
        <x:v>0</x:v>
      </x:c>
      <x:c r="J1571" t="n">
        <x:v>0</x:v>
      </x:c>
      <x:c r="K1571" t="n">
        <x:v>0</x:v>
      </x:c>
      <x:c r="L1571" t="n">
        <x:v>10</x:v>
      </x:c>
      <x:c r="M1571" t="n">
        <x:v>0</x:v>
      </x:c>
      <x:c r="N1571" t="str">
        <x:v>Approved</x:v>
      </x:c>
      <x:c r="O1571" t="n">
        <x:v>0</x:v>
      </x:c>
      <x:c r="P1571" t="str">
        <x:f>IF(L1571&gt;=75,"High",IF(L1571&gt;=55,"Medium","Low"))</x:f>
        <x:v>Low</x:v>
      </x:c>
    </x:row>
    <x:row r="1572">
      <x:c r="A1572" t="n">
        <x:v>1571</x:v>
      </x:c>
      <x:c r="B1572" t="n">
        <x:v>10038</x:v>
      </x:c>
      <x:c r="C1572" s="16" t="n">
        <x:v>46239</x:v>
      </x:c>
      <x:c r="D1572" t="str">
        <x:v>08:21:00</x:v>
      </x:c>
      <x:c r="E1572" t="str">
        <x:v>Card</x:v>
      </x:c>
      <x:c r="F1572" t="str">
        <x:v>Retail</x:v>
      </x:c>
      <x:c r="G1572" s="18" t="n">
        <x:v>36.47</x:v>
      </x:c>
      <x:c r="H1572" t="n">
        <x:v>0</x:v>
      </x:c>
      <x:c r="I1572" t="n">
        <x:v>0</x:v>
      </x:c>
      <x:c r="J1572" t="n">
        <x:v>0</x:v>
      </x:c>
      <x:c r="K1572" t="n">
        <x:v>0</x:v>
      </x:c>
      <x:c r="L1572" t="n">
        <x:v>10</x:v>
      </x:c>
      <x:c r="M1572" t="n">
        <x:v>0</x:v>
      </x:c>
      <x:c r="N1572" t="str">
        <x:v>Approved</x:v>
      </x:c>
      <x:c r="O1572" t="n">
        <x:v>0</x:v>
      </x:c>
      <x:c r="P1572" t="str">
        <x:f>IF(L1572&gt;=75,"High",IF(L1572&gt;=55,"Medium","Low"))</x:f>
        <x:v>Low</x:v>
      </x:c>
    </x:row>
    <x:row r="1573">
      <x:c r="A1573" t="n">
        <x:v>1572</x:v>
      </x:c>
      <x:c r="B1573" t="n">
        <x:v>10232</x:v>
      </x:c>
      <x:c r="C1573" s="16" t="n">
        <x:v>46266</x:v>
      </x:c>
      <x:c r="D1573" t="str">
        <x:v>03:41:00</x:v>
      </x:c>
      <x:c r="E1573" t="str">
        <x:v>Card</x:v>
      </x:c>
      <x:c r="F1573" t="str">
        <x:v>Utilities</x:v>
      </x:c>
      <x:c r="G1573" s="18" t="n">
        <x:v>210.34</x:v>
      </x:c>
      <x:c r="H1573" t="n">
        <x:v>0</x:v>
      </x:c>
      <x:c r="I1573" t="n">
        <x:v>0</x:v>
      </x:c>
      <x:c r="J1573" t="n">
        <x:v>0</x:v>
      </x:c>
      <x:c r="K1573" t="n">
        <x:v>1</x:v>
      </x:c>
      <x:c r="L1573" t="n">
        <x:v>25</x:v>
      </x:c>
      <x:c r="M1573" t="n">
        <x:v>0</x:v>
      </x:c>
      <x:c r="N1573" t="str">
        <x:v>Approved</x:v>
      </x:c>
      <x:c r="O1573" t="n">
        <x:v>0</x:v>
      </x:c>
      <x:c r="P1573" t="str">
        <x:f>IF(L1573&gt;=75,"High",IF(L1573&gt;=55,"Medium","Low"))</x:f>
        <x:v>Low</x:v>
      </x:c>
    </x:row>
    <x:row r="1574">
      <x:c r="A1574" t="n">
        <x:v>1573</x:v>
      </x:c>
      <x:c r="B1574" t="n">
        <x:v>10032</x:v>
      </x:c>
      <x:c r="C1574" s="16" t="n">
        <x:v>46187</x:v>
      </x:c>
      <x:c r="D1574" t="str">
        <x:v>13:04:00</x:v>
      </x:c>
      <x:c r="E1574" t="str">
        <x:v>Card</x:v>
      </x:c>
      <x:c r="F1574" t="str">
        <x:v>Dining</x:v>
      </x:c>
      <x:c r="G1574" s="18" t="n">
        <x:v>26.88</x:v>
      </x:c>
      <x:c r="H1574" t="n">
        <x:v>0</x:v>
      </x:c>
      <x:c r="I1574" t="n">
        <x:v>0</x:v>
      </x:c>
      <x:c r="J1574" t="n">
        <x:v>0</x:v>
      </x:c>
      <x:c r="K1574" t="n">
        <x:v>0</x:v>
      </x:c>
      <x:c r="L1574" t="n">
        <x:v>10</x:v>
      </x:c>
      <x:c r="M1574" t="n">
        <x:v>0</x:v>
      </x:c>
      <x:c r="N1574" t="str">
        <x:v>Approved</x:v>
      </x:c>
      <x:c r="O1574" t="n">
        <x:v>0</x:v>
      </x:c>
      <x:c r="P1574" t="str">
        <x:f>IF(L1574&gt;=75,"High",IF(L1574&gt;=55,"Medium","Low"))</x:f>
        <x:v>Low</x:v>
      </x:c>
    </x:row>
    <x:row r="1575">
      <x:c r="A1575" t="n">
        <x:v>1574</x:v>
      </x:c>
      <x:c r="B1575" t="n">
        <x:v>10204</x:v>
      </x:c>
      <x:c r="C1575" s="16" t="n">
        <x:v>46137</x:v>
      </x:c>
      <x:c r="D1575" t="str">
        <x:v>16:42:00</x:v>
      </x:c>
      <x:c r="E1575" t="str">
        <x:v>Card</x:v>
      </x:c>
      <x:c r="F1575" t="str">
        <x:v>Transfer</x:v>
      </x:c>
      <x:c r="G1575" s="18" t="n">
        <x:v>236.72</x:v>
      </x:c>
      <x:c r="H1575" t="n">
        <x:v>1</x:v>
      </x:c>
      <x:c r="I1575" t="n">
        <x:v>1</x:v>
      </x:c>
      <x:c r="J1575" t="n">
        <x:v>0</x:v>
      </x:c>
      <x:c r="K1575" t="n">
        <x:v>0</x:v>
      </x:c>
      <x:c r="L1575" t="n">
        <x:v>56</x:v>
      </x:c>
      <x:c r="M1575" t="n">
        <x:v>1</x:v>
      </x:c>
      <x:c r="N1575" t="str">
        <x:v>Declined</x:v>
      </x:c>
      <x:c r="O1575" t="n">
        <x:v>0</x:v>
      </x:c>
      <x:c r="P1575" t="str">
        <x:f>IF(L1575&gt;=75,"High",IF(L1575&gt;=55,"Medium","Low"))</x:f>
        <x:v>Medium</x:v>
      </x:c>
    </x:row>
    <x:row r="1576">
      <x:c r="A1576" t="n">
        <x:v>1575</x:v>
      </x:c>
      <x:c r="B1576" t="n">
        <x:v>10287</x:v>
      </x:c>
      <x:c r="C1576" s="16" t="n">
        <x:v>46289</x:v>
      </x:c>
      <x:c r="D1576" t="str">
        <x:v>11:34:00</x:v>
      </x:c>
      <x:c r="E1576" t="str">
        <x:v>Card</x:v>
      </x:c>
      <x:c r="F1576" t="str">
        <x:v>Utilities</x:v>
      </x:c>
      <x:c r="G1576" s="18" t="n">
        <x:v>896.13</x:v>
      </x:c>
      <x:c r="H1576" t="n">
        <x:v>0</x:v>
      </x:c>
      <x:c r="I1576" t="n">
        <x:v>0</x:v>
      </x:c>
      <x:c r="J1576" t="n">
        <x:v>1</x:v>
      </x:c>
      <x:c r="K1576" t="n">
        <x:v>0</x:v>
      </x:c>
      <x:c r="L1576" t="n">
        <x:v>44</x:v>
      </x:c>
      <x:c r="M1576" t="n">
        <x:v>0</x:v>
      </x:c>
      <x:c r="N1576" t="str">
        <x:v>Approved</x:v>
      </x:c>
      <x:c r="O1576" t="n">
        <x:v>0</x:v>
      </x:c>
      <x:c r="P1576" t="str">
        <x:f>IF(L1576&gt;=75,"High",IF(L1576&gt;=55,"Medium","Low"))</x:f>
        <x:v>Low</x:v>
      </x:c>
    </x:row>
    <x:row r="1577">
      <x:c r="A1577" t="n">
        <x:v>1576</x:v>
      </x:c>
      <x:c r="B1577" t="n">
        <x:v>10273</x:v>
      </x:c>
      <x:c r="C1577" s="16" t="n">
        <x:v>46246</x:v>
      </x:c>
      <x:c r="D1577" t="str">
        <x:v>17:45:00</x:v>
      </x:c>
      <x:c r="E1577" t="str">
        <x:v>Card</x:v>
      </x:c>
      <x:c r="F1577" t="str">
        <x:v>Utilities</x:v>
      </x:c>
      <x:c r="G1577" s="18" t="n">
        <x:v>33.15</x:v>
      </x:c>
      <x:c r="H1577" t="n">
        <x:v>0</x:v>
      </x:c>
      <x:c r="I1577" t="n">
        <x:v>0</x:v>
      </x:c>
      <x:c r="J1577" t="n">
        <x:v>0</x:v>
      </x:c>
      <x:c r="K1577" t="n">
        <x:v>0</x:v>
      </x:c>
      <x:c r="L1577" t="n">
        <x:v>10</x:v>
      </x:c>
      <x:c r="M1577" t="n">
        <x:v>0</x:v>
      </x:c>
      <x:c r="N1577" t="str">
        <x:v>Approved</x:v>
      </x:c>
      <x:c r="O1577" t="n">
        <x:v>0</x:v>
      </x:c>
      <x:c r="P1577" t="str">
        <x:f>IF(L1577&gt;=75,"High",IF(L1577&gt;=55,"Medium","Low"))</x:f>
        <x:v>Low</x:v>
      </x:c>
    </x:row>
    <x:row r="1578">
      <x:c r="A1578" t="n">
        <x:v>1577</x:v>
      </x:c>
      <x:c r="B1578" t="n">
        <x:v>10196</x:v>
      </x:c>
      <x:c r="C1578" s="16" t="n">
        <x:v>46126</x:v>
      </x:c>
      <x:c r="D1578" t="str">
        <x:v>23:41:00</x:v>
      </x:c>
      <x:c r="E1578" t="str">
        <x:v>Card</x:v>
      </x:c>
      <x:c r="F1578" t="str">
        <x:v>Utilities</x:v>
      </x:c>
      <x:c r="G1578" s="18" t="n">
        <x:v>63.79</x:v>
      </x:c>
      <x:c r="H1578" t="n">
        <x:v>0</x:v>
      </x:c>
      <x:c r="I1578" t="n">
        <x:v>0</x:v>
      </x:c>
      <x:c r="J1578" t="n">
        <x:v>0</x:v>
      </x:c>
      <x:c r="K1578" t="n">
        <x:v>0</x:v>
      </x:c>
      <x:c r="L1578" t="n">
        <x:v>10</x:v>
      </x:c>
      <x:c r="M1578" t="n">
        <x:v>0</x:v>
      </x:c>
      <x:c r="N1578" t="str">
        <x:v>Approved</x:v>
      </x:c>
      <x:c r="O1578" t="n">
        <x:v>0</x:v>
      </x:c>
      <x:c r="P1578" t="str">
        <x:f>IF(L1578&gt;=75,"High",IF(L1578&gt;=55,"Medium","Low"))</x:f>
        <x:v>Low</x:v>
      </x:c>
    </x:row>
    <x:row r="1579">
      <x:c r="A1579" t="n">
        <x:v>1578</x:v>
      </x:c>
      <x:c r="B1579" t="n">
        <x:v>10170</x:v>
      </x:c>
      <x:c r="C1579" s="16" t="n">
        <x:v>46215</x:v>
      </x:c>
      <x:c r="D1579" t="str">
        <x:v>00:24:00</x:v>
      </x:c>
      <x:c r="E1579" t="str">
        <x:v>Card</x:v>
      </x:c>
      <x:c r="F1579" t="str">
        <x:v>Subscriptions</x:v>
      </x:c>
      <x:c r="G1579" s="18" t="n">
        <x:v>375.84</x:v>
      </x:c>
      <x:c r="H1579" t="n">
        <x:v>0</x:v>
      </x:c>
      <x:c r="I1579" t="n">
        <x:v>0</x:v>
      </x:c>
      <x:c r="J1579" t="n">
        <x:v>0</x:v>
      </x:c>
      <x:c r="K1579" t="n">
        <x:v>1</x:v>
      </x:c>
      <x:c r="L1579" t="n">
        <x:v>25</x:v>
      </x:c>
      <x:c r="M1579" t="n">
        <x:v>0</x:v>
      </x:c>
      <x:c r="N1579" t="str">
        <x:v>Approved</x:v>
      </x:c>
      <x:c r="O1579" t="n">
        <x:v>0</x:v>
      </x:c>
      <x:c r="P1579" t="str">
        <x:f>IF(L1579&gt;=75,"High",IF(L1579&gt;=55,"Medium","Low"))</x:f>
        <x:v>Low</x:v>
      </x:c>
    </x:row>
    <x:row r="1580">
      <x:c r="A1580" t="n">
        <x:v>1579</x:v>
      </x:c>
      <x:c r="B1580" t="n">
        <x:v>10084</x:v>
      </x:c>
      <x:c r="C1580" s="16" t="n">
        <x:v>46169</x:v>
      </x:c>
      <x:c r="D1580" t="str">
        <x:v>23:15:00</x:v>
      </x:c>
      <x:c r="E1580" t="str">
        <x:v>Card</x:v>
      </x:c>
      <x:c r="F1580" t="str">
        <x:v>Retail</x:v>
      </x:c>
      <x:c r="G1580" s="18" t="n">
        <x:v>242.72</x:v>
      </x:c>
      <x:c r="H1580" t="n">
        <x:v>0</x:v>
      </x:c>
      <x:c r="I1580" t="n">
        <x:v>0</x:v>
      </x:c>
      <x:c r="J1580" t="n">
        <x:v>0</x:v>
      </x:c>
      <x:c r="K1580" t="n">
        <x:v>0</x:v>
      </x:c>
      <x:c r="L1580" t="n">
        <x:v>10</x:v>
      </x:c>
      <x:c r="M1580" t="n">
        <x:v>0</x:v>
      </x:c>
      <x:c r="N1580" t="str">
        <x:v>Approved</x:v>
      </x:c>
      <x:c r="O1580" t="n">
        <x:v>0</x:v>
      </x:c>
      <x:c r="P1580" t="str">
        <x:f>IF(L1580&gt;=75,"High",IF(L1580&gt;=55,"Medium","Low"))</x:f>
        <x:v>Low</x:v>
      </x:c>
    </x:row>
    <x:row r="1581">
      <x:c r="A1581" t="n">
        <x:v>1580</x:v>
      </x:c>
      <x:c r="B1581" t="n">
        <x:v>10341</x:v>
      </x:c>
      <x:c r="C1581" s="16" t="n">
        <x:v>46249</x:v>
      </x:c>
      <x:c r="D1581" t="str">
        <x:v>14:29:00</x:v>
      </x:c>
      <x:c r="E1581" t="str">
        <x:v>Card</x:v>
      </x:c>
      <x:c r="F1581" t="str">
        <x:v>Transfer</x:v>
      </x:c>
      <x:c r="G1581" s="18" t="n">
        <x:v>74.5</x:v>
      </x:c>
      <x:c r="H1581" t="n">
        <x:v>0</x:v>
      </x:c>
      <x:c r="I1581" t="n">
        <x:v>1</x:v>
      </x:c>
      <x:c r="J1581" t="n">
        <x:v>0</x:v>
      </x:c>
      <x:c r="K1581" t="n">
        <x:v>0</x:v>
      </x:c>
      <x:c r="L1581" t="n">
        <x:v>30</x:v>
      </x:c>
      <x:c r="M1581" t="n">
        <x:v>0</x:v>
      </x:c>
      <x:c r="N1581" t="str">
        <x:v>Approved</x:v>
      </x:c>
      <x:c r="O1581" t="n">
        <x:v>0</x:v>
      </x:c>
      <x:c r="P1581" t="str">
        <x:f>IF(L1581&gt;=75,"High",IF(L1581&gt;=55,"Medium","Low"))</x:f>
        <x:v>Low</x:v>
      </x:c>
    </x:row>
    <x:row r="1582">
      <x:c r="A1582" t="n">
        <x:v>1581</x:v>
      </x:c>
      <x:c r="B1582" t="n">
        <x:v>10238</x:v>
      </x:c>
      <x:c r="C1582" s="16" t="n">
        <x:v>46129</x:v>
      </x:c>
      <x:c r="D1582" t="str">
        <x:v>15:51:00</x:v>
      </x:c>
      <x:c r="E1582" t="str">
        <x:v>Card</x:v>
      </x:c>
      <x:c r="F1582" t="str">
        <x:v>Utilities</x:v>
      </x:c>
      <x:c r="G1582" s="18" t="n">
        <x:v>376.95</x:v>
      </x:c>
      <x:c r="H1582" t="n">
        <x:v>0</x:v>
      </x:c>
      <x:c r="I1582" t="n">
        <x:v>0</x:v>
      </x:c>
      <x:c r="J1582" t="n">
        <x:v>0</x:v>
      </x:c>
      <x:c r="K1582" t="n">
        <x:v>0</x:v>
      </x:c>
      <x:c r="L1582" t="n">
        <x:v>10</x:v>
      </x:c>
      <x:c r="M1582" t="n">
        <x:v>0</x:v>
      </x:c>
      <x:c r="N1582" t="str">
        <x:v>Approved</x:v>
      </x:c>
      <x:c r="O1582" t="n">
        <x:v>1</x:v>
      </x:c>
      <x:c r="P1582" t="str">
        <x:f>IF(L1582&gt;=75,"High",IF(L1582&gt;=55,"Medium","Low"))</x:f>
        <x:v>Low</x:v>
      </x:c>
    </x:row>
    <x:row r="1583">
      <x:c r="A1583" t="n">
        <x:v>1582</x:v>
      </x:c>
      <x:c r="B1583" t="n">
        <x:v>10101</x:v>
      </x:c>
      <x:c r="C1583" s="16" t="n">
        <x:v>46241</x:v>
      </x:c>
      <x:c r="D1583" t="str">
        <x:v>08:51:00</x:v>
      </x:c>
      <x:c r="E1583" t="str">
        <x:v>Card</x:v>
      </x:c>
      <x:c r="F1583" t="str">
        <x:v>Electronics</x:v>
      </x:c>
      <x:c r="G1583" s="18" t="n">
        <x:v>59.09</x:v>
      </x:c>
      <x:c r="H1583" t="n">
        <x:v>0</x:v>
      </x:c>
      <x:c r="I1583" t="n">
        <x:v>0</x:v>
      </x:c>
      <x:c r="J1583" t="n">
        <x:v>0</x:v>
      </x:c>
      <x:c r="K1583" t="n">
        <x:v>0</x:v>
      </x:c>
      <x:c r="L1583" t="n">
        <x:v>10</x:v>
      </x:c>
      <x:c r="M1583" t="n">
        <x:v>0</x:v>
      </x:c>
      <x:c r="N1583" t="str">
        <x:v>Approved</x:v>
      </x:c>
      <x:c r="O1583" t="n">
        <x:v>0</x:v>
      </x:c>
      <x:c r="P1583" t="str">
        <x:f>IF(L1583&gt;=75,"High",IF(L1583&gt;=55,"Medium","Low"))</x:f>
        <x:v>Low</x:v>
      </x:c>
    </x:row>
    <x:row r="1584">
      <x:c r="A1584" t="n">
        <x:v>1583</x:v>
      </x:c>
      <x:c r="B1584" t="n">
        <x:v>10168</x:v>
      </x:c>
      <x:c r="C1584" s="16" t="n">
        <x:v>46167</x:v>
      </x:c>
      <x:c r="D1584" t="str">
        <x:v>16:06:00</x:v>
      </x:c>
      <x:c r="E1584" t="str">
        <x:v>P2P</x:v>
      </x:c>
      <x:c r="F1584" t="str">
        <x:v>Utilities</x:v>
      </x:c>
      <x:c r="G1584" s="18" t="n">
        <x:v>47.62</x:v>
      </x:c>
      <x:c r="H1584" t="n">
        <x:v>0</x:v>
      </x:c>
      <x:c r="I1584" t="n">
        <x:v>0</x:v>
      </x:c>
      <x:c r="J1584" t="n">
        <x:v>0</x:v>
      </x:c>
      <x:c r="K1584" t="n">
        <x:v>0</x:v>
      </x:c>
      <x:c r="L1584" t="n">
        <x:v>10</x:v>
      </x:c>
      <x:c r="M1584" t="n">
        <x:v>0</x:v>
      </x:c>
      <x:c r="N1584" t="str">
        <x:v>Approved</x:v>
      </x:c>
      <x:c r="O1584" t="n">
        <x:v>0</x:v>
      </x:c>
      <x:c r="P1584" t="str">
        <x:f>IF(L1584&gt;=75,"High",IF(L1584&gt;=55,"Medium","Low"))</x:f>
        <x:v>Low</x:v>
      </x:c>
    </x:row>
    <x:row r="1585">
      <x:c r="A1585" t="n">
        <x:v>1584</x:v>
      </x:c>
      <x:c r="B1585" t="n">
        <x:v>10240</x:v>
      </x:c>
      <x:c r="C1585" s="16" t="n">
        <x:v>46246</x:v>
      </x:c>
      <x:c r="D1585" t="str">
        <x:v>11:49:00</x:v>
      </x:c>
      <x:c r="E1585" t="str">
        <x:v>Card</x:v>
      </x:c>
      <x:c r="F1585" t="str">
        <x:v>Utilities</x:v>
      </x:c>
      <x:c r="G1585" s="18" t="n">
        <x:v>115.11</x:v>
      </x:c>
      <x:c r="H1585" t="n">
        <x:v>0</x:v>
      </x:c>
      <x:c r="I1585" t="n">
        <x:v>0</x:v>
      </x:c>
      <x:c r="J1585" t="n">
        <x:v>0</x:v>
      </x:c>
      <x:c r="K1585" t="n">
        <x:v>0</x:v>
      </x:c>
      <x:c r="L1585" t="n">
        <x:v>10</x:v>
      </x:c>
      <x:c r="M1585" t="n">
        <x:v>0</x:v>
      </x:c>
      <x:c r="N1585" t="str">
        <x:v>Approved</x:v>
      </x:c>
      <x:c r="O1585" t="n">
        <x:v>0</x:v>
      </x:c>
      <x:c r="P1585" t="str">
        <x:f>IF(L1585&gt;=75,"High",IF(L1585&gt;=55,"Medium","Low"))</x:f>
        <x:v>Low</x:v>
      </x:c>
    </x:row>
    <x:row r="1586">
      <x:c r="A1586" t="n">
        <x:v>1585</x:v>
      </x:c>
      <x:c r="B1586" t="n">
        <x:v>10266</x:v>
      </x:c>
      <x:c r="C1586" s="16" t="n">
        <x:v>46208</x:v>
      </x:c>
      <x:c r="D1586" t="str">
        <x:v>15:52:00</x:v>
      </x:c>
      <x:c r="E1586" t="str">
        <x:v>Card</x:v>
      </x:c>
      <x:c r="F1586" t="str">
        <x:v>Utilities</x:v>
      </x:c>
      <x:c r="G1586" s="18" t="n">
        <x:v>59</x:v>
      </x:c>
      <x:c r="H1586" t="n">
        <x:v>0</x:v>
      </x:c>
      <x:c r="I1586" t="n">
        <x:v>0</x:v>
      </x:c>
      <x:c r="J1586" t="n">
        <x:v>0</x:v>
      </x:c>
      <x:c r="K1586" t="n">
        <x:v>0</x:v>
      </x:c>
      <x:c r="L1586" t="n">
        <x:v>10</x:v>
      </x:c>
      <x:c r="M1586" t="n">
        <x:v>0</x:v>
      </x:c>
      <x:c r="N1586" t="str">
        <x:v>Approved</x:v>
      </x:c>
      <x:c r="O1586" t="n">
        <x:v>0</x:v>
      </x:c>
      <x:c r="P1586" t="str">
        <x:f>IF(L1586&gt;=75,"High",IF(L1586&gt;=55,"Medium","Low"))</x:f>
        <x:v>Low</x:v>
      </x:c>
    </x:row>
    <x:row r="1587">
      <x:c r="A1587" t="n">
        <x:v>1586</x:v>
      </x:c>
      <x:c r="B1587" t="n">
        <x:v>10175</x:v>
      </x:c>
      <x:c r="C1587" s="16" t="n">
        <x:v>46169</x:v>
      </x:c>
      <x:c r="D1587" t="str">
        <x:v>13:02:00</x:v>
      </x:c>
      <x:c r="E1587" t="str">
        <x:v>Bank Transfer</x:v>
      </x:c>
      <x:c r="F1587" t="str">
        <x:v>Utilities</x:v>
      </x:c>
      <x:c r="G1587" s="18" t="n">
        <x:v>32.01</x:v>
      </x:c>
      <x:c r="H1587" t="n">
        <x:v>0</x:v>
      </x:c>
      <x:c r="I1587" t="n">
        <x:v>1</x:v>
      </x:c>
      <x:c r="J1587" t="n">
        <x:v>0</x:v>
      </x:c>
      <x:c r="K1587" t="n">
        <x:v>0</x:v>
      </x:c>
      <x:c r="L1587" t="n">
        <x:v>30</x:v>
      </x:c>
      <x:c r="M1587" t="n">
        <x:v>0</x:v>
      </x:c>
      <x:c r="N1587" t="str">
        <x:v>Approved</x:v>
      </x:c>
      <x:c r="O1587" t="n">
        <x:v>0</x:v>
      </x:c>
      <x:c r="P1587" t="str">
        <x:f>IF(L1587&gt;=75,"High",IF(L1587&gt;=55,"Medium","Low"))</x:f>
        <x:v>Low</x:v>
      </x:c>
    </x:row>
    <x:row r="1588">
      <x:c r="A1588" t="n">
        <x:v>1587</x:v>
      </x:c>
      <x:c r="B1588" t="n">
        <x:v>10284</x:v>
      </x:c>
      <x:c r="C1588" s="16" t="n">
        <x:v>46225</x:v>
      </x:c>
      <x:c r="D1588" t="str">
        <x:v>04:19:00</x:v>
      </x:c>
      <x:c r="E1588" t="str">
        <x:v>Card</x:v>
      </x:c>
      <x:c r="F1588" t="str">
        <x:v>Transfer</x:v>
      </x:c>
      <x:c r="G1588" s="18" t="n">
        <x:v>51.22</x:v>
      </x:c>
      <x:c r="H1588" t="n">
        <x:v>0</x:v>
      </x:c>
      <x:c r="I1588" t="n">
        <x:v>0</x:v>
      </x:c>
      <x:c r="J1588" t="n">
        <x:v>0</x:v>
      </x:c>
      <x:c r="K1588" t="n">
        <x:v>1</x:v>
      </x:c>
      <x:c r="L1588" t="n">
        <x:v>25</x:v>
      </x:c>
      <x:c r="M1588" t="n">
        <x:v>0</x:v>
      </x:c>
      <x:c r="N1588" t="str">
        <x:v>Approved</x:v>
      </x:c>
      <x:c r="O1588" t="n">
        <x:v>0</x:v>
      </x:c>
      <x:c r="P1588" t="str">
        <x:f>IF(L1588&gt;=75,"High",IF(L1588&gt;=55,"Medium","Low"))</x:f>
        <x:v>Low</x:v>
      </x:c>
    </x:row>
    <x:row r="1589">
      <x:c r="A1589" t="n">
        <x:v>1588</x:v>
      </x:c>
      <x:c r="B1589" t="n">
        <x:v>10134</x:v>
      </x:c>
      <x:c r="C1589" s="16" t="n">
        <x:v>46138</x:v>
      </x:c>
      <x:c r="D1589" t="str">
        <x:v>04:37:00</x:v>
      </x:c>
      <x:c r="E1589" t="str">
        <x:v>Card</x:v>
      </x:c>
      <x:c r="F1589" t="str">
        <x:v>Travel</x:v>
      </x:c>
      <x:c r="G1589" s="18" t="n">
        <x:v>129.5</x:v>
      </x:c>
      <x:c r="H1589" t="n">
        <x:v>0</x:v>
      </x:c>
      <x:c r="I1589" t="n">
        <x:v>0</x:v>
      </x:c>
      <x:c r="J1589" t="n">
        <x:v>0</x:v>
      </x:c>
      <x:c r="K1589" t="n">
        <x:v>1</x:v>
      </x:c>
      <x:c r="L1589" t="n">
        <x:v>25</x:v>
      </x:c>
      <x:c r="M1589" t="n">
        <x:v>0</x:v>
      </x:c>
      <x:c r="N1589" t="str">
        <x:v>Declined</x:v>
      </x:c>
      <x:c r="O1589" t="n">
        <x:v>0</x:v>
      </x:c>
      <x:c r="P1589" t="str">
        <x:f>IF(L1589&gt;=75,"High",IF(L1589&gt;=55,"Medium","Low"))</x:f>
        <x:v>Low</x:v>
      </x:c>
    </x:row>
    <x:row r="1590">
      <x:c r="A1590" t="n">
        <x:v>1589</x:v>
      </x:c>
      <x:c r="B1590" t="n">
        <x:v>10325</x:v>
      </x:c>
      <x:c r="C1590" s="16" t="n">
        <x:v>46255</x:v>
      </x:c>
      <x:c r="D1590" t="str">
        <x:v>06:59:00</x:v>
      </x:c>
      <x:c r="E1590" t="str">
        <x:v>Card</x:v>
      </x:c>
      <x:c r="F1590" t="str">
        <x:v>Transfer</x:v>
      </x:c>
      <x:c r="G1590" s="18" t="n">
        <x:v>262.05</x:v>
      </x:c>
      <x:c r="H1590" t="n">
        <x:v>1</x:v>
      </x:c>
      <x:c r="I1590" t="n">
        <x:v>0</x:v>
      </x:c>
      <x:c r="J1590" t="n">
        <x:v>0</x:v>
      </x:c>
      <x:c r="K1590" t="n">
        <x:v>0</x:v>
      </x:c>
      <x:c r="L1590" t="n">
        <x:v>36</x:v>
      </x:c>
      <x:c r="M1590" t="n">
        <x:v>0</x:v>
      </x:c>
      <x:c r="N1590" t="str">
        <x:v>Declined</x:v>
      </x:c>
      <x:c r="O1590" t="n">
        <x:v>0</x:v>
      </x:c>
      <x:c r="P1590" t="str">
        <x:f>IF(L1590&gt;=75,"High",IF(L1590&gt;=55,"Medium","Low"))</x:f>
        <x:v>Low</x:v>
      </x:c>
    </x:row>
    <x:row r="1591">
      <x:c r="A1591" t="n">
        <x:v>1590</x:v>
      </x:c>
      <x:c r="B1591" t="n">
        <x:v>10124</x:v>
      </x:c>
      <x:c r="C1591" s="16" t="n">
        <x:v>46245</x:v>
      </x:c>
      <x:c r="D1591" t="str">
        <x:v>02:33:00</x:v>
      </x:c>
      <x:c r="E1591" t="str">
        <x:v>Card</x:v>
      </x:c>
      <x:c r="F1591" t="str">
        <x:v>Electronics</x:v>
      </x:c>
      <x:c r="G1591" s="18" t="n">
        <x:v>54.72</x:v>
      </x:c>
      <x:c r="H1591" t="n">
        <x:v>0</x:v>
      </x:c>
      <x:c r="I1591" t="n">
        <x:v>0</x:v>
      </x:c>
      <x:c r="J1591" t="n">
        <x:v>0</x:v>
      </x:c>
      <x:c r="K1591" t="n">
        <x:v>1</x:v>
      </x:c>
      <x:c r="L1591" t="n">
        <x:v>25</x:v>
      </x:c>
      <x:c r="M1591" t="n">
        <x:v>0</x:v>
      </x:c>
      <x:c r="N1591" t="str">
        <x:v>Declined</x:v>
      </x:c>
      <x:c r="O1591" t="n">
        <x:v>0</x:v>
      </x:c>
      <x:c r="P1591" t="str">
        <x:f>IF(L1591&gt;=75,"High",IF(L1591&gt;=55,"Medium","Low"))</x:f>
        <x:v>Low</x:v>
      </x:c>
    </x:row>
    <x:row r="1592">
      <x:c r="A1592" t="n">
        <x:v>1591</x:v>
      </x:c>
      <x:c r="B1592" t="n">
        <x:v>10013</x:v>
      </x:c>
      <x:c r="C1592" s="16" t="n">
        <x:v>46152</x:v>
      </x:c>
      <x:c r="D1592" t="str">
        <x:v>17:15:00</x:v>
      </x:c>
      <x:c r="E1592" t="str">
        <x:v>Card</x:v>
      </x:c>
      <x:c r="F1592" t="str">
        <x:v>Travel</x:v>
      </x:c>
      <x:c r="G1592" s="18" t="n">
        <x:v>288.74</x:v>
      </x:c>
      <x:c r="H1592" t="n">
        <x:v>1</x:v>
      </x:c>
      <x:c r="I1592" t="n">
        <x:v>1</x:v>
      </x:c>
      <x:c r="J1592" t="n">
        <x:v>0</x:v>
      </x:c>
      <x:c r="K1592" t="n">
        <x:v>0</x:v>
      </x:c>
      <x:c r="L1592" t="n">
        <x:v>56</x:v>
      </x:c>
      <x:c r="M1592" t="n">
        <x:v>1</x:v>
      </x:c>
      <x:c r="N1592" t="str">
        <x:v>Approved</x:v>
      </x:c>
      <x:c r="O1592" t="n">
        <x:v>0</x:v>
      </x:c>
      <x:c r="P1592" t="str">
        <x:f>IF(L1592&gt;=75,"High",IF(L1592&gt;=55,"Medium","Low"))</x:f>
        <x:v>Medium</x:v>
      </x:c>
    </x:row>
    <x:row r="1593">
      <x:c r="A1593" t="n">
        <x:v>1592</x:v>
      </x:c>
      <x:c r="B1593" t="n">
        <x:v>10336</x:v>
      </x:c>
      <x:c r="C1593" s="16" t="n">
        <x:v>46161</x:v>
      </x:c>
      <x:c r="D1593" t="str">
        <x:v>13:42:00</x:v>
      </x:c>
      <x:c r="E1593" t="str">
        <x:v>Card</x:v>
      </x:c>
      <x:c r="F1593" t="str">
        <x:v>Electronics</x:v>
      </x:c>
      <x:c r="G1593" s="18" t="n">
        <x:v>281.22</x:v>
      </x:c>
      <x:c r="H1593" t="n">
        <x:v>0</x:v>
      </x:c>
      <x:c r="I1593" t="n">
        <x:v>0</x:v>
      </x:c>
      <x:c r="J1593" t="n">
        <x:v>0</x:v>
      </x:c>
      <x:c r="K1593" t="n">
        <x:v>0</x:v>
      </x:c>
      <x:c r="L1593" t="n">
        <x:v>10</x:v>
      </x:c>
      <x:c r="M1593" t="n">
        <x:v>0</x:v>
      </x:c>
      <x:c r="N1593" t="str">
        <x:v>Approved</x:v>
      </x:c>
      <x:c r="O1593" t="n">
        <x:v>0</x:v>
      </x:c>
      <x:c r="P1593" t="str">
        <x:f>IF(L1593&gt;=75,"High",IF(L1593&gt;=55,"Medium","Low"))</x:f>
        <x:v>Low</x:v>
      </x:c>
    </x:row>
    <x:row r="1594">
      <x:c r="A1594" t="n">
        <x:v>1593</x:v>
      </x:c>
      <x:c r="B1594" t="n">
        <x:v>10331</x:v>
      </x:c>
      <x:c r="C1594" s="16" t="n">
        <x:v>46126</x:v>
      </x:c>
      <x:c r="D1594" t="str">
        <x:v>21:43:00</x:v>
      </x:c>
      <x:c r="E1594" t="str">
        <x:v>Card</x:v>
      </x:c>
      <x:c r="F1594" t="str">
        <x:v>Electronics</x:v>
      </x:c>
      <x:c r="G1594" s="18" t="n">
        <x:v>53.12</x:v>
      </x:c>
      <x:c r="H1594" t="n">
        <x:v>0</x:v>
      </x:c>
      <x:c r="I1594" t="n">
        <x:v>0</x:v>
      </x:c>
      <x:c r="J1594" t="n">
        <x:v>0</x:v>
      </x:c>
      <x:c r="K1594" t="n">
        <x:v>0</x:v>
      </x:c>
      <x:c r="L1594" t="n">
        <x:v>10</x:v>
      </x:c>
      <x:c r="M1594" t="n">
        <x:v>0</x:v>
      </x:c>
      <x:c r="N1594" t="str">
        <x:v>Approved</x:v>
      </x:c>
      <x:c r="O1594" t="n">
        <x:v>0</x:v>
      </x:c>
      <x:c r="P1594" t="str">
        <x:f>IF(L1594&gt;=75,"High",IF(L1594&gt;=55,"Medium","Low"))</x:f>
        <x:v>Low</x:v>
      </x:c>
    </x:row>
    <x:row r="1595">
      <x:c r="A1595" t="n">
        <x:v>1594</x:v>
      </x:c>
      <x:c r="B1595" t="n">
        <x:v>10111</x:v>
      </x:c>
      <x:c r="C1595" s="16" t="n">
        <x:v>46180</x:v>
      </x:c>
      <x:c r="D1595" t="str">
        <x:v>21:21:00</x:v>
      </x:c>
      <x:c r="E1595" t="str">
        <x:v>Card</x:v>
      </x:c>
      <x:c r="F1595" t="str">
        <x:v>Travel</x:v>
      </x:c>
      <x:c r="G1595" s="18" t="n">
        <x:v>161.75</x:v>
      </x:c>
      <x:c r="H1595" t="n">
        <x:v>0</x:v>
      </x:c>
      <x:c r="I1595" t="n">
        <x:v>1</x:v>
      </x:c>
      <x:c r="J1595" t="n">
        <x:v>0</x:v>
      </x:c>
      <x:c r="K1595" t="n">
        <x:v>0</x:v>
      </x:c>
      <x:c r="L1595" t="n">
        <x:v>30</x:v>
      </x:c>
      <x:c r="M1595" t="n">
        <x:v>0</x:v>
      </x:c>
      <x:c r="N1595" t="str">
        <x:v>Approved</x:v>
      </x:c>
      <x:c r="O1595" t="n">
        <x:v>0</x:v>
      </x:c>
      <x:c r="P1595" t="str">
        <x:f>IF(L1595&gt;=75,"High",IF(L1595&gt;=55,"Medium","Low"))</x:f>
        <x:v>Low</x:v>
      </x:c>
    </x:row>
    <x:row r="1596">
      <x:c r="A1596" t="n">
        <x:v>1595</x:v>
      </x:c>
      <x:c r="B1596" t="n">
        <x:v>10141</x:v>
      </x:c>
      <x:c r="C1596" s="16" t="n">
        <x:v>46216</x:v>
      </x:c>
      <x:c r="D1596" t="str">
        <x:v>22:42:00</x:v>
      </x:c>
      <x:c r="E1596" t="str">
        <x:v>Card</x:v>
      </x:c>
      <x:c r="F1596" t="str">
        <x:v>Travel</x:v>
      </x:c>
      <x:c r="G1596" s="18" t="n">
        <x:v>89.22</x:v>
      </x:c>
      <x:c r="H1596" t="n">
        <x:v>0</x:v>
      </x:c>
      <x:c r="I1596" t="n">
        <x:v>0</x:v>
      </x:c>
      <x:c r="J1596" t="n">
        <x:v>0</x:v>
      </x:c>
      <x:c r="K1596" t="n">
        <x:v>0</x:v>
      </x:c>
      <x:c r="L1596" t="n">
        <x:v>10</x:v>
      </x:c>
      <x:c r="M1596" t="n">
        <x:v>0</x:v>
      </x:c>
      <x:c r="N1596" t="str">
        <x:v>Approved</x:v>
      </x:c>
      <x:c r="O1596" t="n">
        <x:v>0</x:v>
      </x:c>
      <x:c r="P1596" t="str">
        <x:f>IF(L1596&gt;=75,"High",IF(L1596&gt;=55,"Medium","Low"))</x:f>
        <x:v>Low</x:v>
      </x:c>
    </x:row>
    <x:row r="1597">
      <x:c r="A1597" t="n">
        <x:v>1596</x:v>
      </x:c>
      <x:c r="B1597" t="n">
        <x:v>10174</x:v>
      </x:c>
      <x:c r="C1597" s="16" t="n">
        <x:v>46213</x:v>
      </x:c>
      <x:c r="D1597" t="str">
        <x:v>22:36:00</x:v>
      </x:c>
      <x:c r="E1597" t="str">
        <x:v>Card</x:v>
      </x:c>
      <x:c r="F1597" t="str">
        <x:v>Utilities</x:v>
      </x:c>
      <x:c r="G1597" s="18" t="n">
        <x:v>169.69</x:v>
      </x:c>
      <x:c r="H1597" t="n">
        <x:v>0</x:v>
      </x:c>
      <x:c r="I1597" t="n">
        <x:v>0</x:v>
      </x:c>
      <x:c r="J1597" t="n">
        <x:v>0</x:v>
      </x:c>
      <x:c r="K1597" t="n">
        <x:v>0</x:v>
      </x:c>
      <x:c r="L1597" t="n">
        <x:v>10</x:v>
      </x:c>
      <x:c r="M1597" t="n">
        <x:v>0</x:v>
      </x:c>
      <x:c r="N1597" t="str">
        <x:v>Approved</x:v>
      </x:c>
      <x:c r="O1597" t="n">
        <x:v>0</x:v>
      </x:c>
      <x:c r="P1597" t="str">
        <x:f>IF(L1597&gt;=75,"High",IF(L1597&gt;=55,"Medium","Low"))</x:f>
        <x:v>Low</x:v>
      </x:c>
    </x:row>
    <x:row r="1598">
      <x:c r="A1598" t="n">
        <x:v>1597</x:v>
      </x:c>
      <x:c r="B1598" t="n">
        <x:v>10331</x:v>
      </x:c>
      <x:c r="C1598" s="16" t="n">
        <x:v>46188</x:v>
      </x:c>
      <x:c r="D1598" t="str">
        <x:v>10:05:00</x:v>
      </x:c>
      <x:c r="E1598" t="str">
        <x:v>Bank Transfer</x:v>
      </x:c>
      <x:c r="F1598" t="str">
        <x:v>Utilities</x:v>
      </x:c>
      <x:c r="G1598" s="18" t="n">
        <x:v>50.08</x:v>
      </x:c>
      <x:c r="H1598" t="n">
        <x:v>0</x:v>
      </x:c>
      <x:c r="I1598" t="n">
        <x:v>0</x:v>
      </x:c>
      <x:c r="J1598" t="n">
        <x:v>0</x:v>
      </x:c>
      <x:c r="K1598" t="n">
        <x:v>0</x:v>
      </x:c>
      <x:c r="L1598" t="n">
        <x:v>10</x:v>
      </x:c>
      <x:c r="M1598" t="n">
        <x:v>0</x:v>
      </x:c>
      <x:c r="N1598" t="str">
        <x:v>Approved</x:v>
      </x:c>
      <x:c r="O1598" t="n">
        <x:v>0</x:v>
      </x:c>
      <x:c r="P1598" t="str">
        <x:f>IF(L1598&gt;=75,"High",IF(L1598&gt;=55,"Medium","Low"))</x:f>
        <x:v>Low</x:v>
      </x:c>
    </x:row>
    <x:row r="1599">
      <x:c r="A1599" t="n">
        <x:v>1598</x:v>
      </x:c>
      <x:c r="B1599" t="n">
        <x:v>10141</x:v>
      </x:c>
      <x:c r="C1599" s="16" t="n">
        <x:v>46282</x:v>
      </x:c>
      <x:c r="D1599" t="str">
        <x:v>12:41:00</x:v>
      </x:c>
      <x:c r="E1599" t="str">
        <x:v>P2P</x:v>
      </x:c>
      <x:c r="F1599" t="str">
        <x:v>Electronics</x:v>
      </x:c>
      <x:c r="G1599" s="18" t="n">
        <x:v>194.21</x:v>
      </x:c>
      <x:c r="H1599" t="n">
        <x:v>0</x:v>
      </x:c>
      <x:c r="I1599" t="n">
        <x:v>0</x:v>
      </x:c>
      <x:c r="J1599" t="n">
        <x:v>0</x:v>
      </x:c>
      <x:c r="K1599" t="n">
        <x:v>0</x:v>
      </x:c>
      <x:c r="L1599" t="n">
        <x:v>10</x:v>
      </x:c>
      <x:c r="M1599" t="n">
        <x:v>0</x:v>
      </x:c>
      <x:c r="N1599" t="str">
        <x:v>Approved</x:v>
      </x:c>
      <x:c r="O1599" t="n">
        <x:v>0</x:v>
      </x:c>
      <x:c r="P1599" t="str">
        <x:f>IF(L1599&gt;=75,"High",IF(L1599&gt;=55,"Medium","Low"))</x:f>
        <x:v>Low</x:v>
      </x:c>
    </x:row>
    <x:row r="1600">
      <x:c r="A1600" t="n">
        <x:v>1599</x:v>
      </x:c>
      <x:c r="B1600" t="n">
        <x:v>10038</x:v>
      </x:c>
      <x:c r="C1600" s="16" t="n">
        <x:v>46177</x:v>
      </x:c>
      <x:c r="D1600" t="str">
        <x:v>22:28:00</x:v>
      </x:c>
      <x:c r="E1600" t="str">
        <x:v>P2P</x:v>
      </x:c>
      <x:c r="F1600" t="str">
        <x:v>Subscriptions</x:v>
      </x:c>
      <x:c r="G1600" s="18" t="n">
        <x:v>111.83</x:v>
      </x:c>
      <x:c r="H1600" t="n">
        <x:v>1</x:v>
      </x:c>
      <x:c r="I1600" t="n">
        <x:v>1</x:v>
      </x:c>
      <x:c r="J1600" t="n">
        <x:v>0</x:v>
      </x:c>
      <x:c r="K1600" t="n">
        <x:v>0</x:v>
      </x:c>
      <x:c r="L1600" t="n">
        <x:v>56</x:v>
      </x:c>
      <x:c r="M1600" t="n">
        <x:v>1</x:v>
      </x:c>
      <x:c r="N1600" t="str">
        <x:v>Declined</x:v>
      </x:c>
      <x:c r="O1600" t="n">
        <x:v>0</x:v>
      </x:c>
      <x:c r="P1600" t="str">
        <x:f>IF(L1600&gt;=75,"High",IF(L1600&gt;=55,"Medium","Low"))</x:f>
        <x:v>Medium</x:v>
      </x:c>
    </x:row>
    <x:row r="1601">
      <x:c r="A1601" t="n">
        <x:v>1600</x:v>
      </x:c>
      <x:c r="B1601" t="n">
        <x:v>10232</x:v>
      </x:c>
      <x:c r="C1601" s="16" t="n">
        <x:v>46196</x:v>
      </x:c>
      <x:c r="D1601" t="str">
        <x:v>03:58:00</x:v>
      </x:c>
      <x:c r="E1601" t="str">
        <x:v>Card</x:v>
      </x:c>
      <x:c r="F1601" t="str">
        <x:v>Transfer</x:v>
      </x:c>
      <x:c r="G1601" s="18" t="n">
        <x:v>149.3</x:v>
      </x:c>
      <x:c r="H1601" t="n">
        <x:v>0</x:v>
      </x:c>
      <x:c r="I1601" t="n">
        <x:v>0</x:v>
      </x:c>
      <x:c r="J1601" t="n">
        <x:v>0</x:v>
      </x:c>
      <x:c r="K1601" t="n">
        <x:v>1</x:v>
      </x:c>
      <x:c r="L1601" t="n">
        <x:v>25</x:v>
      </x:c>
      <x:c r="M1601" t="n">
        <x:v>0</x:v>
      </x:c>
      <x:c r="N1601" t="str">
        <x:v>Approved</x:v>
      </x:c>
      <x:c r="O1601" t="n">
        <x:v>0</x:v>
      </x:c>
      <x:c r="P1601" t="str">
        <x:f>IF(L1601&gt;=75,"High",IF(L1601&gt;=55,"Medium","Low"))</x:f>
        <x:v>Low</x:v>
      </x:c>
    </x:row>
    <x:row r="1602">
      <x:c r="A1602" t="n">
        <x:v>1601</x:v>
      </x:c>
      <x:c r="B1602" t="n">
        <x:v>10304</x:v>
      </x:c>
      <x:c r="C1602" s="16" t="n">
        <x:v>46135</x:v>
      </x:c>
      <x:c r="D1602" t="str">
        <x:v>00:04:00</x:v>
      </x:c>
      <x:c r="E1602" t="str">
        <x:v>Card</x:v>
      </x:c>
      <x:c r="F1602" t="str">
        <x:v>Transfer</x:v>
      </x:c>
      <x:c r="G1602" s="18" t="n">
        <x:v>110.54</x:v>
      </x:c>
      <x:c r="H1602" t="n">
        <x:v>0</x:v>
      </x:c>
      <x:c r="I1602" t="n">
        <x:v>0</x:v>
      </x:c>
      <x:c r="J1602" t="n">
        <x:v>0</x:v>
      </x:c>
      <x:c r="K1602" t="n">
        <x:v>1</x:v>
      </x:c>
      <x:c r="L1602" t="n">
        <x:v>25</x:v>
      </x:c>
      <x:c r="M1602" t="n">
        <x:v>0</x:v>
      </x:c>
      <x:c r="N1602" t="str">
        <x:v>Declined</x:v>
      </x:c>
      <x:c r="O1602" t="n">
        <x:v>0</x:v>
      </x:c>
      <x:c r="P1602" t="str">
        <x:f>IF(L1602&gt;=75,"High",IF(L1602&gt;=55,"Medium","Low"))</x:f>
        <x:v>Low</x:v>
      </x:c>
    </x:row>
    <x:row r="1603">
      <x:c r="A1603" t="n">
        <x:v>1602</x:v>
      </x:c>
      <x:c r="B1603" t="n">
        <x:v>10246</x:v>
      </x:c>
      <x:c r="C1603" s="16" t="n">
        <x:v>46124</x:v>
      </x:c>
      <x:c r="D1603" t="str">
        <x:v>05:13:00</x:v>
      </x:c>
      <x:c r="E1603" t="str">
        <x:v>P2P</x:v>
      </x:c>
      <x:c r="F1603" t="str">
        <x:v>Electronics</x:v>
      </x:c>
      <x:c r="G1603" s="18" t="n">
        <x:v>6.48</x:v>
      </x:c>
      <x:c r="H1603" t="n">
        <x:v>0</x:v>
      </x:c>
      <x:c r="I1603" t="n">
        <x:v>0</x:v>
      </x:c>
      <x:c r="J1603" t="n">
        <x:v>0</x:v>
      </x:c>
      <x:c r="K1603" t="n">
        <x:v>0</x:v>
      </x:c>
      <x:c r="L1603" t="n">
        <x:v>10</x:v>
      </x:c>
      <x:c r="M1603" t="n">
        <x:v>0</x:v>
      </x:c>
      <x:c r="N1603" t="str">
        <x:v>Declined</x:v>
      </x:c>
      <x:c r="O1603" t="n">
        <x:v>0</x:v>
      </x:c>
      <x:c r="P1603" t="str">
        <x:f>IF(L1603&gt;=75,"High",IF(L1603&gt;=55,"Medium","Low"))</x:f>
        <x:v>Low</x:v>
      </x:c>
    </x:row>
    <x:row r="1604">
      <x:c r="A1604" t="n">
        <x:v>1603</x:v>
      </x:c>
      <x:c r="B1604" t="n">
        <x:v>10244</x:v>
      </x:c>
      <x:c r="C1604" s="16" t="n">
        <x:v>46159</x:v>
      </x:c>
      <x:c r="D1604" t="str">
        <x:v>15:36:00</x:v>
      </x:c>
      <x:c r="E1604" t="str">
        <x:v>P2P</x:v>
      </x:c>
      <x:c r="F1604" t="str">
        <x:v>Travel</x:v>
      </x:c>
      <x:c r="G1604" s="18" t="n">
        <x:v>200.39</x:v>
      </x:c>
      <x:c r="H1604" t="n">
        <x:v>0</x:v>
      </x:c>
      <x:c r="I1604" t="n">
        <x:v>0</x:v>
      </x:c>
      <x:c r="J1604" t="n">
        <x:v>0</x:v>
      </x:c>
      <x:c r="K1604" t="n">
        <x:v>0</x:v>
      </x:c>
      <x:c r="L1604" t="n">
        <x:v>10</x:v>
      </x:c>
      <x:c r="M1604" t="n">
        <x:v>0</x:v>
      </x:c>
      <x:c r="N1604" t="str">
        <x:v>Approved</x:v>
      </x:c>
      <x:c r="O1604" t="n">
        <x:v>0</x:v>
      </x:c>
      <x:c r="P1604" t="str">
        <x:f>IF(L1604&gt;=75,"High",IF(L1604&gt;=55,"Medium","Low"))</x:f>
        <x:v>Low</x:v>
      </x:c>
    </x:row>
    <x:row r="1605">
      <x:c r="A1605" t="n">
        <x:v>1604</x:v>
      </x:c>
      <x:c r="B1605" t="n">
        <x:v>10054</x:v>
      </x:c>
      <x:c r="C1605" s="16" t="n">
        <x:v>46127</x:v>
      </x:c>
      <x:c r="D1605" t="str">
        <x:v>05:28:00</x:v>
      </x:c>
      <x:c r="E1605" t="str">
        <x:v>Card</x:v>
      </x:c>
      <x:c r="F1605" t="str">
        <x:v>Transfer</x:v>
      </x:c>
      <x:c r="G1605" s="18" t="n">
        <x:v>208.03</x:v>
      </x:c>
      <x:c r="H1605" t="n">
        <x:v>0</x:v>
      </x:c>
      <x:c r="I1605" t="n">
        <x:v>0</x:v>
      </x:c>
      <x:c r="J1605" t="n">
        <x:v>0</x:v>
      </x:c>
      <x:c r="K1605" t="n">
        <x:v>0</x:v>
      </x:c>
      <x:c r="L1605" t="n">
        <x:v>10</x:v>
      </x:c>
      <x:c r="M1605" t="n">
        <x:v>0</x:v>
      </x:c>
      <x:c r="N1605" t="str">
        <x:v>Approved</x:v>
      </x:c>
      <x:c r="O1605" t="n">
        <x:v>0</x:v>
      </x:c>
      <x:c r="P1605" t="str">
        <x:f>IF(L1605&gt;=75,"High",IF(L1605&gt;=55,"Medium","Low"))</x:f>
        <x:v>Low</x:v>
      </x:c>
    </x:row>
    <x:row r="1606">
      <x:c r="A1606" t="n">
        <x:v>1605</x:v>
      </x:c>
      <x:c r="B1606" t="n">
        <x:v>10343</x:v>
      </x:c>
      <x:c r="C1606" s="16" t="n">
        <x:v>46241</x:v>
      </x:c>
      <x:c r="D1606" t="str">
        <x:v>19:54:00</x:v>
      </x:c>
      <x:c r="E1606" t="str">
        <x:v>Card</x:v>
      </x:c>
      <x:c r="F1606" t="str">
        <x:v>Electronics</x:v>
      </x:c>
      <x:c r="G1606" s="18" t="n">
        <x:v>536.44</x:v>
      </x:c>
      <x:c r="H1606" t="n">
        <x:v>0</x:v>
      </x:c>
      <x:c r="I1606" t="n">
        <x:v>0</x:v>
      </x:c>
      <x:c r="J1606" t="n">
        <x:v>0</x:v>
      </x:c>
      <x:c r="K1606" t="n">
        <x:v>0</x:v>
      </x:c>
      <x:c r="L1606" t="n">
        <x:v>10</x:v>
      </x:c>
      <x:c r="M1606" t="n">
        <x:v>0</x:v>
      </x:c>
      <x:c r="N1606" t="str">
        <x:v>Approved</x:v>
      </x:c>
      <x:c r="O1606" t="n">
        <x:v>0</x:v>
      </x:c>
      <x:c r="P1606" t="str">
        <x:f>IF(L1606&gt;=75,"High",IF(L1606&gt;=55,"Medium","Low"))</x:f>
        <x:v>Low</x:v>
      </x:c>
    </x:row>
    <x:row r="1607">
      <x:c r="A1607" t="n">
        <x:v>1606</x:v>
      </x:c>
      <x:c r="B1607" t="n">
        <x:v>10352</x:v>
      </x:c>
      <x:c r="C1607" s="16" t="n">
        <x:v>46113</x:v>
      </x:c>
      <x:c r="D1607" t="str">
        <x:v>02:27:00</x:v>
      </x:c>
      <x:c r="E1607" t="str">
        <x:v>P2P</x:v>
      </x:c>
      <x:c r="F1607" t="str">
        <x:v>Subscriptions</x:v>
      </x:c>
      <x:c r="G1607" s="18" t="n">
        <x:v>77.6</x:v>
      </x:c>
      <x:c r="H1607" t="n">
        <x:v>0</x:v>
      </x:c>
      <x:c r="I1607" t="n">
        <x:v>0</x:v>
      </x:c>
      <x:c r="J1607" t="n">
        <x:v>0</x:v>
      </x:c>
      <x:c r="K1607" t="n">
        <x:v>1</x:v>
      </x:c>
      <x:c r="L1607" t="n">
        <x:v>25</x:v>
      </x:c>
      <x:c r="M1607" t="n">
        <x:v>0</x:v>
      </x:c>
      <x:c r="N1607" t="str">
        <x:v>Approved</x:v>
      </x:c>
      <x:c r="O1607" t="n">
        <x:v>0</x:v>
      </x:c>
      <x:c r="P1607" t="str">
        <x:f>IF(L1607&gt;=75,"High",IF(L1607&gt;=55,"Medium","Low"))</x:f>
        <x:v>Low</x:v>
      </x:c>
    </x:row>
    <x:row r="1608">
      <x:c r="A1608" t="n">
        <x:v>1607</x:v>
      </x:c>
      <x:c r="B1608" t="n">
        <x:v>10136</x:v>
      </x:c>
      <x:c r="C1608" s="16" t="n">
        <x:v>46123</x:v>
      </x:c>
      <x:c r="D1608" t="str">
        <x:v>02:07:00</x:v>
      </x:c>
      <x:c r="E1608" t="str">
        <x:v>P2P</x:v>
      </x:c>
      <x:c r="F1608" t="str">
        <x:v>Utilities</x:v>
      </x:c>
      <x:c r="G1608" s="18" t="n">
        <x:v>89.84</x:v>
      </x:c>
      <x:c r="H1608" t="n">
        <x:v>1</x:v>
      </x:c>
      <x:c r="I1608" t="n">
        <x:v>0</x:v>
      </x:c>
      <x:c r="J1608" t="n">
        <x:v>0</x:v>
      </x:c>
      <x:c r="K1608" t="n">
        <x:v>1</x:v>
      </x:c>
      <x:c r="L1608" t="n">
        <x:v>51</x:v>
      </x:c>
      <x:c r="M1608" t="n">
        <x:v>0</x:v>
      </x:c>
      <x:c r="N1608" t="str">
        <x:v>Approved</x:v>
      </x:c>
      <x:c r="O1608" t="n">
        <x:v>0</x:v>
      </x:c>
      <x:c r="P1608" t="str">
        <x:f>IF(L1608&gt;=75,"High",IF(L1608&gt;=55,"Medium","Low"))</x:f>
        <x:v>Low</x:v>
      </x:c>
    </x:row>
    <x:row r="1609">
      <x:c r="A1609" t="n">
        <x:v>1608</x:v>
      </x:c>
      <x:c r="B1609" t="n">
        <x:v>10187</x:v>
      </x:c>
      <x:c r="C1609" s="16" t="n">
        <x:v>46225</x:v>
      </x:c>
      <x:c r="D1609" t="str">
        <x:v>08:06:00</x:v>
      </x:c>
      <x:c r="E1609" t="str">
        <x:v>Card</x:v>
      </x:c>
      <x:c r="F1609" t="str">
        <x:v>Retail</x:v>
      </x:c>
      <x:c r="G1609" s="18" t="n">
        <x:v>161.31</x:v>
      </x:c>
      <x:c r="H1609" t="n">
        <x:v>0</x:v>
      </x:c>
      <x:c r="I1609" t="n">
        <x:v>0</x:v>
      </x:c>
      <x:c r="J1609" t="n">
        <x:v>0</x:v>
      </x:c>
      <x:c r="K1609" t="n">
        <x:v>0</x:v>
      </x:c>
      <x:c r="L1609" t="n">
        <x:v>10</x:v>
      </x:c>
      <x:c r="M1609" t="n">
        <x:v>0</x:v>
      </x:c>
      <x:c r="N1609" t="str">
        <x:v>Approved</x:v>
      </x:c>
      <x:c r="O1609" t="n">
        <x:v>0</x:v>
      </x:c>
      <x:c r="P1609" t="str">
        <x:f>IF(L1609&gt;=75,"High",IF(L1609&gt;=55,"Medium","Low"))</x:f>
        <x:v>Low</x:v>
      </x:c>
    </x:row>
    <x:row r="1610">
      <x:c r="A1610" t="n">
        <x:v>1609</x:v>
      </x:c>
      <x:c r="B1610" t="n">
        <x:v>10255</x:v>
      </x:c>
      <x:c r="C1610" s="16" t="n">
        <x:v>46118</x:v>
      </x:c>
      <x:c r="D1610" t="str">
        <x:v>17:24:00</x:v>
      </x:c>
      <x:c r="E1610" t="str">
        <x:v>P2P</x:v>
      </x:c>
      <x:c r="F1610" t="str">
        <x:v>Travel</x:v>
      </x:c>
      <x:c r="G1610" s="18" t="n">
        <x:v>425.65</x:v>
      </x:c>
      <x:c r="H1610" t="n">
        <x:v>1</x:v>
      </x:c>
      <x:c r="I1610" t="n">
        <x:v>0</x:v>
      </x:c>
      <x:c r="J1610" t="n">
        <x:v>0</x:v>
      </x:c>
      <x:c r="K1610" t="n">
        <x:v>0</x:v>
      </x:c>
      <x:c r="L1610" t="n">
        <x:v>36</x:v>
      </x:c>
      <x:c r="M1610" t="n">
        <x:v>0</x:v>
      </x:c>
      <x:c r="N1610" t="str">
        <x:v>Approved</x:v>
      </x:c>
      <x:c r="O1610" t="n">
        <x:v>0</x:v>
      </x:c>
      <x:c r="P1610" t="str">
        <x:f>IF(L1610&gt;=75,"High",IF(L1610&gt;=55,"Medium","Low"))</x:f>
        <x:v>Low</x:v>
      </x:c>
    </x:row>
    <x:row r="1611">
      <x:c r="A1611" t="n">
        <x:v>1610</x:v>
      </x:c>
      <x:c r="B1611" t="n">
        <x:v>10234</x:v>
      </x:c>
      <x:c r="C1611" s="16" t="n">
        <x:v>46293</x:v>
      </x:c>
      <x:c r="D1611" t="str">
        <x:v>03:58:00</x:v>
      </x:c>
      <x:c r="E1611" t="str">
        <x:v>Card</x:v>
      </x:c>
      <x:c r="F1611" t="str">
        <x:v>Subscriptions</x:v>
      </x:c>
      <x:c r="G1611" s="18" t="n">
        <x:v>82.38</x:v>
      </x:c>
      <x:c r="H1611" t="n">
        <x:v>0</x:v>
      </x:c>
      <x:c r="I1611" t="n">
        <x:v>0</x:v>
      </x:c>
      <x:c r="J1611" t="n">
        <x:v>0</x:v>
      </x:c>
      <x:c r="K1611" t="n">
        <x:v>1</x:v>
      </x:c>
      <x:c r="L1611" t="n">
        <x:v>25</x:v>
      </x:c>
      <x:c r="M1611" t="n">
        <x:v>0</x:v>
      </x:c>
      <x:c r="N1611" t="str">
        <x:v>Approved</x:v>
      </x:c>
      <x:c r="O1611" t="n">
        <x:v>0</x:v>
      </x:c>
      <x:c r="P1611" t="str">
        <x:f>IF(L1611&gt;=75,"High",IF(L1611&gt;=55,"Medium","Low"))</x:f>
        <x:v>Low</x:v>
      </x:c>
    </x:row>
    <x:row r="1612">
      <x:c r="A1612" t="n">
        <x:v>1611</x:v>
      </x:c>
      <x:c r="B1612" t="n">
        <x:v>10298</x:v>
      </x:c>
      <x:c r="C1612" s="16" t="n">
        <x:v>46211</x:v>
      </x:c>
      <x:c r="D1612" t="str">
        <x:v>04:29:00</x:v>
      </x:c>
      <x:c r="E1612" t="str">
        <x:v>Card</x:v>
      </x:c>
      <x:c r="F1612" t="str">
        <x:v>Transfer</x:v>
      </x:c>
      <x:c r="G1612" s="18" t="n">
        <x:v>164.48</x:v>
      </x:c>
      <x:c r="H1612" t="n">
        <x:v>1</x:v>
      </x:c>
      <x:c r="I1612" t="n">
        <x:v>1</x:v>
      </x:c>
      <x:c r="J1612" t="n">
        <x:v>0</x:v>
      </x:c>
      <x:c r="K1612" t="n">
        <x:v>1</x:v>
      </x:c>
      <x:c r="L1612" t="n">
        <x:v>71</x:v>
      </x:c>
      <x:c r="M1612" t="n">
        <x:v>1</x:v>
      </x:c>
      <x:c r="N1612" t="str">
        <x:v>Approved</x:v>
      </x:c>
      <x:c r="O1612" t="n">
        <x:v>0</x:v>
      </x:c>
      <x:c r="P1612" t="str">
        <x:f>IF(L1612&gt;=75,"High",IF(L1612&gt;=55,"Medium","Low"))</x:f>
        <x:v>Medium</x:v>
      </x:c>
    </x:row>
    <x:row r="1613">
      <x:c r="A1613" t="n">
        <x:v>1612</x:v>
      </x:c>
      <x:c r="B1613" t="n">
        <x:v>10347</x:v>
      </x:c>
      <x:c r="C1613" s="16" t="n">
        <x:v>46184</x:v>
      </x:c>
      <x:c r="D1613" t="str">
        <x:v>20:33:00</x:v>
      </x:c>
      <x:c r="E1613" t="str">
        <x:v>Card</x:v>
      </x:c>
      <x:c r="F1613" t="str">
        <x:v>Dining</x:v>
      </x:c>
      <x:c r="G1613" s="18" t="n">
        <x:v>35.63</x:v>
      </x:c>
      <x:c r="H1613" t="n">
        <x:v>1</x:v>
      </x:c>
      <x:c r="I1613" t="n">
        <x:v>0</x:v>
      </x:c>
      <x:c r="J1613" t="n">
        <x:v>0</x:v>
      </x:c>
      <x:c r="K1613" t="n">
        <x:v>0</x:v>
      </x:c>
      <x:c r="L1613" t="n">
        <x:v>36</x:v>
      </x:c>
      <x:c r="M1613" t="n">
        <x:v>0</x:v>
      </x:c>
      <x:c r="N1613" t="str">
        <x:v>Approved</x:v>
      </x:c>
      <x:c r="O1613" t="n">
        <x:v>0</x:v>
      </x:c>
      <x:c r="P1613" t="str">
        <x:f>IF(L1613&gt;=75,"High",IF(L1613&gt;=55,"Medium","Low"))</x:f>
        <x:v>Low</x:v>
      </x:c>
    </x:row>
    <x:row r="1614">
      <x:c r="A1614" t="n">
        <x:v>1613</x:v>
      </x:c>
      <x:c r="B1614" t="n">
        <x:v>10077</x:v>
      </x:c>
      <x:c r="C1614" s="16" t="n">
        <x:v>46241</x:v>
      </x:c>
      <x:c r="D1614" t="str">
        <x:v>18:42:00</x:v>
      </x:c>
      <x:c r="E1614" t="str">
        <x:v>P2P</x:v>
      </x:c>
      <x:c r="F1614" t="str">
        <x:v>Electronics</x:v>
      </x:c>
      <x:c r="G1614" s="18" t="n">
        <x:v>318.89</x:v>
      </x:c>
      <x:c r="H1614" t="n">
        <x:v>0</x:v>
      </x:c>
      <x:c r="I1614" t="n">
        <x:v>0</x:v>
      </x:c>
      <x:c r="J1614" t="n">
        <x:v>0</x:v>
      </x:c>
      <x:c r="K1614" t="n">
        <x:v>0</x:v>
      </x:c>
      <x:c r="L1614" t="n">
        <x:v>10</x:v>
      </x:c>
      <x:c r="M1614" t="n">
        <x:v>0</x:v>
      </x:c>
      <x:c r="N1614" t="str">
        <x:v>Declined</x:v>
      </x:c>
      <x:c r="O1614" t="n">
        <x:v>0</x:v>
      </x:c>
      <x:c r="P1614" t="str">
        <x:f>IF(L1614&gt;=75,"High",IF(L1614&gt;=55,"Medium","Low"))</x:f>
        <x:v>Low</x:v>
      </x:c>
    </x:row>
    <x:row r="1615">
      <x:c r="A1615" t="n">
        <x:v>1614</x:v>
      </x:c>
      <x:c r="B1615" t="n">
        <x:v>10169</x:v>
      </x:c>
      <x:c r="C1615" s="16" t="n">
        <x:v>46199</x:v>
      </x:c>
      <x:c r="D1615" t="str">
        <x:v>10:49:00</x:v>
      </x:c>
      <x:c r="E1615" t="str">
        <x:v>Bank Transfer</x:v>
      </x:c>
      <x:c r="F1615" t="str">
        <x:v>Transfer</x:v>
      </x:c>
      <x:c r="G1615" s="18" t="n">
        <x:v>178.46</x:v>
      </x:c>
      <x:c r="H1615" t="n">
        <x:v>1</x:v>
      </x:c>
      <x:c r="I1615" t="n">
        <x:v>0</x:v>
      </x:c>
      <x:c r="J1615" t="n">
        <x:v>0</x:v>
      </x:c>
      <x:c r="K1615" t="n">
        <x:v>0</x:v>
      </x:c>
      <x:c r="L1615" t="n">
        <x:v>36</x:v>
      </x:c>
      <x:c r="M1615" t="n">
        <x:v>0</x:v>
      </x:c>
      <x:c r="N1615" t="str">
        <x:v>Approved</x:v>
      </x:c>
      <x:c r="O1615" t="n">
        <x:v>0</x:v>
      </x:c>
      <x:c r="P1615" t="str">
        <x:f>IF(L1615&gt;=75,"High",IF(L1615&gt;=55,"Medium","Low"))</x:f>
        <x:v>Low</x:v>
      </x:c>
    </x:row>
    <x:row r="1616">
      <x:c r="A1616" t="n">
        <x:v>1615</x:v>
      </x:c>
      <x:c r="B1616" t="n">
        <x:v>10120</x:v>
      </x:c>
      <x:c r="C1616" s="16" t="n">
        <x:v>46143</x:v>
      </x:c>
      <x:c r="D1616" t="str">
        <x:v>03:23:00</x:v>
      </x:c>
      <x:c r="E1616" t="str">
        <x:v>Card</x:v>
      </x:c>
      <x:c r="F1616" t="str">
        <x:v>Utilities</x:v>
      </x:c>
      <x:c r="G1616" s="18" t="n">
        <x:v>159.54</x:v>
      </x:c>
      <x:c r="H1616" t="n">
        <x:v>0</x:v>
      </x:c>
      <x:c r="I1616" t="n">
        <x:v>0</x:v>
      </x:c>
      <x:c r="J1616" t="n">
        <x:v>0</x:v>
      </x:c>
      <x:c r="K1616" t="n">
        <x:v>1</x:v>
      </x:c>
      <x:c r="L1616" t="n">
        <x:v>25</x:v>
      </x:c>
      <x:c r="M1616" t="n">
        <x:v>0</x:v>
      </x:c>
      <x:c r="N1616" t="str">
        <x:v>Approved</x:v>
      </x:c>
      <x:c r="O1616" t="n">
        <x:v>1</x:v>
      </x:c>
      <x:c r="P1616" t="str">
        <x:f>IF(L1616&gt;=75,"High",IF(L1616&gt;=55,"Medium","Low"))</x:f>
        <x:v>Low</x:v>
      </x:c>
    </x:row>
    <x:row r="1617">
      <x:c r="A1617" t="n">
        <x:v>1616</x:v>
      </x:c>
      <x:c r="B1617" t="n">
        <x:v>10309</x:v>
      </x:c>
      <x:c r="C1617" s="16" t="n">
        <x:v>46146</x:v>
      </x:c>
      <x:c r="D1617" t="str">
        <x:v>18:11:00</x:v>
      </x:c>
      <x:c r="E1617" t="str">
        <x:v>Card</x:v>
      </x:c>
      <x:c r="F1617" t="str">
        <x:v>Travel</x:v>
      </x:c>
      <x:c r="G1617" s="18" t="n">
        <x:v>108.84</x:v>
      </x:c>
      <x:c r="H1617" t="n">
        <x:v>0</x:v>
      </x:c>
      <x:c r="I1617" t="n">
        <x:v>0</x:v>
      </x:c>
      <x:c r="J1617" t="n">
        <x:v>0</x:v>
      </x:c>
      <x:c r="K1617" t="n">
        <x:v>0</x:v>
      </x:c>
      <x:c r="L1617" t="n">
        <x:v>10</x:v>
      </x:c>
      <x:c r="M1617" t="n">
        <x:v>0</x:v>
      </x:c>
      <x:c r="N1617" t="str">
        <x:v>Approved</x:v>
      </x:c>
      <x:c r="O1617" t="n">
        <x:v>0</x:v>
      </x:c>
      <x:c r="P1617" t="str">
        <x:f>IF(L1617&gt;=75,"High",IF(L1617&gt;=55,"Medium","Low"))</x:f>
        <x:v>Low</x:v>
      </x:c>
    </x:row>
    <x:row r="1618">
      <x:c r="A1618" t="n">
        <x:v>1617</x:v>
      </x:c>
      <x:c r="B1618" t="n">
        <x:v>10141</x:v>
      </x:c>
      <x:c r="C1618" s="16" t="n">
        <x:v>46218</x:v>
      </x:c>
      <x:c r="D1618" t="str">
        <x:v>12:30:00</x:v>
      </x:c>
      <x:c r="E1618" t="str">
        <x:v>Card</x:v>
      </x:c>
      <x:c r="F1618" t="str">
        <x:v>Utilities</x:v>
      </x:c>
      <x:c r="G1618" s="18" t="n">
        <x:v>69.92</x:v>
      </x:c>
      <x:c r="H1618" t="n">
        <x:v>0</x:v>
      </x:c>
      <x:c r="I1618" t="n">
        <x:v>1</x:v>
      </x:c>
      <x:c r="J1618" t="n">
        <x:v>0</x:v>
      </x:c>
      <x:c r="K1618" t="n">
        <x:v>0</x:v>
      </x:c>
      <x:c r="L1618" t="n">
        <x:v>30</x:v>
      </x:c>
      <x:c r="M1618" t="n">
        <x:v>0</x:v>
      </x:c>
      <x:c r="N1618" t="str">
        <x:v>Approved</x:v>
      </x:c>
      <x:c r="O1618" t="n">
        <x:v>0</x:v>
      </x:c>
      <x:c r="P1618" t="str">
        <x:f>IF(L1618&gt;=75,"High",IF(L1618&gt;=55,"Medium","Low"))</x:f>
        <x:v>Low</x:v>
      </x:c>
    </x:row>
    <x:row r="1619">
      <x:c r="A1619" t="n">
        <x:v>1618</x:v>
      </x:c>
      <x:c r="B1619" t="n">
        <x:v>10055</x:v>
      </x:c>
      <x:c r="C1619" s="16" t="n">
        <x:v>46253</x:v>
      </x:c>
      <x:c r="D1619" t="str">
        <x:v>04:38:00</x:v>
      </x:c>
      <x:c r="E1619" t="str">
        <x:v>Card</x:v>
      </x:c>
      <x:c r="F1619" t="str">
        <x:v>Subscriptions</x:v>
      </x:c>
      <x:c r="G1619" s="18" t="n">
        <x:v>102.05</x:v>
      </x:c>
      <x:c r="H1619" t="n">
        <x:v>0</x:v>
      </x:c>
      <x:c r="I1619" t="n">
        <x:v>0</x:v>
      </x:c>
      <x:c r="J1619" t="n">
        <x:v>0</x:v>
      </x:c>
      <x:c r="K1619" t="n">
        <x:v>1</x:v>
      </x:c>
      <x:c r="L1619" t="n">
        <x:v>25</x:v>
      </x:c>
      <x:c r="M1619" t="n">
        <x:v>0</x:v>
      </x:c>
      <x:c r="N1619" t="str">
        <x:v>Approved</x:v>
      </x:c>
      <x:c r="O1619" t="n">
        <x:v>0</x:v>
      </x:c>
      <x:c r="P1619" t="str">
        <x:f>IF(L1619&gt;=75,"High",IF(L1619&gt;=55,"Medium","Low"))</x:f>
        <x:v>Low</x:v>
      </x:c>
    </x:row>
    <x:row r="1620">
      <x:c r="A1620" t="n">
        <x:v>1619</x:v>
      </x:c>
      <x:c r="B1620" t="n">
        <x:v>10172</x:v>
      </x:c>
      <x:c r="C1620" s="16" t="n">
        <x:v>46277</x:v>
      </x:c>
      <x:c r="D1620" t="str">
        <x:v>22:45:00</x:v>
      </x:c>
      <x:c r="E1620" t="str">
        <x:v>P2P</x:v>
      </x:c>
      <x:c r="F1620" t="str">
        <x:v>Electronics</x:v>
      </x:c>
      <x:c r="G1620" s="18" t="n">
        <x:v>325.07</x:v>
      </x:c>
      <x:c r="H1620" t="n">
        <x:v>0</x:v>
      </x:c>
      <x:c r="I1620" t="n">
        <x:v>0</x:v>
      </x:c>
      <x:c r="J1620" t="n">
        <x:v>0</x:v>
      </x:c>
      <x:c r="K1620" t="n">
        <x:v>0</x:v>
      </x:c>
      <x:c r="L1620" t="n">
        <x:v>10</x:v>
      </x:c>
      <x:c r="M1620" t="n">
        <x:v>0</x:v>
      </x:c>
      <x:c r="N1620" t="str">
        <x:v>Approved</x:v>
      </x:c>
      <x:c r="O1620" t="n">
        <x:v>0</x:v>
      </x:c>
      <x:c r="P1620" t="str">
        <x:f>IF(L1620&gt;=75,"High",IF(L1620&gt;=55,"Medium","Low"))</x:f>
        <x:v>Low</x:v>
      </x:c>
    </x:row>
    <x:row r="1621">
      <x:c r="A1621" t="n">
        <x:v>1620</x:v>
      </x:c>
      <x:c r="B1621" t="n">
        <x:v>10003</x:v>
      </x:c>
      <x:c r="C1621" s="16" t="n">
        <x:v>46295</x:v>
      </x:c>
      <x:c r="D1621" t="str">
        <x:v>07:48:00</x:v>
      </x:c>
      <x:c r="E1621" t="str">
        <x:v>Bank Transfer</x:v>
      </x:c>
      <x:c r="F1621" t="str">
        <x:v>Electronics</x:v>
      </x:c>
      <x:c r="G1621" s="18" t="n">
        <x:v>370.33</x:v>
      </x:c>
      <x:c r="H1621" t="n">
        <x:v>0</x:v>
      </x:c>
      <x:c r="I1621" t="n">
        <x:v>0</x:v>
      </x:c>
      <x:c r="J1621" t="n">
        <x:v>0</x:v>
      </x:c>
      <x:c r="K1621" t="n">
        <x:v>0</x:v>
      </x:c>
      <x:c r="L1621" t="n">
        <x:v>10</x:v>
      </x:c>
      <x:c r="M1621" t="n">
        <x:v>0</x:v>
      </x:c>
      <x:c r="N1621" t="str">
        <x:v>Approved</x:v>
      </x:c>
      <x:c r="O1621" t="n">
        <x:v>0</x:v>
      </x:c>
      <x:c r="P1621" t="str">
        <x:f>IF(L1621&gt;=75,"High",IF(L1621&gt;=55,"Medium","Low"))</x:f>
        <x:v>Low</x:v>
      </x:c>
    </x:row>
    <x:row r="1622">
      <x:c r="A1622" t="n">
        <x:v>1621</x:v>
      </x:c>
      <x:c r="B1622" t="n">
        <x:v>10197</x:v>
      </x:c>
      <x:c r="C1622" s="16" t="n">
        <x:v>46182</x:v>
      </x:c>
      <x:c r="D1622" t="str">
        <x:v>20:44:00</x:v>
      </x:c>
      <x:c r="E1622" t="str">
        <x:v>Card</x:v>
      </x:c>
      <x:c r="F1622" t="str">
        <x:v>Utilities</x:v>
      </x:c>
      <x:c r="G1622" s="18" t="n">
        <x:v>47.45</x:v>
      </x:c>
      <x:c r="H1622" t="n">
        <x:v>0</x:v>
      </x:c>
      <x:c r="I1622" t="n">
        <x:v>0</x:v>
      </x:c>
      <x:c r="J1622" t="n">
        <x:v>0</x:v>
      </x:c>
      <x:c r="K1622" t="n">
        <x:v>0</x:v>
      </x:c>
      <x:c r="L1622" t="n">
        <x:v>10</x:v>
      </x:c>
      <x:c r="M1622" t="n">
        <x:v>0</x:v>
      </x:c>
      <x:c r="N1622" t="str">
        <x:v>Approved</x:v>
      </x:c>
      <x:c r="O1622" t="n">
        <x:v>0</x:v>
      </x:c>
      <x:c r="P1622" t="str">
        <x:f>IF(L1622&gt;=75,"High",IF(L1622&gt;=55,"Medium","Low"))</x:f>
        <x:v>Low</x:v>
      </x:c>
    </x:row>
    <x:row r="1623">
      <x:c r="A1623" t="n">
        <x:v>1622</x:v>
      </x:c>
      <x:c r="B1623" t="n">
        <x:v>10104</x:v>
      </x:c>
      <x:c r="C1623" s="16" t="n">
        <x:v>46117</x:v>
      </x:c>
      <x:c r="D1623" t="str">
        <x:v>23:30:00</x:v>
      </x:c>
      <x:c r="E1623" t="str">
        <x:v>Bank Transfer</x:v>
      </x:c>
      <x:c r="F1623" t="str">
        <x:v>Transfer</x:v>
      </x:c>
      <x:c r="G1623" s="18" t="n">
        <x:v>35.84</x:v>
      </x:c>
      <x:c r="H1623" t="n">
        <x:v>0</x:v>
      </x:c>
      <x:c r="I1623" t="n">
        <x:v>0</x:v>
      </x:c>
      <x:c r="J1623" t="n">
        <x:v>0</x:v>
      </x:c>
      <x:c r="K1623" t="n">
        <x:v>0</x:v>
      </x:c>
      <x:c r="L1623" t="n">
        <x:v>10</x:v>
      </x:c>
      <x:c r="M1623" t="n">
        <x:v>0</x:v>
      </x:c>
      <x:c r="N1623" t="str">
        <x:v>Approved</x:v>
      </x:c>
      <x:c r="O1623" t="n">
        <x:v>0</x:v>
      </x:c>
      <x:c r="P1623" t="str">
        <x:f>IF(L1623&gt;=75,"High",IF(L1623&gt;=55,"Medium","Low"))</x:f>
        <x:v>Low</x:v>
      </x:c>
    </x:row>
    <x:row r="1624">
      <x:c r="A1624" t="n">
        <x:v>1623</x:v>
      </x:c>
      <x:c r="B1624" t="n">
        <x:v>10085</x:v>
      </x:c>
      <x:c r="C1624" s="16" t="n">
        <x:v>46177</x:v>
      </x:c>
      <x:c r="D1624" t="str">
        <x:v>13:28:00</x:v>
      </x:c>
      <x:c r="E1624" t="str">
        <x:v>Card</x:v>
      </x:c>
      <x:c r="F1624" t="str">
        <x:v>Dining</x:v>
      </x:c>
      <x:c r="G1624" s="18" t="n">
        <x:v>322.45</x:v>
      </x:c>
      <x:c r="H1624" t="n">
        <x:v>1</x:v>
      </x:c>
      <x:c r="I1624" t="n">
        <x:v>0</x:v>
      </x:c>
      <x:c r="J1624" t="n">
        <x:v>0</x:v>
      </x:c>
      <x:c r="K1624" t="n">
        <x:v>0</x:v>
      </x:c>
      <x:c r="L1624" t="n">
        <x:v>36</x:v>
      </x:c>
      <x:c r="M1624" t="n">
        <x:v>0</x:v>
      </x:c>
      <x:c r="N1624" t="str">
        <x:v>Approved</x:v>
      </x:c>
      <x:c r="O1624" t="n">
        <x:v>0</x:v>
      </x:c>
      <x:c r="P1624" t="str">
        <x:f>IF(L1624&gt;=75,"High",IF(L1624&gt;=55,"Medium","Low"))</x:f>
        <x:v>Low</x:v>
      </x:c>
    </x:row>
    <x:row r="1625">
      <x:c r="A1625" t="n">
        <x:v>1624</x:v>
      </x:c>
      <x:c r="B1625" t="n">
        <x:v>10130</x:v>
      </x:c>
      <x:c r="C1625" s="16" t="n">
        <x:v>46227</x:v>
      </x:c>
      <x:c r="D1625" t="str">
        <x:v>15:02:00</x:v>
      </x:c>
      <x:c r="E1625" t="str">
        <x:v>Card</x:v>
      </x:c>
      <x:c r="F1625" t="str">
        <x:v>Dining</x:v>
      </x:c>
      <x:c r="G1625" s="18" t="n">
        <x:v>112.91</x:v>
      </x:c>
      <x:c r="H1625" t="n">
        <x:v>0</x:v>
      </x:c>
      <x:c r="I1625" t="n">
        <x:v>0</x:v>
      </x:c>
      <x:c r="J1625" t="n">
        <x:v>0</x:v>
      </x:c>
      <x:c r="K1625" t="n">
        <x:v>0</x:v>
      </x:c>
      <x:c r="L1625" t="n">
        <x:v>10</x:v>
      </x:c>
      <x:c r="M1625" t="n">
        <x:v>0</x:v>
      </x:c>
      <x:c r="N1625" t="str">
        <x:v>Approved</x:v>
      </x:c>
      <x:c r="O1625" t="n">
        <x:v>0</x:v>
      </x:c>
      <x:c r="P1625" t="str">
        <x:f>IF(L1625&gt;=75,"High",IF(L1625&gt;=55,"Medium","Low"))</x:f>
        <x:v>Low</x:v>
      </x:c>
    </x:row>
    <x:row r="1626">
      <x:c r="A1626" t="n">
        <x:v>1625</x:v>
      </x:c>
      <x:c r="B1626" t="n">
        <x:v>10022</x:v>
      </x:c>
      <x:c r="C1626" s="16" t="n">
        <x:v>46276</x:v>
      </x:c>
      <x:c r="D1626" t="str">
        <x:v>17:14:00</x:v>
      </x:c>
      <x:c r="E1626" t="str">
        <x:v>Card</x:v>
      </x:c>
      <x:c r="F1626" t="str">
        <x:v>Retail</x:v>
      </x:c>
      <x:c r="G1626" s="18" t="n">
        <x:v>227.12</x:v>
      </x:c>
      <x:c r="H1626" t="n">
        <x:v>1</x:v>
      </x:c>
      <x:c r="I1626" t="n">
        <x:v>0</x:v>
      </x:c>
      <x:c r="J1626" t="n">
        <x:v>0</x:v>
      </x:c>
      <x:c r="K1626" t="n">
        <x:v>0</x:v>
      </x:c>
      <x:c r="L1626" t="n">
        <x:v>36</x:v>
      </x:c>
      <x:c r="M1626" t="n">
        <x:v>0</x:v>
      </x:c>
      <x:c r="N1626" t="str">
        <x:v>Approved</x:v>
      </x:c>
      <x:c r="O1626" t="n">
        <x:v>0</x:v>
      </x:c>
      <x:c r="P1626" t="str">
        <x:f>IF(L1626&gt;=75,"High",IF(L1626&gt;=55,"Medium","Low"))</x:f>
        <x:v>Low</x:v>
      </x:c>
    </x:row>
    <x:row r="1627">
      <x:c r="A1627" t="n">
        <x:v>1626</x:v>
      </x:c>
      <x:c r="B1627" t="n">
        <x:v>10008</x:v>
      </x:c>
      <x:c r="C1627" s="16" t="n">
        <x:v>46270</x:v>
      </x:c>
      <x:c r="D1627" t="str">
        <x:v>15:21:00</x:v>
      </x:c>
      <x:c r="E1627" t="str">
        <x:v>Bank Transfer</x:v>
      </x:c>
      <x:c r="F1627" t="str">
        <x:v>Transfer</x:v>
      </x:c>
      <x:c r="G1627" s="18" t="n">
        <x:v>271.1</x:v>
      </x:c>
      <x:c r="H1627" t="n">
        <x:v>1</x:v>
      </x:c>
      <x:c r="I1627" t="n">
        <x:v>0</x:v>
      </x:c>
      <x:c r="J1627" t="n">
        <x:v>0</x:v>
      </x:c>
      <x:c r="K1627" t="n">
        <x:v>0</x:v>
      </x:c>
      <x:c r="L1627" t="n">
        <x:v>36</x:v>
      </x:c>
      <x:c r="M1627" t="n">
        <x:v>0</x:v>
      </x:c>
      <x:c r="N1627" t="str">
        <x:v>Approved</x:v>
      </x:c>
      <x:c r="O1627" t="n">
        <x:v>0</x:v>
      </x:c>
      <x:c r="P1627" t="str">
        <x:f>IF(L1627&gt;=75,"High",IF(L1627&gt;=55,"Medium","Low"))</x:f>
        <x:v>Low</x:v>
      </x:c>
    </x:row>
    <x:row r="1628">
      <x:c r="A1628" t="n">
        <x:v>1627</x:v>
      </x:c>
      <x:c r="B1628" t="n">
        <x:v>10097</x:v>
      </x:c>
      <x:c r="C1628" s="16" t="n">
        <x:v>46146</x:v>
      </x:c>
      <x:c r="D1628" t="str">
        <x:v>14:13:00</x:v>
      </x:c>
      <x:c r="E1628" t="str">
        <x:v>Bank Transfer</x:v>
      </x:c>
      <x:c r="F1628" t="str">
        <x:v>Electronics</x:v>
      </x:c>
      <x:c r="G1628" s="18" t="n">
        <x:v>44.22</x:v>
      </x:c>
      <x:c r="H1628" t="n">
        <x:v>1</x:v>
      </x:c>
      <x:c r="I1628" t="n">
        <x:v>1</x:v>
      </x:c>
      <x:c r="J1628" t="n">
        <x:v>0</x:v>
      </x:c>
      <x:c r="K1628" t="n">
        <x:v>0</x:v>
      </x:c>
      <x:c r="L1628" t="n">
        <x:v>56</x:v>
      </x:c>
      <x:c r="M1628" t="n">
        <x:v>1</x:v>
      </x:c>
      <x:c r="N1628" t="str">
        <x:v>Declined</x:v>
      </x:c>
      <x:c r="O1628" t="n">
        <x:v>0</x:v>
      </x:c>
      <x:c r="P1628" t="str">
        <x:f>IF(L1628&gt;=75,"High",IF(L1628&gt;=55,"Medium","Low"))</x:f>
        <x:v>Medium</x:v>
      </x:c>
    </x:row>
    <x:row r="1629">
      <x:c r="A1629" t="n">
        <x:v>1628</x:v>
      </x:c>
      <x:c r="B1629" t="n">
        <x:v>10306</x:v>
      </x:c>
      <x:c r="C1629" s="16" t="n">
        <x:v>46193</x:v>
      </x:c>
      <x:c r="D1629" t="str">
        <x:v>23:25:00</x:v>
      </x:c>
      <x:c r="E1629" t="str">
        <x:v>Bank Transfer</x:v>
      </x:c>
      <x:c r="F1629" t="str">
        <x:v>Electronics</x:v>
      </x:c>
      <x:c r="G1629" s="18" t="n">
        <x:v>256.12</x:v>
      </x:c>
      <x:c r="H1629" t="n">
        <x:v>0</x:v>
      </x:c>
      <x:c r="I1629" t="n">
        <x:v>0</x:v>
      </x:c>
      <x:c r="J1629" t="n">
        <x:v>0</x:v>
      </x:c>
      <x:c r="K1629" t="n">
        <x:v>0</x:v>
      </x:c>
      <x:c r="L1629" t="n">
        <x:v>10</x:v>
      </x:c>
      <x:c r="M1629" t="n">
        <x:v>0</x:v>
      </x:c>
      <x:c r="N1629" t="str">
        <x:v>Approved</x:v>
      </x:c>
      <x:c r="O1629" t="n">
        <x:v>0</x:v>
      </x:c>
      <x:c r="P1629" t="str">
        <x:f>IF(L1629&gt;=75,"High",IF(L1629&gt;=55,"Medium","Low"))</x:f>
        <x:v>Low</x:v>
      </x:c>
    </x:row>
    <x:row r="1630">
      <x:c r="A1630" t="n">
        <x:v>1629</x:v>
      </x:c>
      <x:c r="B1630" t="n">
        <x:v>10109</x:v>
      </x:c>
      <x:c r="C1630" s="16" t="n">
        <x:v>46173</x:v>
      </x:c>
      <x:c r="D1630" t="str">
        <x:v>20:16:00</x:v>
      </x:c>
      <x:c r="E1630" t="str">
        <x:v>Card</x:v>
      </x:c>
      <x:c r="F1630" t="str">
        <x:v>Transfer</x:v>
      </x:c>
      <x:c r="G1630" s="18" t="n">
        <x:v>152.48</x:v>
      </x:c>
      <x:c r="H1630" t="n">
        <x:v>0</x:v>
      </x:c>
      <x:c r="I1630" t="n">
        <x:v>1</x:v>
      </x:c>
      <x:c r="J1630" t="n">
        <x:v>0</x:v>
      </x:c>
      <x:c r="K1630" t="n">
        <x:v>0</x:v>
      </x:c>
      <x:c r="L1630" t="n">
        <x:v>30</x:v>
      </x:c>
      <x:c r="M1630" t="n">
        <x:v>0</x:v>
      </x:c>
      <x:c r="N1630" t="str">
        <x:v>Approved</x:v>
      </x:c>
      <x:c r="O1630" t="n">
        <x:v>0</x:v>
      </x:c>
      <x:c r="P1630" t="str">
        <x:f>IF(L1630&gt;=75,"High",IF(L1630&gt;=55,"Medium","Low"))</x:f>
        <x:v>Low</x:v>
      </x:c>
    </x:row>
    <x:row r="1631">
      <x:c r="A1631" t="n">
        <x:v>1630</x:v>
      </x:c>
      <x:c r="B1631" t="n">
        <x:v>10292</x:v>
      </x:c>
      <x:c r="C1631" s="16" t="n">
        <x:v>46186</x:v>
      </x:c>
      <x:c r="D1631" t="str">
        <x:v>09:18:00</x:v>
      </x:c>
      <x:c r="E1631" t="str">
        <x:v>Bank Transfer</x:v>
      </x:c>
      <x:c r="F1631" t="str">
        <x:v>Utilities</x:v>
      </x:c>
      <x:c r="G1631" s="18" t="n">
        <x:v>453.18</x:v>
      </x:c>
      <x:c r="H1631" t="n">
        <x:v>1</x:v>
      </x:c>
      <x:c r="I1631" t="n">
        <x:v>0</x:v>
      </x:c>
      <x:c r="J1631" t="n">
        <x:v>0</x:v>
      </x:c>
      <x:c r="K1631" t="n">
        <x:v>0</x:v>
      </x:c>
      <x:c r="L1631" t="n">
        <x:v>36</x:v>
      </x:c>
      <x:c r="M1631" t="n">
        <x:v>0</x:v>
      </x:c>
      <x:c r="N1631" t="str">
        <x:v>Approved</x:v>
      </x:c>
      <x:c r="O1631" t="n">
        <x:v>0</x:v>
      </x:c>
      <x:c r="P1631" t="str">
        <x:f>IF(L1631&gt;=75,"High",IF(L1631&gt;=55,"Medium","Low"))</x:f>
        <x:v>Low</x:v>
      </x:c>
    </x:row>
    <x:row r="1632">
      <x:c r="A1632" t="n">
        <x:v>1631</x:v>
      </x:c>
      <x:c r="B1632" t="n">
        <x:v>10227</x:v>
      </x:c>
      <x:c r="C1632" s="16" t="n">
        <x:v>46220</x:v>
      </x:c>
      <x:c r="D1632" t="str">
        <x:v>05:06:00</x:v>
      </x:c>
      <x:c r="E1632" t="str">
        <x:v>Card</x:v>
      </x:c>
      <x:c r="F1632" t="str">
        <x:v>Transfer</x:v>
      </x:c>
      <x:c r="G1632" s="18" t="n">
        <x:v>220.25</x:v>
      </x:c>
      <x:c r="H1632" t="n">
        <x:v>0</x:v>
      </x:c>
      <x:c r="I1632" t="n">
        <x:v>0</x:v>
      </x:c>
      <x:c r="J1632" t="n">
        <x:v>0</x:v>
      </x:c>
      <x:c r="K1632" t="n">
        <x:v>0</x:v>
      </x:c>
      <x:c r="L1632" t="n">
        <x:v>10</x:v>
      </x:c>
      <x:c r="M1632" t="n">
        <x:v>0</x:v>
      </x:c>
      <x:c r="N1632" t="str">
        <x:v>Approved</x:v>
      </x:c>
      <x:c r="O1632" t="n">
        <x:v>0</x:v>
      </x:c>
      <x:c r="P1632" t="str">
        <x:f>IF(L1632&gt;=75,"High",IF(L1632&gt;=55,"Medium","Low"))</x:f>
        <x:v>Low</x:v>
      </x:c>
    </x:row>
    <x:row r="1633">
      <x:c r="A1633" t="n">
        <x:v>1632</x:v>
      </x:c>
      <x:c r="B1633" t="n">
        <x:v>10212</x:v>
      </x:c>
      <x:c r="C1633" s="16" t="n">
        <x:v>46183</x:v>
      </x:c>
      <x:c r="D1633" t="str">
        <x:v>15:59:00</x:v>
      </x:c>
      <x:c r="E1633" t="str">
        <x:v>Bank Transfer</x:v>
      </x:c>
      <x:c r="F1633" t="str">
        <x:v>Travel</x:v>
      </x:c>
      <x:c r="G1633" s="18" t="n">
        <x:v>259.63</x:v>
      </x:c>
      <x:c r="H1633" t="n">
        <x:v>0</x:v>
      </x:c>
      <x:c r="I1633" t="n">
        <x:v>1</x:v>
      </x:c>
      <x:c r="J1633" t="n">
        <x:v>0</x:v>
      </x:c>
      <x:c r="K1633" t="n">
        <x:v>0</x:v>
      </x:c>
      <x:c r="L1633" t="n">
        <x:v>30</x:v>
      </x:c>
      <x:c r="M1633" t="n">
        <x:v>0</x:v>
      </x:c>
      <x:c r="N1633" t="str">
        <x:v>Declined</x:v>
      </x:c>
      <x:c r="O1633" t="n">
        <x:v>0</x:v>
      </x:c>
      <x:c r="P1633" t="str">
        <x:f>IF(L1633&gt;=75,"High",IF(L1633&gt;=55,"Medium","Low"))</x:f>
        <x:v>Low</x:v>
      </x:c>
    </x:row>
    <x:row r="1634">
      <x:c r="A1634" t="n">
        <x:v>1633</x:v>
      </x:c>
      <x:c r="B1634" t="n">
        <x:v>10177</x:v>
      </x:c>
      <x:c r="C1634" s="16" t="n">
        <x:v>46199</x:v>
      </x:c>
      <x:c r="D1634" t="str">
        <x:v>00:23:00</x:v>
      </x:c>
      <x:c r="E1634" t="str">
        <x:v>Bank Transfer</x:v>
      </x:c>
      <x:c r="F1634" t="str">
        <x:v>Travel</x:v>
      </x:c>
      <x:c r="G1634" s="18" t="n">
        <x:v>91.19</x:v>
      </x:c>
      <x:c r="H1634" t="n">
        <x:v>0</x:v>
      </x:c>
      <x:c r="I1634" t="n">
        <x:v>0</x:v>
      </x:c>
      <x:c r="J1634" t="n">
        <x:v>0</x:v>
      </x:c>
      <x:c r="K1634" t="n">
        <x:v>1</x:v>
      </x:c>
      <x:c r="L1634" t="n">
        <x:v>25</x:v>
      </x:c>
      <x:c r="M1634" t="n">
        <x:v>0</x:v>
      </x:c>
      <x:c r="N1634" t="str">
        <x:v>Declined</x:v>
      </x:c>
      <x:c r="O1634" t="n">
        <x:v>0</x:v>
      </x:c>
      <x:c r="P1634" t="str">
        <x:f>IF(L1634&gt;=75,"High",IF(L1634&gt;=55,"Medium","Low"))</x:f>
        <x:v>Low</x:v>
      </x:c>
    </x:row>
    <x:row r="1635">
      <x:c r="A1635" t="n">
        <x:v>1634</x:v>
      </x:c>
      <x:c r="B1635" t="n">
        <x:v>10112</x:v>
      </x:c>
      <x:c r="C1635" s="16" t="n">
        <x:v>46283</x:v>
      </x:c>
      <x:c r="D1635" t="str">
        <x:v>22:44:00</x:v>
      </x:c>
      <x:c r="E1635" t="str">
        <x:v>Card</x:v>
      </x:c>
      <x:c r="F1635" t="str">
        <x:v>Utilities</x:v>
      </x:c>
      <x:c r="G1635" s="18" t="n">
        <x:v>26.48</x:v>
      </x:c>
      <x:c r="H1635" t="n">
        <x:v>0</x:v>
      </x:c>
      <x:c r="I1635" t="n">
        <x:v>0</x:v>
      </x:c>
      <x:c r="J1635" t="n">
        <x:v>0</x:v>
      </x:c>
      <x:c r="K1635" t="n">
        <x:v>0</x:v>
      </x:c>
      <x:c r="L1635" t="n">
        <x:v>10</x:v>
      </x:c>
      <x:c r="M1635" t="n">
        <x:v>0</x:v>
      </x:c>
      <x:c r="N1635" t="str">
        <x:v>Approved</x:v>
      </x:c>
      <x:c r="O1635" t="n">
        <x:v>0</x:v>
      </x:c>
      <x:c r="P1635" t="str">
        <x:f>IF(L1635&gt;=75,"High",IF(L1635&gt;=55,"Medium","Low"))</x:f>
        <x:v>Low</x:v>
      </x:c>
    </x:row>
    <x:row r="1636">
      <x:c r="A1636" t="n">
        <x:v>1635</x:v>
      </x:c>
      <x:c r="B1636" t="n">
        <x:v>10233</x:v>
      </x:c>
      <x:c r="C1636" s="16" t="n">
        <x:v>46134</x:v>
      </x:c>
      <x:c r="D1636" t="str">
        <x:v>03:21:00</x:v>
      </x:c>
      <x:c r="E1636" t="str">
        <x:v>Card</x:v>
      </x:c>
      <x:c r="F1636" t="str">
        <x:v>Electronics</x:v>
      </x:c>
      <x:c r="G1636" s="18" t="n">
        <x:v>54.73</x:v>
      </x:c>
      <x:c r="H1636" t="n">
        <x:v>0</x:v>
      </x:c>
      <x:c r="I1636" t="n">
        <x:v>0</x:v>
      </x:c>
      <x:c r="J1636" t="n">
        <x:v>0</x:v>
      </x:c>
      <x:c r="K1636" t="n">
        <x:v>1</x:v>
      </x:c>
      <x:c r="L1636" t="n">
        <x:v>25</x:v>
      </x:c>
      <x:c r="M1636" t="n">
        <x:v>0</x:v>
      </x:c>
      <x:c r="N1636" t="str">
        <x:v>Approved</x:v>
      </x:c>
      <x:c r="O1636" t="n">
        <x:v>0</x:v>
      </x:c>
      <x:c r="P1636" t="str">
        <x:f>IF(L1636&gt;=75,"High",IF(L1636&gt;=55,"Medium","Low"))</x:f>
        <x:v>Low</x:v>
      </x:c>
    </x:row>
    <x:row r="1637">
      <x:c r="A1637" t="n">
        <x:v>1636</x:v>
      </x:c>
      <x:c r="B1637" t="n">
        <x:v>10300</x:v>
      </x:c>
      <x:c r="C1637" s="16" t="n">
        <x:v>46151</x:v>
      </x:c>
      <x:c r="D1637" t="str">
        <x:v>03:42:00</x:v>
      </x:c>
      <x:c r="E1637" t="str">
        <x:v>Bank Transfer</x:v>
      </x:c>
      <x:c r="F1637" t="str">
        <x:v>Transfer</x:v>
      </x:c>
      <x:c r="G1637" s="18" t="n">
        <x:v>189.72</x:v>
      </x:c>
      <x:c r="H1637" t="n">
        <x:v>1</x:v>
      </x:c>
      <x:c r="I1637" t="n">
        <x:v>0</x:v>
      </x:c>
      <x:c r="J1637" t="n">
        <x:v>0</x:v>
      </x:c>
      <x:c r="K1637" t="n">
        <x:v>1</x:v>
      </x:c>
      <x:c r="L1637" t="n">
        <x:v>51</x:v>
      </x:c>
      <x:c r="M1637" t="n">
        <x:v>0</x:v>
      </x:c>
      <x:c r="N1637" t="str">
        <x:v>Approved</x:v>
      </x:c>
      <x:c r="O1637" t="n">
        <x:v>0</x:v>
      </x:c>
      <x:c r="P1637" t="str">
        <x:f>IF(L1637&gt;=75,"High",IF(L1637&gt;=55,"Medium","Low"))</x:f>
        <x:v>Low</x:v>
      </x:c>
    </x:row>
    <x:row r="1638">
      <x:c r="A1638" t="n">
        <x:v>1637</x:v>
      </x:c>
      <x:c r="B1638" t="n">
        <x:v>10181</x:v>
      </x:c>
      <x:c r="C1638" s="16" t="n">
        <x:v>46270</x:v>
      </x:c>
      <x:c r="D1638" t="str">
        <x:v>15:21:00</x:v>
      </x:c>
      <x:c r="E1638" t="str">
        <x:v>Bank Transfer</x:v>
      </x:c>
      <x:c r="F1638" t="str">
        <x:v>Travel</x:v>
      </x:c>
      <x:c r="G1638" s="18" t="n">
        <x:v>172.76</x:v>
      </x:c>
      <x:c r="H1638" t="n">
        <x:v>1</x:v>
      </x:c>
      <x:c r="I1638" t="n">
        <x:v>0</x:v>
      </x:c>
      <x:c r="J1638" t="n">
        <x:v>0</x:v>
      </x:c>
      <x:c r="K1638" t="n">
        <x:v>0</x:v>
      </x:c>
      <x:c r="L1638" t="n">
        <x:v>36</x:v>
      </x:c>
      <x:c r="M1638" t="n">
        <x:v>0</x:v>
      </x:c>
      <x:c r="N1638" t="str">
        <x:v>Approved</x:v>
      </x:c>
      <x:c r="O1638" t="n">
        <x:v>0</x:v>
      </x:c>
      <x:c r="P1638" t="str">
        <x:f>IF(L1638&gt;=75,"High",IF(L1638&gt;=55,"Medium","Low"))</x:f>
        <x:v>Low</x:v>
      </x:c>
    </x:row>
    <x:row r="1639">
      <x:c r="A1639" t="n">
        <x:v>1638</x:v>
      </x:c>
      <x:c r="B1639" t="n">
        <x:v>10127</x:v>
      </x:c>
      <x:c r="C1639" s="16" t="n">
        <x:v>46224</x:v>
      </x:c>
      <x:c r="D1639" t="str">
        <x:v>10:16:00</x:v>
      </x:c>
      <x:c r="E1639" t="str">
        <x:v>P2P</x:v>
      </x:c>
      <x:c r="F1639" t="str">
        <x:v>Retail</x:v>
      </x:c>
      <x:c r="G1639" s="18" t="n">
        <x:v>17.69</x:v>
      </x:c>
      <x:c r="H1639" t="n">
        <x:v>0</x:v>
      </x:c>
      <x:c r="I1639" t="n">
        <x:v>0</x:v>
      </x:c>
      <x:c r="J1639" t="n">
        <x:v>0</x:v>
      </x:c>
      <x:c r="K1639" t="n">
        <x:v>0</x:v>
      </x:c>
      <x:c r="L1639" t="n">
        <x:v>10</x:v>
      </x:c>
      <x:c r="M1639" t="n">
        <x:v>0</x:v>
      </x:c>
      <x:c r="N1639" t="str">
        <x:v>Declined</x:v>
      </x:c>
      <x:c r="O1639" t="n">
        <x:v>0</x:v>
      </x:c>
      <x:c r="P1639" t="str">
        <x:f>IF(L1639&gt;=75,"High",IF(L1639&gt;=55,"Medium","Low"))</x:f>
        <x:v>Low</x:v>
      </x:c>
    </x:row>
    <x:row r="1640">
      <x:c r="A1640" t="n">
        <x:v>1639</x:v>
      </x:c>
      <x:c r="B1640" t="n">
        <x:v>10207</x:v>
      </x:c>
      <x:c r="C1640" s="16" t="n">
        <x:v>46225</x:v>
      </x:c>
      <x:c r="D1640" t="str">
        <x:v>21:43:00</x:v>
      </x:c>
      <x:c r="E1640" t="str">
        <x:v>P2P</x:v>
      </x:c>
      <x:c r="F1640" t="str">
        <x:v>Dining</x:v>
      </x:c>
      <x:c r="G1640" s="18" t="n">
        <x:v>134.03</x:v>
      </x:c>
      <x:c r="H1640" t="n">
        <x:v>0</x:v>
      </x:c>
      <x:c r="I1640" t="n">
        <x:v>0</x:v>
      </x:c>
      <x:c r="J1640" t="n">
        <x:v>0</x:v>
      </x:c>
      <x:c r="K1640" t="n">
        <x:v>0</x:v>
      </x:c>
      <x:c r="L1640" t="n">
        <x:v>10</x:v>
      </x:c>
      <x:c r="M1640" t="n">
        <x:v>0</x:v>
      </x:c>
      <x:c r="N1640" t="str">
        <x:v>Declined</x:v>
      </x:c>
      <x:c r="O1640" t="n">
        <x:v>0</x:v>
      </x:c>
      <x:c r="P1640" t="str">
        <x:f>IF(L1640&gt;=75,"High",IF(L1640&gt;=55,"Medium","Low"))</x:f>
        <x:v>Low</x:v>
      </x:c>
    </x:row>
    <x:row r="1641">
      <x:c r="A1641" t="n">
        <x:v>1640</x:v>
      </x:c>
      <x:c r="B1641" t="n">
        <x:v>10139</x:v>
      </x:c>
      <x:c r="C1641" s="16" t="n">
        <x:v>46271</x:v>
      </x:c>
      <x:c r="D1641" t="str">
        <x:v>12:30:00</x:v>
      </x:c>
      <x:c r="E1641" t="str">
        <x:v>Card</x:v>
      </x:c>
      <x:c r="F1641" t="str">
        <x:v>Electronics</x:v>
      </x:c>
      <x:c r="G1641" s="18" t="n">
        <x:v>20.12</x:v>
      </x:c>
      <x:c r="H1641" t="n">
        <x:v>0</x:v>
      </x:c>
      <x:c r="I1641" t="n">
        <x:v>1</x:v>
      </x:c>
      <x:c r="J1641" t="n">
        <x:v>0</x:v>
      </x:c>
      <x:c r="K1641" t="n">
        <x:v>0</x:v>
      </x:c>
      <x:c r="L1641" t="n">
        <x:v>30</x:v>
      </x:c>
      <x:c r="M1641" t="n">
        <x:v>0</x:v>
      </x:c>
      <x:c r="N1641" t="str">
        <x:v>Approved</x:v>
      </x:c>
      <x:c r="O1641" t="n">
        <x:v>0</x:v>
      </x:c>
      <x:c r="P1641" t="str">
        <x:f>IF(L1641&gt;=75,"High",IF(L1641&gt;=55,"Medium","Low"))</x:f>
        <x:v>Low</x:v>
      </x:c>
    </x:row>
    <x:row r="1642">
      <x:c r="A1642" t="n">
        <x:v>1641</x:v>
      </x:c>
      <x:c r="B1642" t="n">
        <x:v>10127</x:v>
      </x:c>
      <x:c r="C1642" s="16" t="n">
        <x:v>46188</x:v>
      </x:c>
      <x:c r="D1642" t="str">
        <x:v>13:59:00</x:v>
      </x:c>
      <x:c r="E1642" t="str">
        <x:v>P2P</x:v>
      </x:c>
      <x:c r="F1642" t="str">
        <x:v>Transfer</x:v>
      </x:c>
      <x:c r="G1642" s="18" t="n">
        <x:v>19.49</x:v>
      </x:c>
      <x:c r="H1642" t="n">
        <x:v>0</x:v>
      </x:c>
      <x:c r="I1642" t="n">
        <x:v>0</x:v>
      </x:c>
      <x:c r="J1642" t="n">
        <x:v>0</x:v>
      </x:c>
      <x:c r="K1642" t="n">
        <x:v>0</x:v>
      </x:c>
      <x:c r="L1642" t="n">
        <x:v>10</x:v>
      </x:c>
      <x:c r="M1642" t="n">
        <x:v>0</x:v>
      </x:c>
      <x:c r="N1642" t="str">
        <x:v>Approved</x:v>
      </x:c>
      <x:c r="O1642" t="n">
        <x:v>0</x:v>
      </x:c>
      <x:c r="P1642" t="str">
        <x:f>IF(L1642&gt;=75,"High",IF(L1642&gt;=55,"Medium","Low"))</x:f>
        <x:v>Low</x:v>
      </x:c>
    </x:row>
    <x:row r="1643">
      <x:c r="A1643" t="n">
        <x:v>1642</x:v>
      </x:c>
      <x:c r="B1643" t="n">
        <x:v>10025</x:v>
      </x:c>
      <x:c r="C1643" s="16" t="n">
        <x:v>46276</x:v>
      </x:c>
      <x:c r="D1643" t="str">
        <x:v>22:27:00</x:v>
      </x:c>
      <x:c r="E1643" t="str">
        <x:v>Bank Transfer</x:v>
      </x:c>
      <x:c r="F1643" t="str">
        <x:v>Travel</x:v>
      </x:c>
      <x:c r="G1643" s="18" t="n">
        <x:v>142.53</x:v>
      </x:c>
      <x:c r="H1643" t="n">
        <x:v>0</x:v>
      </x:c>
      <x:c r="I1643" t="n">
        <x:v>0</x:v>
      </x:c>
      <x:c r="J1643" t="n">
        <x:v>0</x:v>
      </x:c>
      <x:c r="K1643" t="n">
        <x:v>0</x:v>
      </x:c>
      <x:c r="L1643" t="n">
        <x:v>10</x:v>
      </x:c>
      <x:c r="M1643" t="n">
        <x:v>0</x:v>
      </x:c>
      <x:c r="N1643" t="str">
        <x:v>Approved</x:v>
      </x:c>
      <x:c r="O1643" t="n">
        <x:v>0</x:v>
      </x:c>
      <x:c r="P1643" t="str">
        <x:f>IF(L1643&gt;=75,"High",IF(L1643&gt;=55,"Medium","Low"))</x:f>
        <x:v>Low</x:v>
      </x:c>
    </x:row>
    <x:row r="1644">
      <x:c r="A1644" t="n">
        <x:v>1643</x:v>
      </x:c>
      <x:c r="B1644" t="n">
        <x:v>10065</x:v>
      </x:c>
      <x:c r="C1644" s="16" t="n">
        <x:v>46156</x:v>
      </x:c>
      <x:c r="D1644" t="str">
        <x:v>14:03:00</x:v>
      </x:c>
      <x:c r="E1644" t="str">
        <x:v>Card</x:v>
      </x:c>
      <x:c r="F1644" t="str">
        <x:v>Transfer</x:v>
      </x:c>
      <x:c r="G1644" s="18" t="n">
        <x:v>20.57</x:v>
      </x:c>
      <x:c r="H1644" t="n">
        <x:v>0</x:v>
      </x:c>
      <x:c r="I1644" t="n">
        <x:v>0</x:v>
      </x:c>
      <x:c r="J1644" t="n">
        <x:v>0</x:v>
      </x:c>
      <x:c r="K1644" t="n">
        <x:v>0</x:v>
      </x:c>
      <x:c r="L1644" t="n">
        <x:v>10</x:v>
      </x:c>
      <x:c r="M1644" t="n">
        <x:v>0</x:v>
      </x:c>
      <x:c r="N1644" t="str">
        <x:v>Approved</x:v>
      </x:c>
      <x:c r="O1644" t="n">
        <x:v>0</x:v>
      </x:c>
      <x:c r="P1644" t="str">
        <x:f>IF(L1644&gt;=75,"High",IF(L1644&gt;=55,"Medium","Low"))</x:f>
        <x:v>Low</x:v>
      </x:c>
    </x:row>
    <x:row r="1645">
      <x:c r="A1645" t="n">
        <x:v>1644</x:v>
      </x:c>
      <x:c r="B1645" t="n">
        <x:v>10183</x:v>
      </x:c>
      <x:c r="C1645" s="16" t="n">
        <x:v>46128</x:v>
      </x:c>
      <x:c r="D1645" t="str">
        <x:v>23:26:00</x:v>
      </x:c>
      <x:c r="E1645" t="str">
        <x:v>Bank Transfer</x:v>
      </x:c>
      <x:c r="F1645" t="str">
        <x:v>Retail</x:v>
      </x:c>
      <x:c r="G1645" s="18" t="n">
        <x:v>144.16</x:v>
      </x:c>
      <x:c r="H1645" t="n">
        <x:v>0</x:v>
      </x:c>
      <x:c r="I1645" t="n">
        <x:v>0</x:v>
      </x:c>
      <x:c r="J1645" t="n">
        <x:v>0</x:v>
      </x:c>
      <x:c r="K1645" t="n">
        <x:v>0</x:v>
      </x:c>
      <x:c r="L1645" t="n">
        <x:v>10</x:v>
      </x:c>
      <x:c r="M1645" t="n">
        <x:v>0</x:v>
      </x:c>
      <x:c r="N1645" t="str">
        <x:v>Approved</x:v>
      </x:c>
      <x:c r="O1645" t="n">
        <x:v>0</x:v>
      </x:c>
      <x:c r="P1645" t="str">
        <x:f>IF(L1645&gt;=75,"High",IF(L1645&gt;=55,"Medium","Low"))</x:f>
        <x:v>Low</x:v>
      </x:c>
    </x:row>
    <x:row r="1646">
      <x:c r="A1646" t="n">
        <x:v>1645</x:v>
      </x:c>
      <x:c r="B1646" t="n">
        <x:v>10134</x:v>
      </x:c>
      <x:c r="C1646" s="16" t="n">
        <x:v>46292</x:v>
      </x:c>
      <x:c r="D1646" t="str">
        <x:v>13:25:00</x:v>
      </x:c>
      <x:c r="E1646" t="str">
        <x:v>Card</x:v>
      </x:c>
      <x:c r="F1646" t="str">
        <x:v>Transfer</x:v>
      </x:c>
      <x:c r="G1646" s="18" t="n">
        <x:v>42.28</x:v>
      </x:c>
      <x:c r="H1646" t="n">
        <x:v>0</x:v>
      </x:c>
      <x:c r="I1646" t="n">
        <x:v>1</x:v>
      </x:c>
      <x:c r="J1646" t="n">
        <x:v>0</x:v>
      </x:c>
      <x:c r="K1646" t="n">
        <x:v>0</x:v>
      </x:c>
      <x:c r="L1646" t="n">
        <x:v>30</x:v>
      </x:c>
      <x:c r="M1646" t="n">
        <x:v>0</x:v>
      </x:c>
      <x:c r="N1646" t="str">
        <x:v>Declined</x:v>
      </x:c>
      <x:c r="O1646" t="n">
        <x:v>0</x:v>
      </x:c>
      <x:c r="P1646" t="str">
        <x:f>IF(L1646&gt;=75,"High",IF(L1646&gt;=55,"Medium","Low"))</x:f>
        <x:v>Low</x:v>
      </x:c>
    </x:row>
    <x:row r="1647">
      <x:c r="A1647" t="n">
        <x:v>1646</x:v>
      </x:c>
      <x:c r="B1647" t="n">
        <x:v>10088</x:v>
      </x:c>
      <x:c r="C1647" s="16" t="n">
        <x:v>46267</x:v>
      </x:c>
      <x:c r="D1647" t="str">
        <x:v>10:16:00</x:v>
      </x:c>
      <x:c r="E1647" t="str">
        <x:v>Card</x:v>
      </x:c>
      <x:c r="F1647" t="str">
        <x:v>Retail</x:v>
      </x:c>
      <x:c r="G1647" s="18" t="n">
        <x:v>113.96</x:v>
      </x:c>
      <x:c r="H1647" t="n">
        <x:v>0</x:v>
      </x:c>
      <x:c r="I1647" t="n">
        <x:v>0</x:v>
      </x:c>
      <x:c r="J1647" t="n">
        <x:v>0</x:v>
      </x:c>
      <x:c r="K1647" t="n">
        <x:v>0</x:v>
      </x:c>
      <x:c r="L1647" t="n">
        <x:v>10</x:v>
      </x:c>
      <x:c r="M1647" t="n">
        <x:v>0</x:v>
      </x:c>
      <x:c r="N1647" t="str">
        <x:v>Approved</x:v>
      </x:c>
      <x:c r="O1647" t="n">
        <x:v>0</x:v>
      </x:c>
      <x:c r="P1647" t="str">
        <x:f>IF(L1647&gt;=75,"High",IF(L1647&gt;=55,"Medium","Low"))</x:f>
        <x:v>Low</x:v>
      </x:c>
    </x:row>
    <x:row r="1648">
      <x:c r="A1648" t="n">
        <x:v>1647</x:v>
      </x:c>
      <x:c r="B1648" t="n">
        <x:v>10139</x:v>
      </x:c>
      <x:c r="C1648" s="16" t="n">
        <x:v>46218</x:v>
      </x:c>
      <x:c r="D1648" t="str">
        <x:v>03:19:00</x:v>
      </x:c>
      <x:c r="E1648" t="str">
        <x:v>Card</x:v>
      </x:c>
      <x:c r="F1648" t="str">
        <x:v>Utilities</x:v>
      </x:c>
      <x:c r="G1648" s="18" t="n">
        <x:v>200.41</x:v>
      </x:c>
      <x:c r="H1648" t="n">
        <x:v>0</x:v>
      </x:c>
      <x:c r="I1648" t="n">
        <x:v>0</x:v>
      </x:c>
      <x:c r="J1648" t="n">
        <x:v>0</x:v>
      </x:c>
      <x:c r="K1648" t="n">
        <x:v>1</x:v>
      </x:c>
      <x:c r="L1648" t="n">
        <x:v>25</x:v>
      </x:c>
      <x:c r="M1648" t="n">
        <x:v>0</x:v>
      </x:c>
      <x:c r="N1648" t="str">
        <x:v>Approved</x:v>
      </x:c>
      <x:c r="O1648" t="n">
        <x:v>0</x:v>
      </x:c>
      <x:c r="P1648" t="str">
        <x:f>IF(L1648&gt;=75,"High",IF(L1648&gt;=55,"Medium","Low"))</x:f>
        <x:v>Low</x:v>
      </x:c>
    </x:row>
    <x:row r="1649">
      <x:c r="A1649" t="n">
        <x:v>1648</x:v>
      </x:c>
      <x:c r="B1649" t="n">
        <x:v>10242</x:v>
      </x:c>
      <x:c r="C1649" s="16" t="n">
        <x:v>46178</x:v>
      </x:c>
      <x:c r="D1649" t="str">
        <x:v>04:24:00</x:v>
      </x:c>
      <x:c r="E1649" t="str">
        <x:v>Bank Transfer</x:v>
      </x:c>
      <x:c r="F1649" t="str">
        <x:v>Utilities</x:v>
      </x:c>
      <x:c r="G1649" s="18" t="n">
        <x:v>85.42</x:v>
      </x:c>
      <x:c r="H1649" t="n">
        <x:v>0</x:v>
      </x:c>
      <x:c r="I1649" t="n">
        <x:v>0</x:v>
      </x:c>
      <x:c r="J1649" t="n">
        <x:v>0</x:v>
      </x:c>
      <x:c r="K1649" t="n">
        <x:v>1</x:v>
      </x:c>
      <x:c r="L1649" t="n">
        <x:v>25</x:v>
      </x:c>
      <x:c r="M1649" t="n">
        <x:v>0</x:v>
      </x:c>
      <x:c r="N1649" t="str">
        <x:v>Approved</x:v>
      </x:c>
      <x:c r="O1649" t="n">
        <x:v>0</x:v>
      </x:c>
      <x:c r="P1649" t="str">
        <x:f>IF(L1649&gt;=75,"High",IF(L1649&gt;=55,"Medium","Low"))</x:f>
        <x:v>Low</x:v>
      </x:c>
    </x:row>
    <x:row r="1650">
      <x:c r="A1650" t="n">
        <x:v>1649</x:v>
      </x:c>
      <x:c r="B1650" t="n">
        <x:v>10095</x:v>
      </x:c>
      <x:c r="C1650" s="16" t="n">
        <x:v>46144</x:v>
      </x:c>
      <x:c r="D1650" t="str">
        <x:v>03:42:00</x:v>
      </x:c>
      <x:c r="E1650" t="str">
        <x:v>Card</x:v>
      </x:c>
      <x:c r="F1650" t="str">
        <x:v>Transfer</x:v>
      </x:c>
      <x:c r="G1650" s="18" t="n">
        <x:v>51.16</x:v>
      </x:c>
      <x:c r="H1650" t="n">
        <x:v>0</x:v>
      </x:c>
      <x:c r="I1650" t="n">
        <x:v>0</x:v>
      </x:c>
      <x:c r="J1650" t="n">
        <x:v>0</x:v>
      </x:c>
      <x:c r="K1650" t="n">
        <x:v>1</x:v>
      </x:c>
      <x:c r="L1650" t="n">
        <x:v>25</x:v>
      </x:c>
      <x:c r="M1650" t="n">
        <x:v>0</x:v>
      </x:c>
      <x:c r="N1650" t="str">
        <x:v>Approved</x:v>
      </x:c>
      <x:c r="O1650" t="n">
        <x:v>0</x:v>
      </x:c>
      <x:c r="P1650" t="str">
        <x:f>IF(L1650&gt;=75,"High",IF(L1650&gt;=55,"Medium","Low"))</x:f>
        <x:v>Low</x:v>
      </x:c>
    </x:row>
    <x:row r="1651">
      <x:c r="A1651" t="n">
        <x:v>1650</x:v>
      </x:c>
      <x:c r="B1651" t="n">
        <x:v>10268</x:v>
      </x:c>
      <x:c r="C1651" s="16" t="n">
        <x:v>46230</x:v>
      </x:c>
      <x:c r="D1651" t="str">
        <x:v>18:52:00</x:v>
      </x:c>
      <x:c r="E1651" t="str">
        <x:v>Card</x:v>
      </x:c>
      <x:c r="F1651" t="str">
        <x:v>Subscriptions</x:v>
      </x:c>
      <x:c r="G1651" s="18" t="n">
        <x:v>42.99</x:v>
      </x:c>
      <x:c r="H1651" t="n">
        <x:v>0</x:v>
      </x:c>
      <x:c r="I1651" t="n">
        <x:v>1</x:v>
      </x:c>
      <x:c r="J1651" t="n">
        <x:v>0</x:v>
      </x:c>
      <x:c r="K1651" t="n">
        <x:v>0</x:v>
      </x:c>
      <x:c r="L1651" t="n">
        <x:v>30</x:v>
      </x:c>
      <x:c r="M1651" t="n">
        <x:v>0</x:v>
      </x:c>
      <x:c r="N1651" t="str">
        <x:v>Approved</x:v>
      </x:c>
      <x:c r="O1651" t="n">
        <x:v>0</x:v>
      </x:c>
      <x:c r="P1651" t="str">
        <x:f>IF(L1651&gt;=75,"High",IF(L1651&gt;=55,"Medium","Low"))</x:f>
        <x:v>Low</x:v>
      </x:c>
    </x:row>
    <x:row r="1652">
      <x:c r="A1652" t="n">
        <x:v>1651</x:v>
      </x:c>
      <x:c r="B1652" t="n">
        <x:v>10227</x:v>
      </x:c>
      <x:c r="C1652" s="16" t="n">
        <x:v>46238</x:v>
      </x:c>
      <x:c r="D1652" t="str">
        <x:v>16:13:00</x:v>
      </x:c>
      <x:c r="E1652" t="str">
        <x:v>Card</x:v>
      </x:c>
      <x:c r="F1652" t="str">
        <x:v>Electronics</x:v>
      </x:c>
      <x:c r="G1652" s="18" t="n">
        <x:v>70.14</x:v>
      </x:c>
      <x:c r="H1652" t="n">
        <x:v>0</x:v>
      </x:c>
      <x:c r="I1652" t="n">
        <x:v>0</x:v>
      </x:c>
      <x:c r="J1652" t="n">
        <x:v>0</x:v>
      </x:c>
      <x:c r="K1652" t="n">
        <x:v>0</x:v>
      </x:c>
      <x:c r="L1652" t="n">
        <x:v>10</x:v>
      </x:c>
      <x:c r="M1652" t="n">
        <x:v>0</x:v>
      </x:c>
      <x:c r="N1652" t="str">
        <x:v>Approved</x:v>
      </x:c>
      <x:c r="O1652" t="n">
        <x:v>0</x:v>
      </x:c>
      <x:c r="P1652" t="str">
        <x:f>IF(L1652&gt;=75,"High",IF(L1652&gt;=55,"Medium","Low"))</x:f>
        <x:v>Low</x:v>
      </x:c>
    </x:row>
    <x:row r="1653">
      <x:c r="A1653" t="n">
        <x:v>1652</x:v>
      </x:c>
      <x:c r="B1653" t="n">
        <x:v>10295</x:v>
      </x:c>
      <x:c r="C1653" s="16" t="n">
        <x:v>46225</x:v>
      </x:c>
      <x:c r="D1653" t="str">
        <x:v>04:40:00</x:v>
      </x:c>
      <x:c r="E1653" t="str">
        <x:v>Card</x:v>
      </x:c>
      <x:c r="F1653" t="str">
        <x:v>Electronics</x:v>
      </x:c>
      <x:c r="G1653" s="18" t="n">
        <x:v>266.56</x:v>
      </x:c>
      <x:c r="H1653" t="n">
        <x:v>0</x:v>
      </x:c>
      <x:c r="I1653" t="n">
        <x:v>1</x:v>
      </x:c>
      <x:c r="J1653" t="n">
        <x:v>0</x:v>
      </x:c>
      <x:c r="K1653" t="n">
        <x:v>1</x:v>
      </x:c>
      <x:c r="L1653" t="n">
        <x:v>45</x:v>
      </x:c>
      <x:c r="M1653" t="n">
        <x:v>0</x:v>
      </x:c>
      <x:c r="N1653" t="str">
        <x:v>Declined</x:v>
      </x:c>
      <x:c r="O1653" t="n">
        <x:v>0</x:v>
      </x:c>
      <x:c r="P1653" t="str">
        <x:f>IF(L1653&gt;=75,"High",IF(L1653&gt;=55,"Medium","Low"))</x:f>
        <x:v>Low</x:v>
      </x:c>
    </x:row>
    <x:row r="1654">
      <x:c r="A1654" t="n">
        <x:v>1653</x:v>
      </x:c>
      <x:c r="B1654" t="n">
        <x:v>10252</x:v>
      </x:c>
      <x:c r="C1654" s="16" t="n">
        <x:v>46282</x:v>
      </x:c>
      <x:c r="D1654" t="str">
        <x:v>08:58:00</x:v>
      </x:c>
      <x:c r="E1654" t="str">
        <x:v>Card</x:v>
      </x:c>
      <x:c r="F1654" t="str">
        <x:v>Dining</x:v>
      </x:c>
      <x:c r="G1654" s="18" t="n">
        <x:v>125.56</x:v>
      </x:c>
      <x:c r="H1654" t="n">
        <x:v>0</x:v>
      </x:c>
      <x:c r="I1654" t="n">
        <x:v>0</x:v>
      </x:c>
      <x:c r="J1654" t="n">
        <x:v>0</x:v>
      </x:c>
      <x:c r="K1654" t="n">
        <x:v>0</x:v>
      </x:c>
      <x:c r="L1654" t="n">
        <x:v>10</x:v>
      </x:c>
      <x:c r="M1654" t="n">
        <x:v>0</x:v>
      </x:c>
      <x:c r="N1654" t="str">
        <x:v>Approved</x:v>
      </x:c>
      <x:c r="O1654" t="n">
        <x:v>0</x:v>
      </x:c>
      <x:c r="P1654" t="str">
        <x:f>IF(L1654&gt;=75,"High",IF(L1654&gt;=55,"Medium","Low"))</x:f>
        <x:v>Low</x:v>
      </x:c>
    </x:row>
    <x:row r="1655">
      <x:c r="A1655" t="n">
        <x:v>1654</x:v>
      </x:c>
      <x:c r="B1655" t="n">
        <x:v>10284</x:v>
      </x:c>
      <x:c r="C1655" s="16" t="n">
        <x:v>46178</x:v>
      </x:c>
      <x:c r="D1655" t="str">
        <x:v>06:53:00</x:v>
      </x:c>
      <x:c r="E1655" t="str">
        <x:v>Bank Transfer</x:v>
      </x:c>
      <x:c r="F1655" t="str">
        <x:v>Electronics</x:v>
      </x:c>
      <x:c r="G1655" s="18" t="n">
        <x:v>568.62</x:v>
      </x:c>
      <x:c r="H1655" t="n">
        <x:v>0</x:v>
      </x:c>
      <x:c r="I1655" t="n">
        <x:v>0</x:v>
      </x:c>
      <x:c r="J1655" t="n">
        <x:v>0</x:v>
      </x:c>
      <x:c r="K1655" t="n">
        <x:v>0</x:v>
      </x:c>
      <x:c r="L1655" t="n">
        <x:v>10</x:v>
      </x:c>
      <x:c r="M1655" t="n">
        <x:v>0</x:v>
      </x:c>
      <x:c r="N1655" t="str">
        <x:v>Approved</x:v>
      </x:c>
      <x:c r="O1655" t="n">
        <x:v>0</x:v>
      </x:c>
      <x:c r="P1655" t="str">
        <x:f>IF(L1655&gt;=75,"High",IF(L1655&gt;=55,"Medium","Low"))</x:f>
        <x:v>Low</x:v>
      </x:c>
    </x:row>
    <x:row r="1656">
      <x:c r="A1656" t="n">
        <x:v>1655</x:v>
      </x:c>
      <x:c r="B1656" t="n">
        <x:v>10145</x:v>
      </x:c>
      <x:c r="C1656" s="16" t="n">
        <x:v>46162</x:v>
      </x:c>
      <x:c r="D1656" t="str">
        <x:v>07:50:00</x:v>
      </x:c>
      <x:c r="E1656" t="str">
        <x:v>Card</x:v>
      </x:c>
      <x:c r="F1656" t="str">
        <x:v>Retail</x:v>
      </x:c>
      <x:c r="G1656" s="18" t="n">
        <x:v>32.36</x:v>
      </x:c>
      <x:c r="H1656" t="n">
        <x:v>0</x:v>
      </x:c>
      <x:c r="I1656" t="n">
        <x:v>0</x:v>
      </x:c>
      <x:c r="J1656" t="n">
        <x:v>0</x:v>
      </x:c>
      <x:c r="K1656" t="n">
        <x:v>0</x:v>
      </x:c>
      <x:c r="L1656" t="n">
        <x:v>10</x:v>
      </x:c>
      <x:c r="M1656" t="n">
        <x:v>0</x:v>
      </x:c>
      <x:c r="N1656" t="str">
        <x:v>Declined</x:v>
      </x:c>
      <x:c r="O1656" t="n">
        <x:v>0</x:v>
      </x:c>
      <x:c r="P1656" t="str">
        <x:f>IF(L1656&gt;=75,"High",IF(L1656&gt;=55,"Medium","Low"))</x:f>
        <x:v>Low</x:v>
      </x:c>
    </x:row>
    <x:row r="1657">
      <x:c r="A1657" t="n">
        <x:v>1656</x:v>
      </x:c>
      <x:c r="B1657" t="n">
        <x:v>10081</x:v>
      </x:c>
      <x:c r="C1657" s="16" t="n">
        <x:v>46170</x:v>
      </x:c>
      <x:c r="D1657" t="str">
        <x:v>00:28:00</x:v>
      </x:c>
      <x:c r="E1657" t="str">
        <x:v>Bank Transfer</x:v>
      </x:c>
      <x:c r="F1657" t="str">
        <x:v>Electronics</x:v>
      </x:c>
      <x:c r="G1657" s="18" t="n">
        <x:v>72.89</x:v>
      </x:c>
      <x:c r="H1657" t="n">
        <x:v>1</x:v>
      </x:c>
      <x:c r="I1657" t="n">
        <x:v>0</x:v>
      </x:c>
      <x:c r="J1657" t="n">
        <x:v>0</x:v>
      </x:c>
      <x:c r="K1657" t="n">
        <x:v>1</x:v>
      </x:c>
      <x:c r="L1657" t="n">
        <x:v>51</x:v>
      </x:c>
      <x:c r="M1657" t="n">
        <x:v>0</x:v>
      </x:c>
      <x:c r="N1657" t="str">
        <x:v>Approved</x:v>
      </x:c>
      <x:c r="O1657" t="n">
        <x:v>0</x:v>
      </x:c>
      <x:c r="P1657" t="str">
        <x:f>IF(L1657&gt;=75,"High",IF(L1657&gt;=55,"Medium","Low"))</x:f>
        <x:v>Low</x:v>
      </x:c>
    </x:row>
    <x:row r="1658">
      <x:c r="A1658" t="n">
        <x:v>1657</x:v>
      </x:c>
      <x:c r="B1658" t="n">
        <x:v>10243</x:v>
      </x:c>
      <x:c r="C1658" s="16" t="n">
        <x:v>46179</x:v>
      </x:c>
      <x:c r="D1658" t="str">
        <x:v>22:44:00</x:v>
      </x:c>
      <x:c r="E1658" t="str">
        <x:v>P2P</x:v>
      </x:c>
      <x:c r="F1658" t="str">
        <x:v>Retail</x:v>
      </x:c>
      <x:c r="G1658" s="18" t="n">
        <x:v>88.23</x:v>
      </x:c>
      <x:c r="H1658" t="n">
        <x:v>0</x:v>
      </x:c>
      <x:c r="I1658" t="n">
        <x:v>0</x:v>
      </x:c>
      <x:c r="J1658" t="n">
        <x:v>0</x:v>
      </x:c>
      <x:c r="K1658" t="n">
        <x:v>0</x:v>
      </x:c>
      <x:c r="L1658" t="n">
        <x:v>10</x:v>
      </x:c>
      <x:c r="M1658" t="n">
        <x:v>0</x:v>
      </x:c>
      <x:c r="N1658" t="str">
        <x:v>Approved</x:v>
      </x:c>
      <x:c r="O1658" t="n">
        <x:v>0</x:v>
      </x:c>
      <x:c r="P1658" t="str">
        <x:f>IF(L1658&gt;=75,"High",IF(L1658&gt;=55,"Medium","Low"))</x:f>
        <x:v>Low</x:v>
      </x:c>
    </x:row>
    <x:row r="1659">
      <x:c r="A1659" t="n">
        <x:v>1658</x:v>
      </x:c>
      <x:c r="B1659" t="n">
        <x:v>10015</x:v>
      </x:c>
      <x:c r="C1659" s="16" t="n">
        <x:v>46141</x:v>
      </x:c>
      <x:c r="D1659" t="str">
        <x:v>19:46:00</x:v>
      </x:c>
      <x:c r="E1659" t="str">
        <x:v>Bank Transfer</x:v>
      </x:c>
      <x:c r="F1659" t="str">
        <x:v>Retail</x:v>
      </x:c>
      <x:c r="G1659" s="18" t="n">
        <x:v>31.44</x:v>
      </x:c>
      <x:c r="H1659" t="n">
        <x:v>1</x:v>
      </x:c>
      <x:c r="I1659" t="n">
        <x:v>0</x:v>
      </x:c>
      <x:c r="J1659" t="n">
        <x:v>0</x:v>
      </x:c>
      <x:c r="K1659" t="n">
        <x:v>0</x:v>
      </x:c>
      <x:c r="L1659" t="n">
        <x:v>36</x:v>
      </x:c>
      <x:c r="M1659" t="n">
        <x:v>0</x:v>
      </x:c>
      <x:c r="N1659" t="str">
        <x:v>Declined</x:v>
      </x:c>
      <x:c r="O1659" t="n">
        <x:v>0</x:v>
      </x:c>
      <x:c r="P1659" t="str">
        <x:f>IF(L1659&gt;=75,"High",IF(L1659&gt;=55,"Medium","Low"))</x:f>
        <x:v>Low</x:v>
      </x:c>
    </x:row>
    <x:row r="1660">
      <x:c r="A1660" t="n">
        <x:v>1659</x:v>
      </x:c>
      <x:c r="B1660" t="n">
        <x:v>10253</x:v>
      </x:c>
      <x:c r="C1660" s="16" t="n">
        <x:v>46157</x:v>
      </x:c>
      <x:c r="D1660" t="str">
        <x:v>12:37:00</x:v>
      </x:c>
      <x:c r="E1660" t="str">
        <x:v>P2P</x:v>
      </x:c>
      <x:c r="F1660" t="str">
        <x:v>Retail</x:v>
      </x:c>
      <x:c r="G1660" s="18" t="n">
        <x:v>58.41</x:v>
      </x:c>
      <x:c r="H1660" t="n">
        <x:v>0</x:v>
      </x:c>
      <x:c r="I1660" t="n">
        <x:v>0</x:v>
      </x:c>
      <x:c r="J1660" t="n">
        <x:v>0</x:v>
      </x:c>
      <x:c r="K1660" t="n">
        <x:v>0</x:v>
      </x:c>
      <x:c r="L1660" t="n">
        <x:v>10</x:v>
      </x:c>
      <x:c r="M1660" t="n">
        <x:v>0</x:v>
      </x:c>
      <x:c r="N1660" t="str">
        <x:v>Approved</x:v>
      </x:c>
      <x:c r="O1660" t="n">
        <x:v>0</x:v>
      </x:c>
      <x:c r="P1660" t="str">
        <x:f>IF(L1660&gt;=75,"High",IF(L1660&gt;=55,"Medium","Low"))</x:f>
        <x:v>Low</x:v>
      </x:c>
    </x:row>
    <x:row r="1661">
      <x:c r="A1661" t="n">
        <x:v>1660</x:v>
      </x:c>
      <x:c r="B1661" t="n">
        <x:v>10274</x:v>
      </x:c>
      <x:c r="C1661" s="16" t="n">
        <x:v>46270</x:v>
      </x:c>
      <x:c r="D1661" t="str">
        <x:v>20:04:00</x:v>
      </x:c>
      <x:c r="E1661" t="str">
        <x:v>Card</x:v>
      </x:c>
      <x:c r="F1661" t="str">
        <x:v>Travel</x:v>
      </x:c>
      <x:c r="G1661" s="18" t="n">
        <x:v>109.31</x:v>
      </x:c>
      <x:c r="H1661" t="n">
        <x:v>0</x:v>
      </x:c>
      <x:c r="I1661" t="n">
        <x:v>0</x:v>
      </x:c>
      <x:c r="J1661" t="n">
        <x:v>0</x:v>
      </x:c>
      <x:c r="K1661" t="n">
        <x:v>0</x:v>
      </x:c>
      <x:c r="L1661" t="n">
        <x:v>10</x:v>
      </x:c>
      <x:c r="M1661" t="n">
        <x:v>0</x:v>
      </x:c>
      <x:c r="N1661" t="str">
        <x:v>Approved</x:v>
      </x:c>
      <x:c r="O1661" t="n">
        <x:v>0</x:v>
      </x:c>
      <x:c r="P1661" t="str">
        <x:f>IF(L1661&gt;=75,"High",IF(L1661&gt;=55,"Medium","Low"))</x:f>
        <x:v>Low</x:v>
      </x:c>
    </x:row>
    <x:row r="1662">
      <x:c r="A1662" t="n">
        <x:v>1661</x:v>
      </x:c>
      <x:c r="B1662" t="n">
        <x:v>10150</x:v>
      </x:c>
      <x:c r="C1662" s="16" t="n">
        <x:v>46191</x:v>
      </x:c>
      <x:c r="D1662" t="str">
        <x:v>19:55:00</x:v>
      </x:c>
      <x:c r="E1662" t="str">
        <x:v>Card</x:v>
      </x:c>
      <x:c r="F1662" t="str">
        <x:v>Subscriptions</x:v>
      </x:c>
      <x:c r="G1662" s="18" t="n">
        <x:v>39.96</x:v>
      </x:c>
      <x:c r="H1662" t="n">
        <x:v>1</x:v>
      </x:c>
      <x:c r="I1662" t="n">
        <x:v>0</x:v>
      </x:c>
      <x:c r="J1662" t="n">
        <x:v>0</x:v>
      </x:c>
      <x:c r="K1662" t="n">
        <x:v>0</x:v>
      </x:c>
      <x:c r="L1662" t="n">
        <x:v>36</x:v>
      </x:c>
      <x:c r="M1662" t="n">
        <x:v>0</x:v>
      </x:c>
      <x:c r="N1662" t="str">
        <x:v>Approved</x:v>
      </x:c>
      <x:c r="O1662" t="n">
        <x:v>0</x:v>
      </x:c>
      <x:c r="P1662" t="str">
        <x:f>IF(L1662&gt;=75,"High",IF(L1662&gt;=55,"Medium","Low"))</x:f>
        <x:v>Low</x:v>
      </x:c>
    </x:row>
    <x:row r="1663">
      <x:c r="A1663" t="n">
        <x:v>1662</x:v>
      </x:c>
      <x:c r="B1663" t="n">
        <x:v>10158</x:v>
      </x:c>
      <x:c r="C1663" s="16" t="n">
        <x:v>46222</x:v>
      </x:c>
      <x:c r="D1663" t="str">
        <x:v>11:29:00</x:v>
      </x:c>
      <x:c r="E1663" t="str">
        <x:v>Bank Transfer</x:v>
      </x:c>
      <x:c r="F1663" t="str">
        <x:v>Retail</x:v>
      </x:c>
      <x:c r="G1663" s="18" t="n">
        <x:v>107.56</x:v>
      </x:c>
      <x:c r="H1663" t="n">
        <x:v>0</x:v>
      </x:c>
      <x:c r="I1663" t="n">
        <x:v>0</x:v>
      </x:c>
      <x:c r="J1663" t="n">
        <x:v>0</x:v>
      </x:c>
      <x:c r="K1663" t="n">
        <x:v>0</x:v>
      </x:c>
      <x:c r="L1663" t="n">
        <x:v>10</x:v>
      </x:c>
      <x:c r="M1663" t="n">
        <x:v>0</x:v>
      </x:c>
      <x:c r="N1663" t="str">
        <x:v>Approved</x:v>
      </x:c>
      <x:c r="O1663" t="n">
        <x:v>0</x:v>
      </x:c>
      <x:c r="P1663" t="str">
        <x:f>IF(L1663&gt;=75,"High",IF(L1663&gt;=55,"Medium","Low"))</x:f>
        <x:v>Low</x:v>
      </x:c>
    </x:row>
    <x:row r="1664">
      <x:c r="A1664" t="n">
        <x:v>1663</x:v>
      </x:c>
      <x:c r="B1664" t="n">
        <x:v>10061</x:v>
      </x:c>
      <x:c r="C1664" s="16" t="n">
        <x:v>46211</x:v>
      </x:c>
      <x:c r="D1664" t="str">
        <x:v>20:28:00</x:v>
      </x:c>
      <x:c r="E1664" t="str">
        <x:v>Bank Transfer</x:v>
      </x:c>
      <x:c r="F1664" t="str">
        <x:v>Subscriptions</x:v>
      </x:c>
      <x:c r="G1664" s="18" t="n">
        <x:v>49.09</x:v>
      </x:c>
      <x:c r="H1664" t="n">
        <x:v>0</x:v>
      </x:c>
      <x:c r="I1664" t="n">
        <x:v>0</x:v>
      </x:c>
      <x:c r="J1664" t="n">
        <x:v>0</x:v>
      </x:c>
      <x:c r="K1664" t="n">
        <x:v>0</x:v>
      </x:c>
      <x:c r="L1664" t="n">
        <x:v>10</x:v>
      </x:c>
      <x:c r="M1664" t="n">
        <x:v>0</x:v>
      </x:c>
      <x:c r="N1664" t="str">
        <x:v>Declined</x:v>
      </x:c>
      <x:c r="O1664" t="n">
        <x:v>0</x:v>
      </x:c>
      <x:c r="P1664" t="str">
        <x:f>IF(L1664&gt;=75,"High",IF(L1664&gt;=55,"Medium","Low"))</x:f>
        <x:v>Low</x:v>
      </x:c>
    </x:row>
    <x:row r="1665">
      <x:c r="A1665" t="n">
        <x:v>1664</x:v>
      </x:c>
      <x:c r="B1665" t="n">
        <x:v>10130</x:v>
      </x:c>
      <x:c r="C1665" s="16" t="n">
        <x:v>46257</x:v>
      </x:c>
      <x:c r="D1665" t="str">
        <x:v>08:59:00</x:v>
      </x:c>
      <x:c r="E1665" t="str">
        <x:v>Card</x:v>
      </x:c>
      <x:c r="F1665" t="str">
        <x:v>Electronics</x:v>
      </x:c>
      <x:c r="G1665" s="18" t="n">
        <x:v>43.22</x:v>
      </x:c>
      <x:c r="H1665" t="n">
        <x:v>0</x:v>
      </x:c>
      <x:c r="I1665" t="n">
        <x:v>1</x:v>
      </x:c>
      <x:c r="J1665" t="n">
        <x:v>0</x:v>
      </x:c>
      <x:c r="K1665" t="n">
        <x:v>0</x:v>
      </x:c>
      <x:c r="L1665" t="n">
        <x:v>30</x:v>
      </x:c>
      <x:c r="M1665" t="n">
        <x:v>0</x:v>
      </x:c>
      <x:c r="N1665" t="str">
        <x:v>Approved</x:v>
      </x:c>
      <x:c r="O1665" t="n">
        <x:v>0</x:v>
      </x:c>
      <x:c r="P1665" t="str">
        <x:f>IF(L1665&gt;=75,"High",IF(L1665&gt;=55,"Medium","Low"))</x:f>
        <x:v>Low</x:v>
      </x:c>
    </x:row>
    <x:row r="1666">
      <x:c r="A1666" t="n">
        <x:v>1665</x:v>
      </x:c>
      <x:c r="B1666" t="n">
        <x:v>10205</x:v>
      </x:c>
      <x:c r="C1666" s="16" t="n">
        <x:v>46243</x:v>
      </x:c>
      <x:c r="D1666" t="str">
        <x:v>21:40:00</x:v>
      </x:c>
      <x:c r="E1666" t="str">
        <x:v>Card</x:v>
      </x:c>
      <x:c r="F1666" t="str">
        <x:v>Subscriptions</x:v>
      </x:c>
      <x:c r="G1666" s="18" t="n">
        <x:v>121.09</x:v>
      </x:c>
      <x:c r="H1666" t="n">
        <x:v>0</x:v>
      </x:c>
      <x:c r="I1666" t="n">
        <x:v>0</x:v>
      </x:c>
      <x:c r="J1666" t="n">
        <x:v>0</x:v>
      </x:c>
      <x:c r="K1666" t="n">
        <x:v>0</x:v>
      </x:c>
      <x:c r="L1666" t="n">
        <x:v>10</x:v>
      </x:c>
      <x:c r="M1666" t="n">
        <x:v>0</x:v>
      </x:c>
      <x:c r="N1666" t="str">
        <x:v>Approved</x:v>
      </x:c>
      <x:c r="O1666" t="n">
        <x:v>0</x:v>
      </x:c>
      <x:c r="P1666" t="str">
        <x:f>IF(L1666&gt;=75,"High",IF(L1666&gt;=55,"Medium","Low"))</x:f>
        <x:v>Low</x:v>
      </x:c>
    </x:row>
    <x:row r="1667">
      <x:c r="A1667" t="n">
        <x:v>1666</x:v>
      </x:c>
      <x:c r="B1667" t="n">
        <x:v>10064</x:v>
      </x:c>
      <x:c r="C1667" s="16" t="n">
        <x:v>46261</x:v>
      </x:c>
      <x:c r="D1667" t="str">
        <x:v>01:21:00</x:v>
      </x:c>
      <x:c r="E1667" t="str">
        <x:v>Card</x:v>
      </x:c>
      <x:c r="F1667" t="str">
        <x:v>Retail</x:v>
      </x:c>
      <x:c r="G1667" s="18" t="n">
        <x:v>339.05</x:v>
      </x:c>
      <x:c r="H1667" t="n">
        <x:v>1</x:v>
      </x:c>
      <x:c r="I1667" t="n">
        <x:v>1</x:v>
      </x:c>
      <x:c r="J1667" t="n">
        <x:v>0</x:v>
      </x:c>
      <x:c r="K1667" t="n">
        <x:v>1</x:v>
      </x:c>
      <x:c r="L1667" t="n">
        <x:v>71</x:v>
      </x:c>
      <x:c r="M1667" t="n">
        <x:v>1</x:v>
      </x:c>
      <x:c r="N1667" t="str">
        <x:v>Approved</x:v>
      </x:c>
      <x:c r="O1667" t="n">
        <x:v>0</x:v>
      </x:c>
      <x:c r="P1667" t="str">
        <x:f>IF(L1667&gt;=75,"High",IF(L1667&gt;=55,"Medium","Low"))</x:f>
        <x:v>Medium</x:v>
      </x:c>
    </x:row>
    <x:row r="1668">
      <x:c r="A1668" t="n">
        <x:v>1667</x:v>
      </x:c>
      <x:c r="B1668" t="n">
        <x:v>10083</x:v>
      </x:c>
      <x:c r="C1668" s="16" t="n">
        <x:v>46227</x:v>
      </x:c>
      <x:c r="D1668" t="str">
        <x:v>16:25:00</x:v>
      </x:c>
      <x:c r="E1668" t="str">
        <x:v>Card</x:v>
      </x:c>
      <x:c r="F1668" t="str">
        <x:v>Electronics</x:v>
      </x:c>
      <x:c r="G1668" s="18" t="n">
        <x:v>279.25</x:v>
      </x:c>
      <x:c r="H1668" t="n">
        <x:v>1</x:v>
      </x:c>
      <x:c r="I1668" t="n">
        <x:v>0</x:v>
      </x:c>
      <x:c r="J1668" t="n">
        <x:v>0</x:v>
      </x:c>
      <x:c r="K1668" t="n">
        <x:v>0</x:v>
      </x:c>
      <x:c r="L1668" t="n">
        <x:v>36</x:v>
      </x:c>
      <x:c r="M1668" t="n">
        <x:v>0</x:v>
      </x:c>
      <x:c r="N1668" t="str">
        <x:v>Approved</x:v>
      </x:c>
      <x:c r="O1668" t="n">
        <x:v>0</x:v>
      </x:c>
      <x:c r="P1668" t="str">
        <x:f>IF(L1668&gt;=75,"High",IF(L1668&gt;=55,"Medium","Low"))</x:f>
        <x:v>Low</x:v>
      </x:c>
    </x:row>
    <x:row r="1669">
      <x:c r="A1669" t="n">
        <x:v>1668</x:v>
      </x:c>
      <x:c r="B1669" t="n">
        <x:v>10011</x:v>
      </x:c>
      <x:c r="C1669" s="16" t="n">
        <x:v>46238</x:v>
      </x:c>
      <x:c r="D1669" t="str">
        <x:v>19:03:00</x:v>
      </x:c>
      <x:c r="E1669" t="str">
        <x:v>Card</x:v>
      </x:c>
      <x:c r="F1669" t="str">
        <x:v>Electronics</x:v>
      </x:c>
      <x:c r="G1669" s="18" t="n">
        <x:v>14.9</x:v>
      </x:c>
      <x:c r="H1669" t="n">
        <x:v>0</x:v>
      </x:c>
      <x:c r="I1669" t="n">
        <x:v>1</x:v>
      </x:c>
      <x:c r="J1669" t="n">
        <x:v>0</x:v>
      </x:c>
      <x:c r="K1669" t="n">
        <x:v>0</x:v>
      </x:c>
      <x:c r="L1669" t="n">
        <x:v>30</x:v>
      </x:c>
      <x:c r="M1669" t="n">
        <x:v>0</x:v>
      </x:c>
      <x:c r="N1669" t="str">
        <x:v>Approved</x:v>
      </x:c>
      <x:c r="O1669" t="n">
        <x:v>0</x:v>
      </x:c>
      <x:c r="P1669" t="str">
        <x:f>IF(L1669&gt;=75,"High",IF(L1669&gt;=55,"Medium","Low"))</x:f>
        <x:v>Low</x:v>
      </x:c>
    </x:row>
    <x:row r="1670">
      <x:c r="A1670" t="n">
        <x:v>1669</x:v>
      </x:c>
      <x:c r="B1670" t="n">
        <x:v>10240</x:v>
      </x:c>
      <x:c r="C1670" s="16" t="n">
        <x:v>46139</x:v>
      </x:c>
      <x:c r="D1670" t="str">
        <x:v>09:31:00</x:v>
      </x:c>
      <x:c r="E1670" t="str">
        <x:v>Card</x:v>
      </x:c>
      <x:c r="F1670" t="str">
        <x:v>Electronics</x:v>
      </x:c>
      <x:c r="G1670" s="18" t="n">
        <x:v>47.92</x:v>
      </x:c>
      <x:c r="H1670" t="n">
        <x:v>0</x:v>
      </x:c>
      <x:c r="I1670" t="n">
        <x:v>1</x:v>
      </x:c>
      <x:c r="J1670" t="n">
        <x:v>0</x:v>
      </x:c>
      <x:c r="K1670" t="n">
        <x:v>0</x:v>
      </x:c>
      <x:c r="L1670" t="n">
        <x:v>30</x:v>
      </x:c>
      <x:c r="M1670" t="n">
        <x:v>0</x:v>
      </x:c>
      <x:c r="N1670" t="str">
        <x:v>Approved</x:v>
      </x:c>
      <x:c r="O1670" t="n">
        <x:v>0</x:v>
      </x:c>
      <x:c r="P1670" t="str">
        <x:f>IF(L1670&gt;=75,"High",IF(L1670&gt;=55,"Medium","Low"))</x:f>
        <x:v>Low</x:v>
      </x:c>
    </x:row>
    <x:row r="1671">
      <x:c r="A1671" t="n">
        <x:v>1670</x:v>
      </x:c>
      <x:c r="B1671" t="n">
        <x:v>10115</x:v>
      </x:c>
      <x:c r="C1671" s="16" t="n">
        <x:v>46268</x:v>
      </x:c>
      <x:c r="D1671" t="str">
        <x:v>21:40:00</x:v>
      </x:c>
      <x:c r="E1671" t="str">
        <x:v>Card</x:v>
      </x:c>
      <x:c r="F1671" t="str">
        <x:v>Travel</x:v>
      </x:c>
      <x:c r="G1671" s="18" t="n">
        <x:v>26.13</x:v>
      </x:c>
      <x:c r="H1671" t="n">
        <x:v>0</x:v>
      </x:c>
      <x:c r="I1671" t="n">
        <x:v>1</x:v>
      </x:c>
      <x:c r="J1671" t="n">
        <x:v>0</x:v>
      </x:c>
      <x:c r="K1671" t="n">
        <x:v>0</x:v>
      </x:c>
      <x:c r="L1671" t="n">
        <x:v>30</x:v>
      </x:c>
      <x:c r="M1671" t="n">
        <x:v>0</x:v>
      </x:c>
      <x:c r="N1671" t="str">
        <x:v>Approved</x:v>
      </x:c>
      <x:c r="O1671" t="n">
        <x:v>0</x:v>
      </x:c>
      <x:c r="P1671" t="str">
        <x:f>IF(L1671&gt;=75,"High",IF(L1671&gt;=55,"Medium","Low"))</x:f>
        <x:v>Low</x:v>
      </x:c>
    </x:row>
    <x:row r="1672">
      <x:c r="A1672" t="n">
        <x:v>1671</x:v>
      </x:c>
      <x:c r="B1672" t="n">
        <x:v>10068</x:v>
      </x:c>
      <x:c r="C1672" s="16" t="n">
        <x:v>46152</x:v>
      </x:c>
      <x:c r="D1672" t="str">
        <x:v>09:34:00</x:v>
      </x:c>
      <x:c r="E1672" t="str">
        <x:v>Card</x:v>
      </x:c>
      <x:c r="F1672" t="str">
        <x:v>Transfer</x:v>
      </x:c>
      <x:c r="G1672" s="18" t="n">
        <x:v>27.99</x:v>
      </x:c>
      <x:c r="H1672" t="n">
        <x:v>0</x:v>
      </x:c>
      <x:c r="I1672" t="n">
        <x:v>0</x:v>
      </x:c>
      <x:c r="J1672" t="n">
        <x:v>0</x:v>
      </x:c>
      <x:c r="K1672" t="n">
        <x:v>0</x:v>
      </x:c>
      <x:c r="L1672" t="n">
        <x:v>10</x:v>
      </x:c>
      <x:c r="M1672" t="n">
        <x:v>0</x:v>
      </x:c>
      <x:c r="N1672" t="str">
        <x:v>Approved</x:v>
      </x:c>
      <x:c r="O1672" t="n">
        <x:v>0</x:v>
      </x:c>
      <x:c r="P1672" t="str">
        <x:f>IF(L1672&gt;=75,"High",IF(L1672&gt;=55,"Medium","Low"))</x:f>
        <x:v>Low</x:v>
      </x:c>
    </x:row>
    <x:row r="1673">
      <x:c r="A1673" t="n">
        <x:v>1672</x:v>
      </x:c>
      <x:c r="B1673" t="n">
        <x:v>10359</x:v>
      </x:c>
      <x:c r="C1673" s="16" t="n">
        <x:v>46262</x:v>
      </x:c>
      <x:c r="D1673" t="str">
        <x:v>15:18:00</x:v>
      </x:c>
      <x:c r="E1673" t="str">
        <x:v>Card</x:v>
      </x:c>
      <x:c r="F1673" t="str">
        <x:v>Travel</x:v>
      </x:c>
      <x:c r="G1673" s="18" t="n">
        <x:v>17.06</x:v>
      </x:c>
      <x:c r="H1673" t="n">
        <x:v>0</x:v>
      </x:c>
      <x:c r="I1673" t="n">
        <x:v>0</x:v>
      </x:c>
      <x:c r="J1673" t="n">
        <x:v>0</x:v>
      </x:c>
      <x:c r="K1673" t="n">
        <x:v>0</x:v>
      </x:c>
      <x:c r="L1673" t="n">
        <x:v>10</x:v>
      </x:c>
      <x:c r="M1673" t="n">
        <x:v>0</x:v>
      </x:c>
      <x:c r="N1673" t="str">
        <x:v>Approved</x:v>
      </x:c>
      <x:c r="O1673" t="n">
        <x:v>0</x:v>
      </x:c>
      <x:c r="P1673" t="str">
        <x:f>IF(L1673&gt;=75,"High",IF(L1673&gt;=55,"Medium","Low"))</x:f>
        <x:v>Low</x:v>
      </x:c>
    </x:row>
    <x:row r="1674">
      <x:c r="A1674" t="n">
        <x:v>1673</x:v>
      </x:c>
      <x:c r="B1674" t="n">
        <x:v>10160</x:v>
      </x:c>
      <x:c r="C1674" s="16" t="n">
        <x:v>46191</x:v>
      </x:c>
      <x:c r="D1674" t="str">
        <x:v>01:25:00</x:v>
      </x:c>
      <x:c r="E1674" t="str">
        <x:v>Card</x:v>
      </x:c>
      <x:c r="F1674" t="str">
        <x:v>Utilities</x:v>
      </x:c>
      <x:c r="G1674" s="18" t="n">
        <x:v>49.22</x:v>
      </x:c>
      <x:c r="H1674" t="n">
        <x:v>1</x:v>
      </x:c>
      <x:c r="I1674" t="n">
        <x:v>0</x:v>
      </x:c>
      <x:c r="J1674" t="n">
        <x:v>0</x:v>
      </x:c>
      <x:c r="K1674" t="n">
        <x:v>1</x:v>
      </x:c>
      <x:c r="L1674" t="n">
        <x:v>51</x:v>
      </x:c>
      <x:c r="M1674" t="n">
        <x:v>0</x:v>
      </x:c>
      <x:c r="N1674" t="str">
        <x:v>Approved</x:v>
      </x:c>
      <x:c r="O1674" t="n">
        <x:v>0</x:v>
      </x:c>
      <x:c r="P1674" t="str">
        <x:f>IF(L1674&gt;=75,"High",IF(L1674&gt;=55,"Medium","Low"))</x:f>
        <x:v>Low</x:v>
      </x:c>
    </x:row>
    <x:row r="1675">
      <x:c r="A1675" t="n">
        <x:v>1674</x:v>
      </x:c>
      <x:c r="B1675" t="n">
        <x:v>10279</x:v>
      </x:c>
      <x:c r="C1675" s="16" t="n">
        <x:v>46222</x:v>
      </x:c>
      <x:c r="D1675" t="str">
        <x:v>21:08:00</x:v>
      </x:c>
      <x:c r="E1675" t="str">
        <x:v>P2P</x:v>
      </x:c>
      <x:c r="F1675" t="str">
        <x:v>Subscriptions</x:v>
      </x:c>
      <x:c r="G1675" s="18" t="n">
        <x:v>24.29</x:v>
      </x:c>
      <x:c r="H1675" t="n">
        <x:v>1</x:v>
      </x:c>
      <x:c r="I1675" t="n">
        <x:v>0</x:v>
      </x:c>
      <x:c r="J1675" t="n">
        <x:v>0</x:v>
      </x:c>
      <x:c r="K1675" t="n">
        <x:v>0</x:v>
      </x:c>
      <x:c r="L1675" t="n">
        <x:v>36</x:v>
      </x:c>
      <x:c r="M1675" t="n">
        <x:v>0</x:v>
      </x:c>
      <x:c r="N1675" t="str">
        <x:v>Approved</x:v>
      </x:c>
      <x:c r="O1675" t="n">
        <x:v>0</x:v>
      </x:c>
      <x:c r="P1675" t="str">
        <x:f>IF(L1675&gt;=75,"High",IF(L1675&gt;=55,"Medium","Low"))</x:f>
        <x:v>Low</x:v>
      </x:c>
    </x:row>
    <x:row r="1676">
      <x:c r="A1676" t="n">
        <x:v>1675</x:v>
      </x:c>
      <x:c r="B1676" t="n">
        <x:v>10242</x:v>
      </x:c>
      <x:c r="C1676" s="16" t="n">
        <x:v>46279</x:v>
      </x:c>
      <x:c r="D1676" t="str">
        <x:v>22:32:00</x:v>
      </x:c>
      <x:c r="E1676" t="str">
        <x:v>Bank Transfer</x:v>
      </x:c>
      <x:c r="F1676" t="str">
        <x:v>Travel</x:v>
      </x:c>
      <x:c r="G1676" s="18" t="n">
        <x:v>981.26</x:v>
      </x:c>
      <x:c r="H1676" t="n">
        <x:v>1</x:v>
      </x:c>
      <x:c r="I1676" t="n">
        <x:v>0</x:v>
      </x:c>
      <x:c r="J1676" t="n">
        <x:v>1</x:v>
      </x:c>
      <x:c r="K1676" t="n">
        <x:v>0</x:v>
      </x:c>
      <x:c r="L1676" t="n">
        <x:v>70</x:v>
      </x:c>
      <x:c r="M1676" t="n">
        <x:v>1</x:v>
      </x:c>
      <x:c r="N1676" t="str">
        <x:v>Approved</x:v>
      </x:c>
      <x:c r="O1676" t="n">
        <x:v>0</x:v>
      </x:c>
      <x:c r="P1676" t="str">
        <x:f>IF(L1676&gt;=75,"High",IF(L1676&gt;=55,"Medium","Low"))</x:f>
        <x:v>Medium</x:v>
      </x:c>
    </x:row>
    <x:row r="1677">
      <x:c r="A1677" t="n">
        <x:v>1676</x:v>
      </x:c>
      <x:c r="B1677" t="n">
        <x:v>10033</x:v>
      </x:c>
      <x:c r="C1677" s="16" t="n">
        <x:v>46251</x:v>
      </x:c>
      <x:c r="D1677" t="str">
        <x:v>05:53:00</x:v>
      </x:c>
      <x:c r="E1677" t="str">
        <x:v>Bank Transfer</x:v>
      </x:c>
      <x:c r="F1677" t="str">
        <x:v>Retail</x:v>
      </x:c>
      <x:c r="G1677" s="18" t="n">
        <x:v>9.52</x:v>
      </x:c>
      <x:c r="H1677" t="n">
        <x:v>1</x:v>
      </x:c>
      <x:c r="I1677" t="n">
        <x:v>1</x:v>
      </x:c>
      <x:c r="J1677" t="n">
        <x:v>0</x:v>
      </x:c>
      <x:c r="K1677" t="n">
        <x:v>0</x:v>
      </x:c>
      <x:c r="L1677" t="n">
        <x:v>56</x:v>
      </x:c>
      <x:c r="M1677" t="n">
        <x:v>1</x:v>
      </x:c>
      <x:c r="N1677" t="str">
        <x:v>Approved</x:v>
      </x:c>
      <x:c r="O1677" t="n">
        <x:v>0</x:v>
      </x:c>
      <x:c r="P1677" t="str">
        <x:f>IF(L1677&gt;=75,"High",IF(L1677&gt;=55,"Medium","Low"))</x:f>
        <x:v>Medium</x:v>
      </x:c>
    </x:row>
    <x:row r="1678">
      <x:c r="A1678" t="n">
        <x:v>1677</x:v>
      </x:c>
      <x:c r="B1678" t="n">
        <x:v>10186</x:v>
      </x:c>
      <x:c r="C1678" s="16" t="n">
        <x:v>46275</x:v>
      </x:c>
      <x:c r="D1678" t="str">
        <x:v>23:20:00</x:v>
      </x:c>
      <x:c r="E1678" t="str">
        <x:v>P2P</x:v>
      </x:c>
      <x:c r="F1678" t="str">
        <x:v>Dining</x:v>
      </x:c>
      <x:c r="G1678" s="18" t="n">
        <x:v>69.53</x:v>
      </x:c>
      <x:c r="H1678" t="n">
        <x:v>0</x:v>
      </x:c>
      <x:c r="I1678" t="n">
        <x:v>0</x:v>
      </x:c>
      <x:c r="J1678" t="n">
        <x:v>0</x:v>
      </x:c>
      <x:c r="K1678" t="n">
        <x:v>0</x:v>
      </x:c>
      <x:c r="L1678" t="n">
        <x:v>10</x:v>
      </x:c>
      <x:c r="M1678" t="n">
        <x:v>0</x:v>
      </x:c>
      <x:c r="N1678" t="str">
        <x:v>Approved</x:v>
      </x:c>
      <x:c r="O1678" t="n">
        <x:v>0</x:v>
      </x:c>
      <x:c r="P1678" t="str">
        <x:f>IF(L1678&gt;=75,"High",IF(L1678&gt;=55,"Medium","Low"))</x:f>
        <x:v>Low</x:v>
      </x:c>
    </x:row>
    <x:row r="1679">
      <x:c r="A1679" t="n">
        <x:v>1678</x:v>
      </x:c>
      <x:c r="B1679" t="n">
        <x:v>10359</x:v>
      </x:c>
      <x:c r="C1679" s="16" t="n">
        <x:v>46267</x:v>
      </x:c>
      <x:c r="D1679" t="str">
        <x:v>10:17:00</x:v>
      </x:c>
      <x:c r="E1679" t="str">
        <x:v>Card</x:v>
      </x:c>
      <x:c r="F1679" t="str">
        <x:v>Electronics</x:v>
      </x:c>
      <x:c r="G1679" s="18" t="n">
        <x:v>227.1</x:v>
      </x:c>
      <x:c r="H1679" t="n">
        <x:v>0</x:v>
      </x:c>
      <x:c r="I1679" t="n">
        <x:v>0</x:v>
      </x:c>
      <x:c r="J1679" t="n">
        <x:v>0</x:v>
      </x:c>
      <x:c r="K1679" t="n">
        <x:v>0</x:v>
      </x:c>
      <x:c r="L1679" t="n">
        <x:v>10</x:v>
      </x:c>
      <x:c r="M1679" t="n">
        <x:v>0</x:v>
      </x:c>
      <x:c r="N1679" t="str">
        <x:v>Approved</x:v>
      </x:c>
      <x:c r="O1679" t="n">
        <x:v>0</x:v>
      </x:c>
      <x:c r="P1679" t="str">
        <x:f>IF(L1679&gt;=75,"High",IF(L1679&gt;=55,"Medium","Low"))</x:f>
        <x:v>Low</x:v>
      </x:c>
    </x:row>
    <x:row r="1680">
      <x:c r="A1680" t="n">
        <x:v>1679</x:v>
      </x:c>
      <x:c r="B1680" t="n">
        <x:v>10297</x:v>
      </x:c>
      <x:c r="C1680" s="16" t="n">
        <x:v>46208</x:v>
      </x:c>
      <x:c r="D1680" t="str">
        <x:v>02:27:00</x:v>
      </x:c>
      <x:c r="E1680" t="str">
        <x:v>Bank Transfer</x:v>
      </x:c>
      <x:c r="F1680" t="str">
        <x:v>Electronics</x:v>
      </x:c>
      <x:c r="G1680" s="18" t="n">
        <x:v>56.3</x:v>
      </x:c>
      <x:c r="H1680" t="n">
        <x:v>0</x:v>
      </x:c>
      <x:c r="I1680" t="n">
        <x:v>0</x:v>
      </x:c>
      <x:c r="J1680" t="n">
        <x:v>0</x:v>
      </x:c>
      <x:c r="K1680" t="n">
        <x:v>1</x:v>
      </x:c>
      <x:c r="L1680" t="n">
        <x:v>25</x:v>
      </x:c>
      <x:c r="M1680" t="n">
        <x:v>0</x:v>
      </x:c>
      <x:c r="N1680" t="str">
        <x:v>Approved</x:v>
      </x:c>
      <x:c r="O1680" t="n">
        <x:v>0</x:v>
      </x:c>
      <x:c r="P1680" t="str">
        <x:f>IF(L1680&gt;=75,"High",IF(L1680&gt;=55,"Medium","Low"))</x:f>
        <x:v>Low</x:v>
      </x:c>
    </x:row>
    <x:row r="1681">
      <x:c r="A1681" t="n">
        <x:v>1680</x:v>
      </x:c>
      <x:c r="B1681" t="n">
        <x:v>10210</x:v>
      </x:c>
      <x:c r="C1681" s="16" t="n">
        <x:v>46141</x:v>
      </x:c>
      <x:c r="D1681" t="str">
        <x:v>21:15:00</x:v>
      </x:c>
      <x:c r="E1681" t="str">
        <x:v>Card</x:v>
      </x:c>
      <x:c r="F1681" t="str">
        <x:v>Retail</x:v>
      </x:c>
      <x:c r="G1681" s="18" t="n">
        <x:v>72.13</x:v>
      </x:c>
      <x:c r="H1681" t="n">
        <x:v>0</x:v>
      </x:c>
      <x:c r="I1681" t="n">
        <x:v>1</x:v>
      </x:c>
      <x:c r="J1681" t="n">
        <x:v>0</x:v>
      </x:c>
      <x:c r="K1681" t="n">
        <x:v>0</x:v>
      </x:c>
      <x:c r="L1681" t="n">
        <x:v>30</x:v>
      </x:c>
      <x:c r="M1681" t="n">
        <x:v>0</x:v>
      </x:c>
      <x:c r="N1681" t="str">
        <x:v>Declined</x:v>
      </x:c>
      <x:c r="O1681" t="n">
        <x:v>0</x:v>
      </x:c>
      <x:c r="P1681" t="str">
        <x:f>IF(L1681&gt;=75,"High",IF(L1681&gt;=55,"Medium","Low"))</x:f>
        <x:v>Low</x:v>
      </x:c>
    </x:row>
    <x:row r="1682">
      <x:c r="A1682" t="n">
        <x:v>1681</x:v>
      </x:c>
      <x:c r="B1682" t="n">
        <x:v>10270</x:v>
      </x:c>
      <x:c r="C1682" s="16" t="n">
        <x:v>46217</x:v>
      </x:c>
      <x:c r="D1682" t="str">
        <x:v>00:20:00</x:v>
      </x:c>
      <x:c r="E1682" t="str">
        <x:v>Card</x:v>
      </x:c>
      <x:c r="F1682" t="str">
        <x:v>Subscriptions</x:v>
      </x:c>
      <x:c r="G1682" s="18" t="n">
        <x:v>23.74</x:v>
      </x:c>
      <x:c r="H1682" t="n">
        <x:v>0</x:v>
      </x:c>
      <x:c r="I1682" t="n">
        <x:v>0</x:v>
      </x:c>
      <x:c r="J1682" t="n">
        <x:v>0</x:v>
      </x:c>
      <x:c r="K1682" t="n">
        <x:v>1</x:v>
      </x:c>
      <x:c r="L1682" t="n">
        <x:v>25</x:v>
      </x:c>
      <x:c r="M1682" t="n">
        <x:v>0</x:v>
      </x:c>
      <x:c r="N1682" t="str">
        <x:v>Approved</x:v>
      </x:c>
      <x:c r="O1682" t="n">
        <x:v>0</x:v>
      </x:c>
      <x:c r="P1682" t="str">
        <x:f>IF(L1682&gt;=75,"High",IF(L1682&gt;=55,"Medium","Low"))</x:f>
        <x:v>Low</x:v>
      </x:c>
    </x:row>
    <x:row r="1683">
      <x:c r="A1683" t="n">
        <x:v>1682</x:v>
      </x:c>
      <x:c r="B1683" t="n">
        <x:v>10121</x:v>
      </x:c>
      <x:c r="C1683" s="16" t="n">
        <x:v>46254</x:v>
      </x:c>
      <x:c r="D1683" t="str">
        <x:v>06:48:00</x:v>
      </x:c>
      <x:c r="E1683" t="str">
        <x:v>P2P</x:v>
      </x:c>
      <x:c r="F1683" t="str">
        <x:v>Dining</x:v>
      </x:c>
      <x:c r="G1683" s="18" t="n">
        <x:v>19.27</x:v>
      </x:c>
      <x:c r="H1683" t="n">
        <x:v>0</x:v>
      </x:c>
      <x:c r="I1683" t="n">
        <x:v>0</x:v>
      </x:c>
      <x:c r="J1683" t="n">
        <x:v>0</x:v>
      </x:c>
      <x:c r="K1683" t="n">
        <x:v>0</x:v>
      </x:c>
      <x:c r="L1683" t="n">
        <x:v>10</x:v>
      </x:c>
      <x:c r="M1683" t="n">
        <x:v>0</x:v>
      </x:c>
      <x:c r="N1683" t="str">
        <x:v>Approved</x:v>
      </x:c>
      <x:c r="O1683" t="n">
        <x:v>0</x:v>
      </x:c>
      <x:c r="P1683" t="str">
        <x:f>IF(L1683&gt;=75,"High",IF(L1683&gt;=55,"Medium","Low"))</x:f>
        <x:v>Low</x:v>
      </x:c>
    </x:row>
    <x:row r="1684">
      <x:c r="A1684" t="n">
        <x:v>1683</x:v>
      </x:c>
      <x:c r="B1684" t="n">
        <x:v>10162</x:v>
      </x:c>
      <x:c r="C1684" s="16" t="n">
        <x:v>46215</x:v>
      </x:c>
      <x:c r="D1684" t="str">
        <x:v>12:04:00</x:v>
      </x:c>
      <x:c r="E1684" t="str">
        <x:v>P2P</x:v>
      </x:c>
      <x:c r="F1684" t="str">
        <x:v>Transfer</x:v>
      </x:c>
      <x:c r="G1684" s="18" t="n">
        <x:v>2899.31</x:v>
      </x:c>
      <x:c r="H1684" t="n">
        <x:v>1</x:v>
      </x:c>
      <x:c r="I1684" t="n">
        <x:v>0</x:v>
      </x:c>
      <x:c r="J1684" t="n">
        <x:v>1</x:v>
      </x:c>
      <x:c r="K1684" t="n">
        <x:v>0</x:v>
      </x:c>
      <x:c r="L1684" t="n">
        <x:v>82</x:v>
      </x:c>
      <x:c r="M1684" t="n">
        <x:v>1</x:v>
      </x:c>
      <x:c r="N1684" t="str">
        <x:v>Approved</x:v>
      </x:c>
      <x:c r="O1684" t="n">
        <x:v>0</x:v>
      </x:c>
      <x:c r="P1684" t="str">
        <x:f>IF(L1684&gt;=75,"High",IF(L1684&gt;=55,"Medium","Low"))</x:f>
        <x:v>High</x:v>
      </x:c>
    </x:row>
    <x:row r="1685">
      <x:c r="A1685" t="n">
        <x:v>1684</x:v>
      </x:c>
      <x:c r="B1685" t="n">
        <x:v>10194</x:v>
      </x:c>
      <x:c r="C1685" s="16" t="n">
        <x:v>46134</x:v>
      </x:c>
      <x:c r="D1685" t="str">
        <x:v>22:47:00</x:v>
      </x:c>
      <x:c r="E1685" t="str">
        <x:v>Card</x:v>
      </x:c>
      <x:c r="F1685" t="str">
        <x:v>Transfer</x:v>
      </x:c>
      <x:c r="G1685" s="18" t="n">
        <x:v>52.93</x:v>
      </x:c>
      <x:c r="H1685" t="n">
        <x:v>0</x:v>
      </x:c>
      <x:c r="I1685" t="n">
        <x:v>0</x:v>
      </x:c>
      <x:c r="J1685" t="n">
        <x:v>0</x:v>
      </x:c>
      <x:c r="K1685" t="n">
        <x:v>0</x:v>
      </x:c>
      <x:c r="L1685" t="n">
        <x:v>10</x:v>
      </x:c>
      <x:c r="M1685" t="n">
        <x:v>0</x:v>
      </x:c>
      <x:c r="N1685" t="str">
        <x:v>Approved</x:v>
      </x:c>
      <x:c r="O1685" t="n">
        <x:v>0</x:v>
      </x:c>
      <x:c r="P1685" t="str">
        <x:f>IF(L1685&gt;=75,"High",IF(L1685&gt;=55,"Medium","Low"))</x:f>
        <x:v>Low</x:v>
      </x:c>
    </x:row>
    <x:row r="1686">
      <x:c r="A1686" t="n">
        <x:v>1685</x:v>
      </x:c>
      <x:c r="B1686" t="n">
        <x:v>10120</x:v>
      </x:c>
      <x:c r="C1686" s="16" t="n">
        <x:v>46125</x:v>
      </x:c>
      <x:c r="D1686" t="str">
        <x:v>02:55:00</x:v>
      </x:c>
      <x:c r="E1686" t="str">
        <x:v>Card</x:v>
      </x:c>
      <x:c r="F1686" t="str">
        <x:v>Transfer</x:v>
      </x:c>
      <x:c r="G1686" s="18" t="n">
        <x:v>17.7</x:v>
      </x:c>
      <x:c r="H1686" t="n">
        <x:v>0</x:v>
      </x:c>
      <x:c r="I1686" t="n">
        <x:v>1</x:v>
      </x:c>
      <x:c r="J1686" t="n">
        <x:v>0</x:v>
      </x:c>
      <x:c r="K1686" t="n">
        <x:v>1</x:v>
      </x:c>
      <x:c r="L1686" t="n">
        <x:v>45</x:v>
      </x:c>
      <x:c r="M1686" t="n">
        <x:v>0</x:v>
      </x:c>
      <x:c r="N1686" t="str">
        <x:v>Approved</x:v>
      </x:c>
      <x:c r="O1686" t="n">
        <x:v>0</x:v>
      </x:c>
      <x:c r="P1686" t="str">
        <x:f>IF(L1686&gt;=75,"High",IF(L1686&gt;=55,"Medium","Low"))</x:f>
        <x:v>Low</x:v>
      </x:c>
    </x:row>
    <x:row r="1687">
      <x:c r="A1687" t="n">
        <x:v>1686</x:v>
      </x:c>
      <x:c r="B1687" t="n">
        <x:v>10060</x:v>
      </x:c>
      <x:c r="C1687" s="16" t="n">
        <x:v>46235</x:v>
      </x:c>
      <x:c r="D1687" t="str">
        <x:v>10:26:00</x:v>
      </x:c>
      <x:c r="E1687" t="str">
        <x:v>Bank Transfer</x:v>
      </x:c>
      <x:c r="F1687" t="str">
        <x:v>Retail</x:v>
      </x:c>
      <x:c r="G1687" s="18" t="n">
        <x:v>78.93</x:v>
      </x:c>
      <x:c r="H1687" t="n">
        <x:v>0</x:v>
      </x:c>
      <x:c r="I1687" t="n">
        <x:v>1</x:v>
      </x:c>
      <x:c r="J1687" t="n">
        <x:v>0</x:v>
      </x:c>
      <x:c r="K1687" t="n">
        <x:v>0</x:v>
      </x:c>
      <x:c r="L1687" t="n">
        <x:v>30</x:v>
      </x:c>
      <x:c r="M1687" t="n">
        <x:v>0</x:v>
      </x:c>
      <x:c r="N1687" t="str">
        <x:v>Declined</x:v>
      </x:c>
      <x:c r="O1687" t="n">
        <x:v>0</x:v>
      </x:c>
      <x:c r="P1687" t="str">
        <x:f>IF(L1687&gt;=75,"High",IF(L1687&gt;=55,"Medium","Low"))</x:f>
        <x:v>Low</x:v>
      </x:c>
    </x:row>
    <x:row r="1688">
      <x:c r="A1688" t="n">
        <x:v>1687</x:v>
      </x:c>
      <x:c r="B1688" t="n">
        <x:v>10233</x:v>
      </x:c>
      <x:c r="C1688" s="16" t="n">
        <x:v>46124</x:v>
      </x:c>
      <x:c r="D1688" t="str">
        <x:v>07:12:00</x:v>
      </x:c>
      <x:c r="E1688" t="str">
        <x:v>P2P</x:v>
      </x:c>
      <x:c r="F1688" t="str">
        <x:v>Utilities</x:v>
      </x:c>
      <x:c r="G1688" s="18" t="n">
        <x:v>35.96</x:v>
      </x:c>
      <x:c r="H1688" t="n">
        <x:v>0</x:v>
      </x:c>
      <x:c r="I1688" t="n">
        <x:v>0</x:v>
      </x:c>
      <x:c r="J1688" t="n">
        <x:v>0</x:v>
      </x:c>
      <x:c r="K1688" t="n">
        <x:v>0</x:v>
      </x:c>
      <x:c r="L1688" t="n">
        <x:v>10</x:v>
      </x:c>
      <x:c r="M1688" t="n">
        <x:v>0</x:v>
      </x:c>
      <x:c r="N1688" t="str">
        <x:v>Approved</x:v>
      </x:c>
      <x:c r="O1688" t="n">
        <x:v>0</x:v>
      </x:c>
      <x:c r="P1688" t="str">
        <x:f>IF(L1688&gt;=75,"High",IF(L1688&gt;=55,"Medium","Low"))</x:f>
        <x:v>Low</x:v>
      </x:c>
    </x:row>
    <x:row r="1689">
      <x:c r="A1689" t="n">
        <x:v>1688</x:v>
      </x:c>
      <x:c r="B1689" t="n">
        <x:v>10323</x:v>
      </x:c>
      <x:c r="C1689" s="16" t="n">
        <x:v>46196</x:v>
      </x:c>
      <x:c r="D1689" t="str">
        <x:v>01:00:00</x:v>
      </x:c>
      <x:c r="E1689" t="str">
        <x:v>Card</x:v>
      </x:c>
      <x:c r="F1689" t="str">
        <x:v>Utilities</x:v>
      </x:c>
      <x:c r="G1689" s="18" t="n">
        <x:v>56.59</x:v>
      </x:c>
      <x:c r="H1689" t="n">
        <x:v>0</x:v>
      </x:c>
      <x:c r="I1689" t="n">
        <x:v>0</x:v>
      </x:c>
      <x:c r="J1689" t="n">
        <x:v>0</x:v>
      </x:c>
      <x:c r="K1689" t="n">
        <x:v>1</x:v>
      </x:c>
      <x:c r="L1689" t="n">
        <x:v>25</x:v>
      </x:c>
      <x:c r="M1689" t="n">
        <x:v>0</x:v>
      </x:c>
      <x:c r="N1689" t="str">
        <x:v>Approved</x:v>
      </x:c>
      <x:c r="O1689" t="n">
        <x:v>0</x:v>
      </x:c>
      <x:c r="P1689" t="str">
        <x:f>IF(L1689&gt;=75,"High",IF(L1689&gt;=55,"Medium","Low"))</x:f>
        <x:v>Low</x:v>
      </x:c>
    </x:row>
    <x:row r="1690">
      <x:c r="A1690" t="n">
        <x:v>1689</x:v>
      </x:c>
      <x:c r="B1690" t="n">
        <x:v>10156</x:v>
      </x:c>
      <x:c r="C1690" s="16" t="n">
        <x:v>46134</x:v>
      </x:c>
      <x:c r="D1690" t="str">
        <x:v>23:16:00</x:v>
      </x:c>
      <x:c r="E1690" t="str">
        <x:v>Card</x:v>
      </x:c>
      <x:c r="F1690" t="str">
        <x:v>Utilities</x:v>
      </x:c>
      <x:c r="G1690" s="18" t="n">
        <x:v>68.77</x:v>
      </x:c>
      <x:c r="H1690" t="n">
        <x:v>0</x:v>
      </x:c>
      <x:c r="I1690" t="n">
        <x:v>0</x:v>
      </x:c>
      <x:c r="J1690" t="n">
        <x:v>0</x:v>
      </x:c>
      <x:c r="K1690" t="n">
        <x:v>0</x:v>
      </x:c>
      <x:c r="L1690" t="n">
        <x:v>10</x:v>
      </x:c>
      <x:c r="M1690" t="n">
        <x:v>0</x:v>
      </x:c>
      <x:c r="N1690" t="str">
        <x:v>Approved</x:v>
      </x:c>
      <x:c r="O1690" t="n">
        <x:v>0</x:v>
      </x:c>
      <x:c r="P1690" t="str">
        <x:f>IF(L1690&gt;=75,"High",IF(L1690&gt;=55,"Medium","Low"))</x:f>
        <x:v>Low</x:v>
      </x:c>
    </x:row>
    <x:row r="1691">
      <x:c r="A1691" t="n">
        <x:v>1690</x:v>
      </x:c>
      <x:c r="B1691" t="n">
        <x:v>10197</x:v>
      </x:c>
      <x:c r="C1691" s="16" t="n">
        <x:v>46267</x:v>
      </x:c>
      <x:c r="D1691" t="str">
        <x:v>03:28:00</x:v>
      </x:c>
      <x:c r="E1691" t="str">
        <x:v>Card</x:v>
      </x:c>
      <x:c r="F1691" t="str">
        <x:v>Travel</x:v>
      </x:c>
      <x:c r="G1691" s="18" t="n">
        <x:v>223.91</x:v>
      </x:c>
      <x:c r="H1691" t="n">
        <x:v>0</x:v>
      </x:c>
      <x:c r="I1691" t="n">
        <x:v>1</x:v>
      </x:c>
      <x:c r="J1691" t="n">
        <x:v>0</x:v>
      </x:c>
      <x:c r="K1691" t="n">
        <x:v>1</x:v>
      </x:c>
      <x:c r="L1691" t="n">
        <x:v>45</x:v>
      </x:c>
      <x:c r="M1691" t="n">
        <x:v>0</x:v>
      </x:c>
      <x:c r="N1691" t="str">
        <x:v>Approved</x:v>
      </x:c>
      <x:c r="O1691" t="n">
        <x:v>0</x:v>
      </x:c>
      <x:c r="P1691" t="str">
        <x:f>IF(L1691&gt;=75,"High",IF(L1691&gt;=55,"Medium","Low"))</x:f>
        <x:v>Low</x:v>
      </x:c>
    </x:row>
    <x:row r="1692">
      <x:c r="A1692" t="n">
        <x:v>1691</x:v>
      </x:c>
      <x:c r="B1692" t="n">
        <x:v>10347</x:v>
      </x:c>
      <x:c r="C1692" s="16" t="n">
        <x:v>46156</x:v>
      </x:c>
      <x:c r="D1692" t="str">
        <x:v>20:02:00</x:v>
      </x:c>
      <x:c r="E1692" t="str">
        <x:v>P2P</x:v>
      </x:c>
      <x:c r="F1692" t="str">
        <x:v>Subscriptions</x:v>
      </x:c>
      <x:c r="G1692" s="18" t="n">
        <x:v>34.09</x:v>
      </x:c>
      <x:c r="H1692" t="n">
        <x:v>0</x:v>
      </x:c>
      <x:c r="I1692" t="n">
        <x:v>0</x:v>
      </x:c>
      <x:c r="J1692" t="n">
        <x:v>0</x:v>
      </x:c>
      <x:c r="K1692" t="n">
        <x:v>0</x:v>
      </x:c>
      <x:c r="L1692" t="n">
        <x:v>10</x:v>
      </x:c>
      <x:c r="M1692" t="n">
        <x:v>0</x:v>
      </x:c>
      <x:c r="N1692" t="str">
        <x:v>Approved</x:v>
      </x:c>
      <x:c r="O1692" t="n">
        <x:v>0</x:v>
      </x:c>
      <x:c r="P1692" t="str">
        <x:f>IF(L1692&gt;=75,"High",IF(L1692&gt;=55,"Medium","Low"))</x:f>
        <x:v>Low</x:v>
      </x:c>
    </x:row>
    <x:row r="1693">
      <x:c r="A1693" t="n">
        <x:v>1692</x:v>
      </x:c>
      <x:c r="B1693" t="n">
        <x:v>10155</x:v>
      </x:c>
      <x:c r="C1693" s="16" t="n">
        <x:v>46240</x:v>
      </x:c>
      <x:c r="D1693" t="str">
        <x:v>09:09:00</x:v>
      </x:c>
      <x:c r="E1693" t="str">
        <x:v>P2P</x:v>
      </x:c>
      <x:c r="F1693" t="str">
        <x:v>Subscriptions</x:v>
      </x:c>
      <x:c r="G1693" s="18" t="n">
        <x:v>90.55</x:v>
      </x:c>
      <x:c r="H1693" t="n">
        <x:v>0</x:v>
      </x:c>
      <x:c r="I1693" t="n">
        <x:v>0</x:v>
      </x:c>
      <x:c r="J1693" t="n">
        <x:v>0</x:v>
      </x:c>
      <x:c r="K1693" t="n">
        <x:v>0</x:v>
      </x:c>
      <x:c r="L1693" t="n">
        <x:v>10</x:v>
      </x:c>
      <x:c r="M1693" t="n">
        <x:v>0</x:v>
      </x:c>
      <x:c r="N1693" t="str">
        <x:v>Approved</x:v>
      </x:c>
      <x:c r="O1693" t="n">
        <x:v>0</x:v>
      </x:c>
      <x:c r="P1693" t="str">
        <x:f>IF(L1693&gt;=75,"High",IF(L1693&gt;=55,"Medium","Low"))</x:f>
        <x:v>Low</x:v>
      </x:c>
    </x:row>
    <x:row r="1694">
      <x:c r="A1694" t="n">
        <x:v>1693</x:v>
      </x:c>
      <x:c r="B1694" t="n">
        <x:v>10189</x:v>
      </x:c>
      <x:c r="C1694" s="16" t="n">
        <x:v>46172</x:v>
      </x:c>
      <x:c r="D1694" t="str">
        <x:v>14:38:00</x:v>
      </x:c>
      <x:c r="E1694" t="str">
        <x:v>Card</x:v>
      </x:c>
      <x:c r="F1694" t="str">
        <x:v>Travel</x:v>
      </x:c>
      <x:c r="G1694" s="18" t="n">
        <x:v>156.36</x:v>
      </x:c>
      <x:c r="H1694" t="n">
        <x:v>0</x:v>
      </x:c>
      <x:c r="I1694" t="n">
        <x:v>0</x:v>
      </x:c>
      <x:c r="J1694" t="n">
        <x:v>0</x:v>
      </x:c>
      <x:c r="K1694" t="n">
        <x:v>0</x:v>
      </x:c>
      <x:c r="L1694" t="n">
        <x:v>10</x:v>
      </x:c>
      <x:c r="M1694" t="n">
        <x:v>0</x:v>
      </x:c>
      <x:c r="N1694" t="str">
        <x:v>Approved</x:v>
      </x:c>
      <x:c r="O1694" t="n">
        <x:v>0</x:v>
      </x:c>
      <x:c r="P1694" t="str">
        <x:f>IF(L1694&gt;=75,"High",IF(L1694&gt;=55,"Medium","Low"))</x:f>
        <x:v>Low</x:v>
      </x:c>
    </x:row>
    <x:row r="1695">
      <x:c r="A1695" t="n">
        <x:v>1694</x:v>
      </x:c>
      <x:c r="B1695" t="n">
        <x:v>10010</x:v>
      </x:c>
      <x:c r="C1695" s="16" t="n">
        <x:v>46121</x:v>
      </x:c>
      <x:c r="D1695" t="str">
        <x:v>00:47:00</x:v>
      </x:c>
      <x:c r="E1695" t="str">
        <x:v>Card</x:v>
      </x:c>
      <x:c r="F1695" t="str">
        <x:v>Utilities</x:v>
      </x:c>
      <x:c r="G1695" s="18" t="n">
        <x:v>88.66</x:v>
      </x:c>
      <x:c r="H1695" t="n">
        <x:v>1</x:v>
      </x:c>
      <x:c r="I1695" t="n">
        <x:v>0</x:v>
      </x:c>
      <x:c r="J1695" t="n">
        <x:v>0</x:v>
      </x:c>
      <x:c r="K1695" t="n">
        <x:v>1</x:v>
      </x:c>
      <x:c r="L1695" t="n">
        <x:v>51</x:v>
      </x:c>
      <x:c r="M1695" t="n">
        <x:v>0</x:v>
      </x:c>
      <x:c r="N1695" t="str">
        <x:v>Approved</x:v>
      </x:c>
      <x:c r="O1695" t="n">
        <x:v>0</x:v>
      </x:c>
      <x:c r="P1695" t="str">
        <x:f>IF(L1695&gt;=75,"High",IF(L1695&gt;=55,"Medium","Low"))</x:f>
        <x:v>Low</x:v>
      </x:c>
    </x:row>
    <x:row r="1696">
      <x:c r="A1696" t="n">
        <x:v>1695</x:v>
      </x:c>
      <x:c r="B1696" t="n">
        <x:v>10128</x:v>
      </x:c>
      <x:c r="C1696" s="16" t="n">
        <x:v>46170</x:v>
      </x:c>
      <x:c r="D1696" t="str">
        <x:v>06:19:00</x:v>
      </x:c>
      <x:c r="E1696" t="str">
        <x:v>Card</x:v>
      </x:c>
      <x:c r="F1696" t="str">
        <x:v>Utilities</x:v>
      </x:c>
      <x:c r="G1696" s="18" t="n">
        <x:v>103.07</x:v>
      </x:c>
      <x:c r="H1696" t="n">
        <x:v>0</x:v>
      </x:c>
      <x:c r="I1696" t="n">
        <x:v>1</x:v>
      </x:c>
      <x:c r="J1696" t="n">
        <x:v>0</x:v>
      </x:c>
      <x:c r="K1696" t="n">
        <x:v>0</x:v>
      </x:c>
      <x:c r="L1696" t="n">
        <x:v>30</x:v>
      </x:c>
      <x:c r="M1696" t="n">
        <x:v>0</x:v>
      </x:c>
      <x:c r="N1696" t="str">
        <x:v>Declined</x:v>
      </x:c>
      <x:c r="O1696" t="n">
        <x:v>0</x:v>
      </x:c>
      <x:c r="P1696" t="str">
        <x:f>IF(L1696&gt;=75,"High",IF(L1696&gt;=55,"Medium","Low"))</x:f>
        <x:v>Low</x:v>
      </x:c>
    </x:row>
    <x:row r="1697">
      <x:c r="A1697" t="n">
        <x:v>1696</x:v>
      </x:c>
      <x:c r="B1697" t="n">
        <x:v>10270</x:v>
      </x:c>
      <x:c r="C1697" s="16" t="n">
        <x:v>46244</x:v>
      </x:c>
      <x:c r="D1697" t="str">
        <x:v>09:57:00</x:v>
      </x:c>
      <x:c r="E1697" t="str">
        <x:v>Card</x:v>
      </x:c>
      <x:c r="F1697" t="str">
        <x:v>Retail</x:v>
      </x:c>
      <x:c r="G1697" s="18" t="n">
        <x:v>36.15</x:v>
      </x:c>
      <x:c r="H1697" t="n">
        <x:v>0</x:v>
      </x:c>
      <x:c r="I1697" t="n">
        <x:v>1</x:v>
      </x:c>
      <x:c r="J1697" t="n">
        <x:v>0</x:v>
      </x:c>
      <x:c r="K1697" t="n">
        <x:v>0</x:v>
      </x:c>
      <x:c r="L1697" t="n">
        <x:v>30</x:v>
      </x:c>
      <x:c r="M1697" t="n">
        <x:v>0</x:v>
      </x:c>
      <x:c r="N1697" t="str">
        <x:v>Approved</x:v>
      </x:c>
      <x:c r="O1697" t="n">
        <x:v>0</x:v>
      </x:c>
      <x:c r="P1697" t="str">
        <x:f>IF(L1697&gt;=75,"High",IF(L1697&gt;=55,"Medium","Low"))</x:f>
        <x:v>Low</x:v>
      </x:c>
    </x:row>
    <x:row r="1698">
      <x:c r="A1698" t="n">
        <x:v>1697</x:v>
      </x:c>
      <x:c r="B1698" t="n">
        <x:v>10135</x:v>
      </x:c>
      <x:c r="C1698" s="16" t="n">
        <x:v>46148</x:v>
      </x:c>
      <x:c r="D1698" t="str">
        <x:v>06:25:00</x:v>
      </x:c>
      <x:c r="E1698" t="str">
        <x:v>Card</x:v>
      </x:c>
      <x:c r="F1698" t="str">
        <x:v>Dining</x:v>
      </x:c>
      <x:c r="G1698" s="18" t="n">
        <x:v>79.61</x:v>
      </x:c>
      <x:c r="H1698" t="n">
        <x:v>0</x:v>
      </x:c>
      <x:c r="I1698" t="n">
        <x:v>0</x:v>
      </x:c>
      <x:c r="J1698" t="n">
        <x:v>0</x:v>
      </x:c>
      <x:c r="K1698" t="n">
        <x:v>0</x:v>
      </x:c>
      <x:c r="L1698" t="n">
        <x:v>10</x:v>
      </x:c>
      <x:c r="M1698" t="n">
        <x:v>0</x:v>
      </x:c>
      <x:c r="N1698" t="str">
        <x:v>Approved</x:v>
      </x:c>
      <x:c r="O1698" t="n">
        <x:v>0</x:v>
      </x:c>
      <x:c r="P1698" t="str">
        <x:f>IF(L1698&gt;=75,"High",IF(L1698&gt;=55,"Medium","Low"))</x:f>
        <x:v>Low</x:v>
      </x:c>
    </x:row>
    <x:row r="1699">
      <x:c r="A1699" t="n">
        <x:v>1698</x:v>
      </x:c>
      <x:c r="B1699" t="n">
        <x:v>10054</x:v>
      </x:c>
      <x:c r="C1699" s="16" t="n">
        <x:v>46170</x:v>
      </x:c>
      <x:c r="D1699" t="str">
        <x:v>09:03:00</x:v>
      </x:c>
      <x:c r="E1699" t="str">
        <x:v>Card</x:v>
      </x:c>
      <x:c r="F1699" t="str">
        <x:v>Dining</x:v>
      </x:c>
      <x:c r="G1699" s="18" t="n">
        <x:v>330.75</x:v>
      </x:c>
      <x:c r="H1699" t="n">
        <x:v>1</x:v>
      </x:c>
      <x:c r="I1699" t="n">
        <x:v>1</x:v>
      </x:c>
      <x:c r="J1699" t="n">
        <x:v>0</x:v>
      </x:c>
      <x:c r="K1699" t="n">
        <x:v>0</x:v>
      </x:c>
      <x:c r="L1699" t="n">
        <x:v>56</x:v>
      </x:c>
      <x:c r="M1699" t="n">
        <x:v>1</x:v>
      </x:c>
      <x:c r="N1699" t="str">
        <x:v>Approved</x:v>
      </x:c>
      <x:c r="O1699" t="n">
        <x:v>1</x:v>
      </x:c>
      <x:c r="P1699" t="str">
        <x:f>IF(L1699&gt;=75,"High",IF(L1699&gt;=55,"Medium","Low"))</x:f>
        <x:v>Medium</x:v>
      </x:c>
    </x:row>
    <x:row r="1700">
      <x:c r="A1700" t="n">
        <x:v>1699</x:v>
      </x:c>
      <x:c r="B1700" t="n">
        <x:v>10060</x:v>
      </x:c>
      <x:c r="C1700" s="16" t="n">
        <x:v>46131</x:v>
      </x:c>
      <x:c r="D1700" t="str">
        <x:v>13:25:00</x:v>
      </x:c>
      <x:c r="E1700" t="str">
        <x:v>Bank Transfer</x:v>
      </x:c>
      <x:c r="F1700" t="str">
        <x:v>Retail</x:v>
      </x:c>
      <x:c r="G1700" s="18" t="n">
        <x:v>32.22</x:v>
      </x:c>
      <x:c r="H1700" t="n">
        <x:v>1</x:v>
      </x:c>
      <x:c r="I1700" t="n">
        <x:v>0</x:v>
      </x:c>
      <x:c r="J1700" t="n">
        <x:v>0</x:v>
      </x:c>
      <x:c r="K1700" t="n">
        <x:v>0</x:v>
      </x:c>
      <x:c r="L1700" t="n">
        <x:v>36</x:v>
      </x:c>
      <x:c r="M1700" t="n">
        <x:v>0</x:v>
      </x:c>
      <x:c r="N1700" t="str">
        <x:v>Approved</x:v>
      </x:c>
      <x:c r="O1700" t="n">
        <x:v>0</x:v>
      </x:c>
      <x:c r="P1700" t="str">
        <x:f>IF(L1700&gt;=75,"High",IF(L1700&gt;=55,"Medium","Low"))</x:f>
        <x:v>Low</x:v>
      </x:c>
    </x:row>
    <x:row r="1701">
      <x:c r="A1701" t="n">
        <x:v>1700</x:v>
      </x:c>
      <x:c r="B1701" t="n">
        <x:v>10094</x:v>
      </x:c>
      <x:c r="C1701" s="16" t="n">
        <x:v>46124</x:v>
      </x:c>
      <x:c r="D1701" t="str">
        <x:v>17:35:00</x:v>
      </x:c>
      <x:c r="E1701" t="str">
        <x:v>Card</x:v>
      </x:c>
      <x:c r="F1701" t="str">
        <x:v>Utilities</x:v>
      </x:c>
      <x:c r="G1701" s="18" t="n">
        <x:v>16.33</x:v>
      </x:c>
      <x:c r="H1701" t="n">
        <x:v>0</x:v>
      </x:c>
      <x:c r="I1701" t="n">
        <x:v>0</x:v>
      </x:c>
      <x:c r="J1701" t="n">
        <x:v>0</x:v>
      </x:c>
      <x:c r="K1701" t="n">
        <x:v>0</x:v>
      </x:c>
      <x:c r="L1701" t="n">
        <x:v>10</x:v>
      </x:c>
      <x:c r="M1701" t="n">
        <x:v>0</x:v>
      </x:c>
      <x:c r="N1701" t="str">
        <x:v>Approved</x:v>
      </x:c>
      <x:c r="O1701" t="n">
        <x:v>0</x:v>
      </x:c>
      <x:c r="P1701" t="str">
        <x:f>IF(L1701&gt;=75,"High",IF(L1701&gt;=55,"Medium","Low"))</x:f>
        <x:v>Low</x:v>
      </x:c>
    </x:row>
    <x:row r="1702">
      <x:c r="A1702" t="n">
        <x:v>1701</x:v>
      </x:c>
      <x:c r="B1702" t="n">
        <x:v>10212</x:v>
      </x:c>
      <x:c r="C1702" s="16" t="n">
        <x:v>46154</x:v>
      </x:c>
      <x:c r="D1702" t="str">
        <x:v>13:35:00</x:v>
      </x:c>
      <x:c r="E1702" t="str">
        <x:v>Card</x:v>
      </x:c>
      <x:c r="F1702" t="str">
        <x:v>Dining</x:v>
      </x:c>
      <x:c r="G1702" s="18" t="n">
        <x:v>108.9</x:v>
      </x:c>
      <x:c r="H1702" t="n">
        <x:v>0</x:v>
      </x:c>
      <x:c r="I1702" t="n">
        <x:v>0</x:v>
      </x:c>
      <x:c r="J1702" t="n">
        <x:v>0</x:v>
      </x:c>
      <x:c r="K1702" t="n">
        <x:v>0</x:v>
      </x:c>
      <x:c r="L1702" t="n">
        <x:v>10</x:v>
      </x:c>
      <x:c r="M1702" t="n">
        <x:v>0</x:v>
      </x:c>
      <x:c r="N1702" t="str">
        <x:v>Approved</x:v>
      </x:c>
      <x:c r="O1702" t="n">
        <x:v>0</x:v>
      </x:c>
      <x:c r="P1702" t="str">
        <x:f>IF(L1702&gt;=75,"High",IF(L1702&gt;=55,"Medium","Low"))</x:f>
        <x:v>Low</x:v>
      </x:c>
    </x:row>
    <x:row r="1703">
      <x:c r="A1703" t="n">
        <x:v>1702</x:v>
      </x:c>
      <x:c r="B1703" t="n">
        <x:v>10262</x:v>
      </x:c>
      <x:c r="C1703" s="16" t="n">
        <x:v>46157</x:v>
      </x:c>
      <x:c r="D1703" t="str">
        <x:v>15:18:00</x:v>
      </x:c>
      <x:c r="E1703" t="str">
        <x:v>Card</x:v>
      </x:c>
      <x:c r="F1703" t="str">
        <x:v>Retail</x:v>
      </x:c>
      <x:c r="G1703" s="18" t="n">
        <x:v>85.67</x:v>
      </x:c>
      <x:c r="H1703" t="n">
        <x:v>0</x:v>
      </x:c>
      <x:c r="I1703" t="n">
        <x:v>0</x:v>
      </x:c>
      <x:c r="J1703" t="n">
        <x:v>0</x:v>
      </x:c>
      <x:c r="K1703" t="n">
        <x:v>0</x:v>
      </x:c>
      <x:c r="L1703" t="n">
        <x:v>10</x:v>
      </x:c>
      <x:c r="M1703" t="n">
        <x:v>0</x:v>
      </x:c>
      <x:c r="N1703" t="str">
        <x:v>Approved</x:v>
      </x:c>
      <x:c r="O1703" t="n">
        <x:v>0</x:v>
      </x:c>
      <x:c r="P1703" t="str">
        <x:f>IF(L1703&gt;=75,"High",IF(L1703&gt;=55,"Medium","Low"))</x:f>
        <x:v>Low</x:v>
      </x:c>
    </x:row>
    <x:row r="1704">
      <x:c r="A1704" t="n">
        <x:v>1703</x:v>
      </x:c>
      <x:c r="B1704" t="n">
        <x:v>10287</x:v>
      </x:c>
      <x:c r="C1704" s="16" t="n">
        <x:v>46138</x:v>
      </x:c>
      <x:c r="D1704" t="str">
        <x:v>10:57:00</x:v>
      </x:c>
      <x:c r="E1704" t="str">
        <x:v>Bank Transfer</x:v>
      </x:c>
      <x:c r="F1704" t="str">
        <x:v>Retail</x:v>
      </x:c>
      <x:c r="G1704" s="18" t="n">
        <x:v>108.93</x:v>
      </x:c>
      <x:c r="H1704" t="n">
        <x:v>0</x:v>
      </x:c>
      <x:c r="I1704" t="n">
        <x:v>0</x:v>
      </x:c>
      <x:c r="J1704" t="n">
        <x:v>0</x:v>
      </x:c>
      <x:c r="K1704" t="n">
        <x:v>0</x:v>
      </x:c>
      <x:c r="L1704" t="n">
        <x:v>10</x:v>
      </x:c>
      <x:c r="M1704" t="n">
        <x:v>0</x:v>
      </x:c>
      <x:c r="N1704" t="str">
        <x:v>Approved</x:v>
      </x:c>
      <x:c r="O1704" t="n">
        <x:v>0</x:v>
      </x:c>
      <x:c r="P1704" t="str">
        <x:f>IF(L1704&gt;=75,"High",IF(L1704&gt;=55,"Medium","Low"))</x:f>
        <x:v>Low</x:v>
      </x:c>
    </x:row>
    <x:row r="1705">
      <x:c r="A1705" t="n">
        <x:v>1704</x:v>
      </x:c>
      <x:c r="B1705" t="n">
        <x:v>10212</x:v>
      </x:c>
      <x:c r="C1705" s="16" t="n">
        <x:v>46235</x:v>
      </x:c>
      <x:c r="D1705" t="str">
        <x:v>22:53:00</x:v>
      </x:c>
      <x:c r="E1705" t="str">
        <x:v>Bank Transfer</x:v>
      </x:c>
      <x:c r="F1705" t="str">
        <x:v>Travel</x:v>
      </x:c>
      <x:c r="G1705" s="18" t="n">
        <x:v>350.9</x:v>
      </x:c>
      <x:c r="H1705" t="n">
        <x:v>0</x:v>
      </x:c>
      <x:c r="I1705" t="n">
        <x:v>0</x:v>
      </x:c>
      <x:c r="J1705" t="n">
        <x:v>0</x:v>
      </x:c>
      <x:c r="K1705" t="n">
        <x:v>0</x:v>
      </x:c>
      <x:c r="L1705" t="n">
        <x:v>10</x:v>
      </x:c>
      <x:c r="M1705" t="n">
        <x:v>0</x:v>
      </x:c>
      <x:c r="N1705" t="str">
        <x:v>Approved</x:v>
      </x:c>
      <x:c r="O1705" t="n">
        <x:v>0</x:v>
      </x:c>
      <x:c r="P1705" t="str">
        <x:f>IF(L1705&gt;=75,"High",IF(L1705&gt;=55,"Medium","Low"))</x:f>
        <x:v>Low</x:v>
      </x:c>
    </x:row>
    <x:row r="1706">
      <x:c r="A1706" t="n">
        <x:v>1705</x:v>
      </x:c>
      <x:c r="B1706" t="n">
        <x:v>10354</x:v>
      </x:c>
      <x:c r="C1706" s="16" t="n">
        <x:v>46291</x:v>
      </x:c>
      <x:c r="D1706" t="str">
        <x:v>15:06:00</x:v>
      </x:c>
      <x:c r="E1706" t="str">
        <x:v>Bank Transfer</x:v>
      </x:c>
      <x:c r="F1706" t="str">
        <x:v>Utilities</x:v>
      </x:c>
      <x:c r="G1706" s="18" t="n">
        <x:v>104.45</x:v>
      </x:c>
      <x:c r="H1706" t="n">
        <x:v>0</x:v>
      </x:c>
      <x:c r="I1706" t="n">
        <x:v>0</x:v>
      </x:c>
      <x:c r="J1706" t="n">
        <x:v>0</x:v>
      </x:c>
      <x:c r="K1706" t="n">
        <x:v>0</x:v>
      </x:c>
      <x:c r="L1706" t="n">
        <x:v>10</x:v>
      </x:c>
      <x:c r="M1706" t="n">
        <x:v>0</x:v>
      </x:c>
      <x:c r="N1706" t="str">
        <x:v>Approved</x:v>
      </x:c>
      <x:c r="O1706" t="n">
        <x:v>0</x:v>
      </x:c>
      <x:c r="P1706" t="str">
        <x:f>IF(L1706&gt;=75,"High",IF(L1706&gt;=55,"Medium","Low"))</x:f>
        <x:v>Low</x:v>
      </x:c>
    </x:row>
    <x:row r="1707">
      <x:c r="A1707" t="n">
        <x:v>1706</x:v>
      </x:c>
      <x:c r="B1707" t="n">
        <x:v>10259</x:v>
      </x:c>
      <x:c r="C1707" s="16" t="n">
        <x:v>46239</x:v>
      </x:c>
      <x:c r="D1707" t="str">
        <x:v>11:20:00</x:v>
      </x:c>
      <x:c r="E1707" t="str">
        <x:v>Card</x:v>
      </x:c>
      <x:c r="F1707" t="str">
        <x:v>Transfer</x:v>
      </x:c>
      <x:c r="G1707" s="18" t="n">
        <x:v>119.91</x:v>
      </x:c>
      <x:c r="H1707" t="n">
        <x:v>0</x:v>
      </x:c>
      <x:c r="I1707" t="n">
        <x:v>0</x:v>
      </x:c>
      <x:c r="J1707" t="n">
        <x:v>0</x:v>
      </x:c>
      <x:c r="K1707" t="n">
        <x:v>0</x:v>
      </x:c>
      <x:c r="L1707" t="n">
        <x:v>10</x:v>
      </x:c>
      <x:c r="M1707" t="n">
        <x:v>0</x:v>
      </x:c>
      <x:c r="N1707" t="str">
        <x:v>Approved</x:v>
      </x:c>
      <x:c r="O1707" t="n">
        <x:v>0</x:v>
      </x:c>
      <x:c r="P1707" t="str">
        <x:f>IF(L1707&gt;=75,"High",IF(L1707&gt;=55,"Medium","Low"))</x:f>
        <x:v>Low</x:v>
      </x:c>
    </x:row>
    <x:row r="1708">
      <x:c r="A1708" t="n">
        <x:v>1707</x:v>
      </x:c>
      <x:c r="B1708" t="n">
        <x:v>10095</x:v>
      </x:c>
      <x:c r="C1708" s="16" t="n">
        <x:v>46278</x:v>
      </x:c>
      <x:c r="D1708" t="str">
        <x:v>03:53:00</x:v>
      </x:c>
      <x:c r="E1708" t="str">
        <x:v>Card</x:v>
      </x:c>
      <x:c r="F1708" t="str">
        <x:v>Retail</x:v>
      </x:c>
      <x:c r="G1708" s="18" t="n">
        <x:v>230.02</x:v>
      </x:c>
      <x:c r="H1708" t="n">
        <x:v>0</x:v>
      </x:c>
      <x:c r="I1708" t="n">
        <x:v>0</x:v>
      </x:c>
      <x:c r="J1708" t="n">
        <x:v>0</x:v>
      </x:c>
      <x:c r="K1708" t="n">
        <x:v>1</x:v>
      </x:c>
      <x:c r="L1708" t="n">
        <x:v>25</x:v>
      </x:c>
      <x:c r="M1708" t="n">
        <x:v>0</x:v>
      </x:c>
      <x:c r="N1708" t="str">
        <x:v>Approved</x:v>
      </x:c>
      <x:c r="O1708" t="n">
        <x:v>0</x:v>
      </x:c>
      <x:c r="P1708" t="str">
        <x:f>IF(L1708&gt;=75,"High",IF(L1708&gt;=55,"Medium","Low"))</x:f>
        <x:v>Low</x:v>
      </x:c>
    </x:row>
    <x:row r="1709">
      <x:c r="A1709" t="n">
        <x:v>1708</x:v>
      </x:c>
      <x:c r="B1709" t="n">
        <x:v>10289</x:v>
      </x:c>
      <x:c r="C1709" s="16" t="n">
        <x:v>46132</x:v>
      </x:c>
      <x:c r="D1709" t="str">
        <x:v>17:36:00</x:v>
      </x:c>
      <x:c r="E1709" t="str">
        <x:v>Bank Transfer</x:v>
      </x:c>
      <x:c r="F1709" t="str">
        <x:v>Electronics</x:v>
      </x:c>
      <x:c r="G1709" s="18" t="n">
        <x:v>53.93</x:v>
      </x:c>
      <x:c r="H1709" t="n">
        <x:v>1</x:v>
      </x:c>
      <x:c r="I1709" t="n">
        <x:v>1</x:v>
      </x:c>
      <x:c r="J1709" t="n">
        <x:v>0</x:v>
      </x:c>
      <x:c r="K1709" t="n">
        <x:v>0</x:v>
      </x:c>
      <x:c r="L1709" t="n">
        <x:v>56</x:v>
      </x:c>
      <x:c r="M1709" t="n">
        <x:v>1</x:v>
      </x:c>
      <x:c r="N1709" t="str">
        <x:v>Declined</x:v>
      </x:c>
      <x:c r="O1709" t="n">
        <x:v>0</x:v>
      </x:c>
      <x:c r="P1709" t="str">
        <x:f>IF(L1709&gt;=75,"High",IF(L1709&gt;=55,"Medium","Low"))</x:f>
        <x:v>Medium</x:v>
      </x:c>
    </x:row>
    <x:row r="1710">
      <x:c r="A1710" t="n">
        <x:v>1709</x:v>
      </x:c>
      <x:c r="B1710" t="n">
        <x:v>10137</x:v>
      </x:c>
      <x:c r="C1710" s="16" t="n">
        <x:v>46251</x:v>
      </x:c>
      <x:c r="D1710" t="str">
        <x:v>01:27:00</x:v>
      </x:c>
      <x:c r="E1710" t="str">
        <x:v>Card</x:v>
      </x:c>
      <x:c r="F1710" t="str">
        <x:v>Electronics</x:v>
      </x:c>
      <x:c r="G1710" s="18" t="n">
        <x:v>189.7</x:v>
      </x:c>
      <x:c r="H1710" t="n">
        <x:v>0</x:v>
      </x:c>
      <x:c r="I1710" t="n">
        <x:v>1</x:v>
      </x:c>
      <x:c r="J1710" t="n">
        <x:v>0</x:v>
      </x:c>
      <x:c r="K1710" t="n">
        <x:v>1</x:v>
      </x:c>
      <x:c r="L1710" t="n">
        <x:v>45</x:v>
      </x:c>
      <x:c r="M1710" t="n">
        <x:v>0</x:v>
      </x:c>
      <x:c r="N1710" t="str">
        <x:v>Approved</x:v>
      </x:c>
      <x:c r="O1710" t="n">
        <x:v>0</x:v>
      </x:c>
      <x:c r="P1710" t="str">
        <x:f>IF(L1710&gt;=75,"High",IF(L1710&gt;=55,"Medium","Low"))</x:f>
        <x:v>Low</x:v>
      </x:c>
    </x:row>
    <x:row r="1711">
      <x:c r="A1711" t="n">
        <x:v>1710</x:v>
      </x:c>
      <x:c r="B1711" t="n">
        <x:v>10177</x:v>
      </x:c>
      <x:c r="C1711" s="16" t="n">
        <x:v>46147</x:v>
      </x:c>
      <x:c r="D1711" t="str">
        <x:v>17:07:00</x:v>
      </x:c>
      <x:c r="E1711" t="str">
        <x:v>Bank Transfer</x:v>
      </x:c>
      <x:c r="F1711" t="str">
        <x:v>Transfer</x:v>
      </x:c>
      <x:c r="G1711" s="18" t="n">
        <x:v>90.77</x:v>
      </x:c>
      <x:c r="H1711" t="n">
        <x:v>0</x:v>
      </x:c>
      <x:c r="I1711" t="n">
        <x:v>0</x:v>
      </x:c>
      <x:c r="J1711" t="n">
        <x:v>0</x:v>
      </x:c>
      <x:c r="K1711" t="n">
        <x:v>0</x:v>
      </x:c>
      <x:c r="L1711" t="n">
        <x:v>10</x:v>
      </x:c>
      <x:c r="M1711" t="n">
        <x:v>0</x:v>
      </x:c>
      <x:c r="N1711" t="str">
        <x:v>Approved</x:v>
      </x:c>
      <x:c r="O1711" t="n">
        <x:v>0</x:v>
      </x:c>
      <x:c r="P1711" t="str">
        <x:f>IF(L1711&gt;=75,"High",IF(L1711&gt;=55,"Medium","Low"))</x:f>
        <x:v>Low</x:v>
      </x:c>
    </x:row>
    <x:row r="1712">
      <x:c r="A1712" t="n">
        <x:v>1711</x:v>
      </x:c>
      <x:c r="B1712" t="n">
        <x:v>10038</x:v>
      </x:c>
      <x:c r="C1712" s="16" t="n">
        <x:v>46237</x:v>
      </x:c>
      <x:c r="D1712" t="str">
        <x:v>10:47:00</x:v>
      </x:c>
      <x:c r="E1712" t="str">
        <x:v>Bank Transfer</x:v>
      </x:c>
      <x:c r="F1712" t="str">
        <x:v>Utilities</x:v>
      </x:c>
      <x:c r="G1712" s="18" t="n">
        <x:v>18.98</x:v>
      </x:c>
      <x:c r="H1712" t="n">
        <x:v>1</x:v>
      </x:c>
      <x:c r="I1712" t="n">
        <x:v>1</x:v>
      </x:c>
      <x:c r="J1712" t="n">
        <x:v>0</x:v>
      </x:c>
      <x:c r="K1712" t="n">
        <x:v>0</x:v>
      </x:c>
      <x:c r="L1712" t="n">
        <x:v>56</x:v>
      </x:c>
      <x:c r="M1712" t="n">
        <x:v>1</x:v>
      </x:c>
      <x:c r="N1712" t="str">
        <x:v>Declined</x:v>
      </x:c>
      <x:c r="O1712" t="n">
        <x:v>0</x:v>
      </x:c>
      <x:c r="P1712" t="str">
        <x:f>IF(L1712&gt;=75,"High",IF(L1712&gt;=55,"Medium","Low"))</x:f>
        <x:v>Medium</x:v>
      </x:c>
    </x:row>
    <x:row r="1713">
      <x:c r="A1713" t="n">
        <x:v>1712</x:v>
      </x:c>
      <x:c r="B1713" t="n">
        <x:v>10098</x:v>
      </x:c>
      <x:c r="C1713" s="16" t="n">
        <x:v>46123</x:v>
      </x:c>
      <x:c r="D1713" t="str">
        <x:v>03:36:00</x:v>
      </x:c>
      <x:c r="E1713" t="str">
        <x:v>Card</x:v>
      </x:c>
      <x:c r="F1713" t="str">
        <x:v>Dining</x:v>
      </x:c>
      <x:c r="G1713" s="18" t="n">
        <x:v>27.4</x:v>
      </x:c>
      <x:c r="H1713" t="n">
        <x:v>0</x:v>
      </x:c>
      <x:c r="I1713" t="n">
        <x:v>1</x:v>
      </x:c>
      <x:c r="J1713" t="n">
        <x:v>0</x:v>
      </x:c>
      <x:c r="K1713" t="n">
        <x:v>1</x:v>
      </x:c>
      <x:c r="L1713" t="n">
        <x:v>45</x:v>
      </x:c>
      <x:c r="M1713" t="n">
        <x:v>0</x:v>
      </x:c>
      <x:c r="N1713" t="str">
        <x:v>Approved</x:v>
      </x:c>
      <x:c r="O1713" t="n">
        <x:v>0</x:v>
      </x:c>
      <x:c r="P1713" t="str">
        <x:f>IF(L1713&gt;=75,"High",IF(L1713&gt;=55,"Medium","Low"))</x:f>
        <x:v>Low</x:v>
      </x:c>
    </x:row>
    <x:row r="1714">
      <x:c r="A1714" t="n">
        <x:v>1713</x:v>
      </x:c>
      <x:c r="B1714" t="n">
        <x:v>10071</x:v>
      </x:c>
      <x:c r="C1714" s="16" t="n">
        <x:v>46120</x:v>
      </x:c>
      <x:c r="D1714" t="str">
        <x:v>20:59:00</x:v>
      </x:c>
      <x:c r="E1714" t="str">
        <x:v>Bank Transfer</x:v>
      </x:c>
      <x:c r="F1714" t="str">
        <x:v>Utilities</x:v>
      </x:c>
      <x:c r="G1714" s="18" t="n">
        <x:v>262.24</x:v>
      </x:c>
      <x:c r="H1714" t="n">
        <x:v>0</x:v>
      </x:c>
      <x:c r="I1714" t="n">
        <x:v>0</x:v>
      </x:c>
      <x:c r="J1714" t="n">
        <x:v>0</x:v>
      </x:c>
      <x:c r="K1714" t="n">
        <x:v>0</x:v>
      </x:c>
      <x:c r="L1714" t="n">
        <x:v>10</x:v>
      </x:c>
      <x:c r="M1714" t="n">
        <x:v>0</x:v>
      </x:c>
      <x:c r="N1714" t="str">
        <x:v>Approved</x:v>
      </x:c>
      <x:c r="O1714" t="n">
        <x:v>0</x:v>
      </x:c>
      <x:c r="P1714" t="str">
        <x:f>IF(L1714&gt;=75,"High",IF(L1714&gt;=55,"Medium","Low"))</x:f>
        <x:v>Low</x:v>
      </x:c>
    </x:row>
    <x:row r="1715">
      <x:c r="A1715" t="n">
        <x:v>1714</x:v>
      </x:c>
      <x:c r="B1715" t="n">
        <x:v>10004</x:v>
      </x:c>
      <x:c r="C1715" s="16" t="n">
        <x:v>46215</x:v>
      </x:c>
      <x:c r="D1715" t="str">
        <x:v>21:13:00</x:v>
      </x:c>
      <x:c r="E1715" t="str">
        <x:v>Card</x:v>
      </x:c>
      <x:c r="F1715" t="str">
        <x:v>Subscriptions</x:v>
      </x:c>
      <x:c r="G1715" s="18" t="n">
        <x:v>181.21</x:v>
      </x:c>
      <x:c r="H1715" t="n">
        <x:v>0</x:v>
      </x:c>
      <x:c r="I1715" t="n">
        <x:v>0</x:v>
      </x:c>
      <x:c r="J1715" t="n">
        <x:v>0</x:v>
      </x:c>
      <x:c r="K1715" t="n">
        <x:v>0</x:v>
      </x:c>
      <x:c r="L1715" t="n">
        <x:v>10</x:v>
      </x:c>
      <x:c r="M1715" t="n">
        <x:v>0</x:v>
      </x:c>
      <x:c r="N1715" t="str">
        <x:v>Approved</x:v>
      </x:c>
      <x:c r="O1715" t="n">
        <x:v>0</x:v>
      </x:c>
      <x:c r="P1715" t="str">
        <x:f>IF(L1715&gt;=75,"High",IF(L1715&gt;=55,"Medium","Low"))</x:f>
        <x:v>Low</x:v>
      </x:c>
    </x:row>
    <x:row r="1716">
      <x:c r="A1716" t="n">
        <x:v>1715</x:v>
      </x:c>
      <x:c r="B1716" t="n">
        <x:v>10146</x:v>
      </x:c>
      <x:c r="C1716" s="16" t="n">
        <x:v>46145</x:v>
      </x:c>
      <x:c r="D1716" t="str">
        <x:v>05:19:00</x:v>
      </x:c>
      <x:c r="E1716" t="str">
        <x:v>Card</x:v>
      </x:c>
      <x:c r="F1716" t="str">
        <x:v>Subscriptions</x:v>
      </x:c>
      <x:c r="G1716" s="18" t="n">
        <x:v>44.43</x:v>
      </x:c>
      <x:c r="H1716" t="n">
        <x:v>0</x:v>
      </x:c>
      <x:c r="I1716" t="n">
        <x:v>0</x:v>
      </x:c>
      <x:c r="J1716" t="n">
        <x:v>0</x:v>
      </x:c>
      <x:c r="K1716" t="n">
        <x:v>0</x:v>
      </x:c>
      <x:c r="L1716" t="n">
        <x:v>10</x:v>
      </x:c>
      <x:c r="M1716" t="n">
        <x:v>0</x:v>
      </x:c>
      <x:c r="N1716" t="str">
        <x:v>Approved</x:v>
      </x:c>
      <x:c r="O1716" t="n">
        <x:v>0</x:v>
      </x:c>
      <x:c r="P1716" t="str">
        <x:f>IF(L1716&gt;=75,"High",IF(L1716&gt;=55,"Medium","Low"))</x:f>
        <x:v>Low</x:v>
      </x:c>
    </x:row>
    <x:row r="1717">
      <x:c r="A1717" t="n">
        <x:v>1716</x:v>
      </x:c>
      <x:c r="B1717" t="n">
        <x:v>10157</x:v>
      </x:c>
      <x:c r="C1717" s="16" t="n">
        <x:v>46150</x:v>
      </x:c>
      <x:c r="D1717" t="str">
        <x:v>18:37:00</x:v>
      </x:c>
      <x:c r="E1717" t="str">
        <x:v>Card</x:v>
      </x:c>
      <x:c r="F1717" t="str">
        <x:v>Subscriptions</x:v>
      </x:c>
      <x:c r="G1717" s="18" t="n">
        <x:v>125.12</x:v>
      </x:c>
      <x:c r="H1717" t="n">
        <x:v>0</x:v>
      </x:c>
      <x:c r="I1717" t="n">
        <x:v>1</x:v>
      </x:c>
      <x:c r="J1717" t="n">
        <x:v>0</x:v>
      </x:c>
      <x:c r="K1717" t="n">
        <x:v>0</x:v>
      </x:c>
      <x:c r="L1717" t="n">
        <x:v>30</x:v>
      </x:c>
      <x:c r="M1717" t="n">
        <x:v>0</x:v>
      </x:c>
      <x:c r="N1717" t="str">
        <x:v>Approved</x:v>
      </x:c>
      <x:c r="O1717" t="n">
        <x:v>0</x:v>
      </x:c>
      <x:c r="P1717" t="str">
        <x:f>IF(L1717&gt;=75,"High",IF(L1717&gt;=55,"Medium","Low"))</x:f>
        <x:v>Low</x:v>
      </x:c>
    </x:row>
    <x:row r="1718">
      <x:c r="A1718" t="n">
        <x:v>1717</x:v>
      </x:c>
      <x:c r="B1718" t="n">
        <x:v>10274</x:v>
      </x:c>
      <x:c r="C1718" s="16" t="n">
        <x:v>46172</x:v>
      </x:c>
      <x:c r="D1718" t="str">
        <x:v>15:25:00</x:v>
      </x:c>
      <x:c r="E1718" t="str">
        <x:v>Card</x:v>
      </x:c>
      <x:c r="F1718" t="str">
        <x:v>Utilities</x:v>
      </x:c>
      <x:c r="G1718" s="18" t="n">
        <x:v>58.05</x:v>
      </x:c>
      <x:c r="H1718" t="n">
        <x:v>0</x:v>
      </x:c>
      <x:c r="I1718" t="n">
        <x:v>0</x:v>
      </x:c>
      <x:c r="J1718" t="n">
        <x:v>0</x:v>
      </x:c>
      <x:c r="K1718" t="n">
        <x:v>0</x:v>
      </x:c>
      <x:c r="L1718" t="n">
        <x:v>10</x:v>
      </x:c>
      <x:c r="M1718" t="n">
        <x:v>0</x:v>
      </x:c>
      <x:c r="N1718" t="str">
        <x:v>Approved</x:v>
      </x:c>
      <x:c r="O1718" t="n">
        <x:v>0</x:v>
      </x:c>
      <x:c r="P1718" t="str">
        <x:f>IF(L1718&gt;=75,"High",IF(L1718&gt;=55,"Medium","Low"))</x:f>
        <x:v>Low</x:v>
      </x:c>
    </x:row>
    <x:row r="1719">
      <x:c r="A1719" t="n">
        <x:v>1718</x:v>
      </x:c>
      <x:c r="B1719" t="n">
        <x:v>10025</x:v>
      </x:c>
      <x:c r="C1719" s="16" t="n">
        <x:v>46189</x:v>
      </x:c>
      <x:c r="D1719" t="str">
        <x:v>05:10:00</x:v>
      </x:c>
      <x:c r="E1719" t="str">
        <x:v>Bank Transfer</x:v>
      </x:c>
      <x:c r="F1719" t="str">
        <x:v>Travel</x:v>
      </x:c>
      <x:c r="G1719" s="18" t="n">
        <x:v>30.18</x:v>
      </x:c>
      <x:c r="H1719" t="n">
        <x:v>1</x:v>
      </x:c>
      <x:c r="I1719" t="n">
        <x:v>0</x:v>
      </x:c>
      <x:c r="J1719" t="n">
        <x:v>0</x:v>
      </x:c>
      <x:c r="K1719" t="n">
        <x:v>0</x:v>
      </x:c>
      <x:c r="L1719" t="n">
        <x:v>36</x:v>
      </x:c>
      <x:c r="M1719" t="n">
        <x:v>0</x:v>
      </x:c>
      <x:c r="N1719" t="str">
        <x:v>Approved</x:v>
      </x:c>
      <x:c r="O1719" t="n">
        <x:v>0</x:v>
      </x:c>
      <x:c r="P1719" t="str">
        <x:f>IF(L1719&gt;=75,"High",IF(L1719&gt;=55,"Medium","Low"))</x:f>
        <x:v>Low</x:v>
      </x:c>
    </x:row>
    <x:row r="1720">
      <x:c r="A1720" t="n">
        <x:v>1719</x:v>
      </x:c>
      <x:c r="B1720" t="n">
        <x:v>10181</x:v>
      </x:c>
      <x:c r="C1720" s="16" t="n">
        <x:v>46234</x:v>
      </x:c>
      <x:c r="D1720" t="str">
        <x:v>07:50:00</x:v>
      </x:c>
      <x:c r="E1720" t="str">
        <x:v>Bank Transfer</x:v>
      </x:c>
      <x:c r="F1720" t="str">
        <x:v>Travel</x:v>
      </x:c>
      <x:c r="G1720" s="18" t="n">
        <x:v>16.09</x:v>
      </x:c>
      <x:c r="H1720" t="n">
        <x:v>0</x:v>
      </x:c>
      <x:c r="I1720" t="n">
        <x:v>0</x:v>
      </x:c>
      <x:c r="J1720" t="n">
        <x:v>0</x:v>
      </x:c>
      <x:c r="K1720" t="n">
        <x:v>0</x:v>
      </x:c>
      <x:c r="L1720" t="n">
        <x:v>10</x:v>
      </x:c>
      <x:c r="M1720" t="n">
        <x:v>0</x:v>
      </x:c>
      <x:c r="N1720" t="str">
        <x:v>Declined</x:v>
      </x:c>
      <x:c r="O1720" t="n">
        <x:v>0</x:v>
      </x:c>
      <x:c r="P1720" t="str">
        <x:f>IF(L1720&gt;=75,"High",IF(L1720&gt;=55,"Medium","Low"))</x:f>
        <x:v>Low</x:v>
      </x:c>
    </x:row>
    <x:row r="1721">
      <x:c r="A1721" t="n">
        <x:v>1720</x:v>
      </x:c>
      <x:c r="B1721" t="n">
        <x:v>10259</x:v>
      </x:c>
      <x:c r="C1721" s="16" t="n">
        <x:v>46277</x:v>
      </x:c>
      <x:c r="D1721" t="str">
        <x:v>23:48:00</x:v>
      </x:c>
      <x:c r="E1721" t="str">
        <x:v>P2P</x:v>
      </x:c>
      <x:c r="F1721" t="str">
        <x:v>Retail</x:v>
      </x:c>
      <x:c r="G1721" s="18" t="n">
        <x:v>180.88</x:v>
      </x:c>
      <x:c r="H1721" t="n">
        <x:v>0</x:v>
      </x:c>
      <x:c r="I1721" t="n">
        <x:v>0</x:v>
      </x:c>
      <x:c r="J1721" t="n">
        <x:v>0</x:v>
      </x:c>
      <x:c r="K1721" t="n">
        <x:v>0</x:v>
      </x:c>
      <x:c r="L1721" t="n">
        <x:v>10</x:v>
      </x:c>
      <x:c r="M1721" t="n">
        <x:v>0</x:v>
      </x:c>
      <x:c r="N1721" t="str">
        <x:v>Approved</x:v>
      </x:c>
      <x:c r="O1721" t="n">
        <x:v>0</x:v>
      </x:c>
      <x:c r="P1721" t="str">
        <x:f>IF(L1721&gt;=75,"High",IF(L1721&gt;=55,"Medium","Low"))</x:f>
        <x:v>Low</x:v>
      </x:c>
    </x:row>
    <x:row r="1722">
      <x:c r="A1722" t="n">
        <x:v>1721</x:v>
      </x:c>
      <x:c r="B1722" t="n">
        <x:v>10021</x:v>
      </x:c>
      <x:c r="C1722" s="16" t="n">
        <x:v>46277</x:v>
      </x:c>
      <x:c r="D1722" t="str">
        <x:v>11:10:00</x:v>
      </x:c>
      <x:c r="E1722" t="str">
        <x:v>Card</x:v>
      </x:c>
      <x:c r="F1722" t="str">
        <x:v>Transfer</x:v>
      </x:c>
      <x:c r="G1722" s="18" t="n">
        <x:v>29.25</x:v>
      </x:c>
      <x:c r="H1722" t="n">
        <x:v>1</x:v>
      </x:c>
      <x:c r="I1722" t="n">
        <x:v>0</x:v>
      </x:c>
      <x:c r="J1722" t="n">
        <x:v>0</x:v>
      </x:c>
      <x:c r="K1722" t="n">
        <x:v>0</x:v>
      </x:c>
      <x:c r="L1722" t="n">
        <x:v>36</x:v>
      </x:c>
      <x:c r="M1722" t="n">
        <x:v>0</x:v>
      </x:c>
      <x:c r="N1722" t="str">
        <x:v>Approved</x:v>
      </x:c>
      <x:c r="O1722" t="n">
        <x:v>0</x:v>
      </x:c>
      <x:c r="P1722" t="str">
        <x:f>IF(L1722&gt;=75,"High",IF(L1722&gt;=55,"Medium","Low"))</x:f>
        <x:v>Low</x:v>
      </x:c>
    </x:row>
    <x:row r="1723">
      <x:c r="A1723" t="n">
        <x:v>1722</x:v>
      </x:c>
      <x:c r="B1723" t="n">
        <x:v>10026</x:v>
      </x:c>
      <x:c r="C1723" s="16" t="n">
        <x:v>46191</x:v>
      </x:c>
      <x:c r="D1723" t="str">
        <x:v>00:17:00</x:v>
      </x:c>
      <x:c r="E1723" t="str">
        <x:v>Bank Transfer</x:v>
      </x:c>
      <x:c r="F1723" t="str">
        <x:v>Travel</x:v>
      </x:c>
      <x:c r="G1723" s="18" t="n">
        <x:v>331.92</x:v>
      </x:c>
      <x:c r="H1723" t="n">
        <x:v>0</x:v>
      </x:c>
      <x:c r="I1723" t="n">
        <x:v>0</x:v>
      </x:c>
      <x:c r="J1723" t="n">
        <x:v>0</x:v>
      </x:c>
      <x:c r="K1723" t="n">
        <x:v>1</x:v>
      </x:c>
      <x:c r="L1723" t="n">
        <x:v>25</x:v>
      </x:c>
      <x:c r="M1723" t="n">
        <x:v>0</x:v>
      </x:c>
      <x:c r="N1723" t="str">
        <x:v>Approved</x:v>
      </x:c>
      <x:c r="O1723" t="n">
        <x:v>0</x:v>
      </x:c>
      <x:c r="P1723" t="str">
        <x:f>IF(L1723&gt;=75,"High",IF(L1723&gt;=55,"Medium","Low"))</x:f>
        <x:v>Low</x:v>
      </x:c>
    </x:row>
    <x:row r="1724">
      <x:c r="A1724" t="n">
        <x:v>1723</x:v>
      </x:c>
      <x:c r="B1724" t="n">
        <x:v>10208</x:v>
      </x:c>
      <x:c r="C1724" s="16" t="n">
        <x:v>46160</x:v>
      </x:c>
      <x:c r="D1724" t="str">
        <x:v>19:57:00</x:v>
      </x:c>
      <x:c r="E1724" t="str">
        <x:v>Card</x:v>
      </x:c>
      <x:c r="F1724" t="str">
        <x:v>Retail</x:v>
      </x:c>
      <x:c r="G1724" s="18" t="n">
        <x:v>82.9</x:v>
      </x:c>
      <x:c r="H1724" t="n">
        <x:v>0</x:v>
      </x:c>
      <x:c r="I1724" t="n">
        <x:v>0</x:v>
      </x:c>
      <x:c r="J1724" t="n">
        <x:v>0</x:v>
      </x:c>
      <x:c r="K1724" t="n">
        <x:v>0</x:v>
      </x:c>
      <x:c r="L1724" t="n">
        <x:v>10</x:v>
      </x:c>
      <x:c r="M1724" t="n">
        <x:v>0</x:v>
      </x:c>
      <x:c r="N1724" t="str">
        <x:v>Approved</x:v>
      </x:c>
      <x:c r="O1724" t="n">
        <x:v>0</x:v>
      </x:c>
      <x:c r="P1724" t="str">
        <x:f>IF(L1724&gt;=75,"High",IF(L1724&gt;=55,"Medium","Low"))</x:f>
        <x:v>Low</x:v>
      </x:c>
    </x:row>
    <x:row r="1725">
      <x:c r="A1725" t="n">
        <x:v>1724</x:v>
      </x:c>
      <x:c r="B1725" t="n">
        <x:v>10160</x:v>
      </x:c>
      <x:c r="C1725" s="16" t="n">
        <x:v>46189</x:v>
      </x:c>
      <x:c r="D1725" t="str">
        <x:v>09:34:00</x:v>
      </x:c>
      <x:c r="E1725" t="str">
        <x:v>Bank Transfer</x:v>
      </x:c>
      <x:c r="F1725" t="str">
        <x:v>Subscriptions</x:v>
      </x:c>
      <x:c r="G1725" s="18" t="n">
        <x:v>51.51</x:v>
      </x:c>
      <x:c r="H1725" t="n">
        <x:v>0</x:v>
      </x:c>
      <x:c r="I1725" t="n">
        <x:v>0</x:v>
      </x:c>
      <x:c r="J1725" t="n">
        <x:v>0</x:v>
      </x:c>
      <x:c r="K1725" t="n">
        <x:v>0</x:v>
      </x:c>
      <x:c r="L1725" t="n">
        <x:v>10</x:v>
      </x:c>
      <x:c r="M1725" t="n">
        <x:v>0</x:v>
      </x:c>
      <x:c r="N1725" t="str">
        <x:v>Approved</x:v>
      </x:c>
      <x:c r="O1725" t="n">
        <x:v>0</x:v>
      </x:c>
      <x:c r="P1725" t="str">
        <x:f>IF(L1725&gt;=75,"High",IF(L1725&gt;=55,"Medium","Low"))</x:f>
        <x:v>Low</x:v>
      </x:c>
    </x:row>
    <x:row r="1726">
      <x:c r="A1726" t="n">
        <x:v>1725</x:v>
      </x:c>
      <x:c r="B1726" t="n">
        <x:v>10293</x:v>
      </x:c>
      <x:c r="C1726" s="16" t="n">
        <x:v>46238</x:v>
      </x:c>
      <x:c r="D1726" t="str">
        <x:v>13:39:00</x:v>
      </x:c>
      <x:c r="E1726" t="str">
        <x:v>Card</x:v>
      </x:c>
      <x:c r="F1726" t="str">
        <x:v>Electronics</x:v>
      </x:c>
      <x:c r="G1726" s="18" t="n">
        <x:v>93.63</x:v>
      </x:c>
      <x:c r="H1726" t="n">
        <x:v>0</x:v>
      </x:c>
      <x:c r="I1726" t="n">
        <x:v>1</x:v>
      </x:c>
      <x:c r="J1726" t="n">
        <x:v>0</x:v>
      </x:c>
      <x:c r="K1726" t="n">
        <x:v>0</x:v>
      </x:c>
      <x:c r="L1726" t="n">
        <x:v>30</x:v>
      </x:c>
      <x:c r="M1726" t="n">
        <x:v>0</x:v>
      </x:c>
      <x:c r="N1726" t="str">
        <x:v>Declined</x:v>
      </x:c>
      <x:c r="O1726" t="n">
        <x:v>0</x:v>
      </x:c>
      <x:c r="P1726" t="str">
        <x:f>IF(L1726&gt;=75,"High",IF(L1726&gt;=55,"Medium","Low"))</x:f>
        <x:v>Low</x:v>
      </x:c>
    </x:row>
    <x:row r="1727">
      <x:c r="A1727" t="n">
        <x:v>1726</x:v>
      </x:c>
      <x:c r="B1727" t="n">
        <x:v>10208</x:v>
      </x:c>
      <x:c r="C1727" s="16" t="n">
        <x:v>46171</x:v>
      </x:c>
      <x:c r="D1727" t="str">
        <x:v>15:26:00</x:v>
      </x:c>
      <x:c r="E1727" t="str">
        <x:v>Bank Transfer</x:v>
      </x:c>
      <x:c r="F1727" t="str">
        <x:v>Transfer</x:v>
      </x:c>
      <x:c r="G1727" s="18" t="n">
        <x:v>145.28</x:v>
      </x:c>
      <x:c r="H1727" t="n">
        <x:v>1</x:v>
      </x:c>
      <x:c r="I1727" t="n">
        <x:v>1</x:v>
      </x:c>
      <x:c r="J1727" t="n">
        <x:v>0</x:v>
      </x:c>
      <x:c r="K1727" t="n">
        <x:v>0</x:v>
      </x:c>
      <x:c r="L1727" t="n">
        <x:v>56</x:v>
      </x:c>
      <x:c r="M1727" t="n">
        <x:v>1</x:v>
      </x:c>
      <x:c r="N1727" t="str">
        <x:v>Approved</x:v>
      </x:c>
      <x:c r="O1727" t="n">
        <x:v>0</x:v>
      </x:c>
      <x:c r="P1727" t="str">
        <x:f>IF(L1727&gt;=75,"High",IF(L1727&gt;=55,"Medium","Low"))</x:f>
        <x:v>Medium</x:v>
      </x:c>
    </x:row>
    <x:row r="1728">
      <x:c r="A1728" t="n">
        <x:v>1727</x:v>
      </x:c>
      <x:c r="B1728" t="n">
        <x:v>10358</x:v>
      </x:c>
      <x:c r="C1728" s="16" t="n">
        <x:v>46122</x:v>
      </x:c>
      <x:c r="D1728" t="str">
        <x:v>17:17:00</x:v>
      </x:c>
      <x:c r="E1728" t="str">
        <x:v>Bank Transfer</x:v>
      </x:c>
      <x:c r="F1728" t="str">
        <x:v>Travel</x:v>
      </x:c>
      <x:c r="G1728" s="18" t="n">
        <x:v>235.97</x:v>
      </x:c>
      <x:c r="H1728" t="n">
        <x:v>0</x:v>
      </x:c>
      <x:c r="I1728" t="n">
        <x:v>1</x:v>
      </x:c>
      <x:c r="J1728" t="n">
        <x:v>0</x:v>
      </x:c>
      <x:c r="K1728" t="n">
        <x:v>0</x:v>
      </x:c>
      <x:c r="L1728" t="n">
        <x:v>30</x:v>
      </x:c>
      <x:c r="M1728" t="n">
        <x:v>0</x:v>
      </x:c>
      <x:c r="N1728" t="str">
        <x:v>Approved</x:v>
      </x:c>
      <x:c r="O1728" t="n">
        <x:v>0</x:v>
      </x:c>
      <x:c r="P1728" t="str">
        <x:f>IF(L1728&gt;=75,"High",IF(L1728&gt;=55,"Medium","Low"))</x:f>
        <x:v>Low</x:v>
      </x:c>
    </x:row>
    <x:row r="1729">
      <x:c r="A1729" t="n">
        <x:v>1728</x:v>
      </x:c>
      <x:c r="B1729" t="n">
        <x:v>10125</x:v>
      </x:c>
      <x:c r="C1729" s="16" t="n">
        <x:v>46148</x:v>
      </x:c>
      <x:c r="D1729" t="str">
        <x:v>05:44:00</x:v>
      </x:c>
      <x:c r="E1729" t="str">
        <x:v>Card</x:v>
      </x:c>
      <x:c r="F1729" t="str">
        <x:v>Dining</x:v>
      </x:c>
      <x:c r="G1729" s="18" t="n">
        <x:v>17.43</x:v>
      </x:c>
      <x:c r="H1729" t="n">
        <x:v>0</x:v>
      </x:c>
      <x:c r="I1729" t="n">
        <x:v>1</x:v>
      </x:c>
      <x:c r="J1729" t="n">
        <x:v>0</x:v>
      </x:c>
      <x:c r="K1729" t="n">
        <x:v>0</x:v>
      </x:c>
      <x:c r="L1729" t="n">
        <x:v>30</x:v>
      </x:c>
      <x:c r="M1729" t="n">
        <x:v>0</x:v>
      </x:c>
      <x:c r="N1729" t="str">
        <x:v>Approved</x:v>
      </x:c>
      <x:c r="O1729" t="n">
        <x:v>0</x:v>
      </x:c>
      <x:c r="P1729" t="str">
        <x:f>IF(L1729&gt;=75,"High",IF(L1729&gt;=55,"Medium","Low"))</x:f>
        <x:v>Low</x:v>
      </x:c>
    </x:row>
    <x:row r="1730">
      <x:c r="A1730" t="n">
        <x:v>1729</x:v>
      </x:c>
      <x:c r="B1730" t="n">
        <x:v>10179</x:v>
      </x:c>
      <x:c r="C1730" s="16" t="n">
        <x:v>46131</x:v>
      </x:c>
      <x:c r="D1730" t="str">
        <x:v>20:56:00</x:v>
      </x:c>
      <x:c r="E1730" t="str">
        <x:v>P2P</x:v>
      </x:c>
      <x:c r="F1730" t="str">
        <x:v>Dining</x:v>
      </x:c>
      <x:c r="G1730" s="18" t="n">
        <x:v>50.2</x:v>
      </x:c>
      <x:c r="H1730" t="n">
        <x:v>0</x:v>
      </x:c>
      <x:c r="I1730" t="n">
        <x:v>0</x:v>
      </x:c>
      <x:c r="J1730" t="n">
        <x:v>0</x:v>
      </x:c>
      <x:c r="K1730" t="n">
        <x:v>0</x:v>
      </x:c>
      <x:c r="L1730" t="n">
        <x:v>10</x:v>
      </x:c>
      <x:c r="M1730" t="n">
        <x:v>0</x:v>
      </x:c>
      <x:c r="N1730" t="str">
        <x:v>Approved</x:v>
      </x:c>
      <x:c r="O1730" t="n">
        <x:v>0</x:v>
      </x:c>
      <x:c r="P1730" t="str">
        <x:f>IF(L1730&gt;=75,"High",IF(L1730&gt;=55,"Medium","Low"))</x:f>
        <x:v>Low</x:v>
      </x:c>
    </x:row>
    <x:row r="1731">
      <x:c r="A1731" t="n">
        <x:v>1730</x:v>
      </x:c>
      <x:c r="B1731" t="n">
        <x:v>10029</x:v>
      </x:c>
      <x:c r="C1731" s="16" t="n">
        <x:v>46273</x:v>
      </x:c>
      <x:c r="D1731" t="str">
        <x:v>03:35:00</x:v>
      </x:c>
      <x:c r="E1731" t="str">
        <x:v>Card</x:v>
      </x:c>
      <x:c r="F1731" t="str">
        <x:v>Dining</x:v>
      </x:c>
      <x:c r="G1731" s="18" t="n">
        <x:v>22.51</x:v>
      </x:c>
      <x:c r="H1731" t="n">
        <x:v>0</x:v>
      </x:c>
      <x:c r="I1731" t="n">
        <x:v>0</x:v>
      </x:c>
      <x:c r="J1731" t="n">
        <x:v>0</x:v>
      </x:c>
      <x:c r="K1731" t="n">
        <x:v>1</x:v>
      </x:c>
      <x:c r="L1731" t="n">
        <x:v>25</x:v>
      </x:c>
      <x:c r="M1731" t="n">
        <x:v>0</x:v>
      </x:c>
      <x:c r="N1731" t="str">
        <x:v>Approved</x:v>
      </x:c>
      <x:c r="O1731" t="n">
        <x:v>0</x:v>
      </x:c>
      <x:c r="P1731" t="str">
        <x:f>IF(L1731&gt;=75,"High",IF(L1731&gt;=55,"Medium","Low"))</x:f>
        <x:v>Low</x:v>
      </x:c>
    </x:row>
    <x:row r="1732">
      <x:c r="A1732" t="n">
        <x:v>1731</x:v>
      </x:c>
      <x:c r="B1732" t="n">
        <x:v>10209</x:v>
      </x:c>
      <x:c r="C1732" s="16" t="n">
        <x:v>46161</x:v>
      </x:c>
      <x:c r="D1732" t="str">
        <x:v>17:55:00</x:v>
      </x:c>
      <x:c r="E1732" t="str">
        <x:v>Bank Transfer</x:v>
      </x:c>
      <x:c r="F1732" t="str">
        <x:v>Electronics</x:v>
      </x:c>
      <x:c r="G1732" s="18" t="n">
        <x:v>58.06</x:v>
      </x:c>
      <x:c r="H1732" t="n">
        <x:v>0</x:v>
      </x:c>
      <x:c r="I1732" t="n">
        <x:v>0</x:v>
      </x:c>
      <x:c r="J1732" t="n">
        <x:v>0</x:v>
      </x:c>
      <x:c r="K1732" t="n">
        <x:v>0</x:v>
      </x:c>
      <x:c r="L1732" t="n">
        <x:v>10</x:v>
      </x:c>
      <x:c r="M1732" t="n">
        <x:v>0</x:v>
      </x:c>
      <x:c r="N1732" t="str">
        <x:v>Approved</x:v>
      </x:c>
      <x:c r="O1732" t="n">
        <x:v>0</x:v>
      </x:c>
      <x:c r="P1732" t="str">
        <x:f>IF(L1732&gt;=75,"High",IF(L1732&gt;=55,"Medium","Low"))</x:f>
        <x:v>Low</x:v>
      </x:c>
    </x:row>
    <x:row r="1733">
      <x:c r="A1733" t="n">
        <x:v>1732</x:v>
      </x:c>
      <x:c r="B1733" t="n">
        <x:v>10043</x:v>
      </x:c>
      <x:c r="C1733" s="16" t="n">
        <x:v>46258</x:v>
      </x:c>
      <x:c r="D1733" t="str">
        <x:v>10:43:00</x:v>
      </x:c>
      <x:c r="E1733" t="str">
        <x:v>Card</x:v>
      </x:c>
      <x:c r="F1733" t="str">
        <x:v>Dining</x:v>
      </x:c>
      <x:c r="G1733" s="18" t="n">
        <x:v>434.43</x:v>
      </x:c>
      <x:c r="H1733" t="n">
        <x:v>0</x:v>
      </x:c>
      <x:c r="I1733" t="n">
        <x:v>0</x:v>
      </x:c>
      <x:c r="J1733" t="n">
        <x:v>0</x:v>
      </x:c>
      <x:c r="K1733" t="n">
        <x:v>0</x:v>
      </x:c>
      <x:c r="L1733" t="n">
        <x:v>10</x:v>
      </x:c>
      <x:c r="M1733" t="n">
        <x:v>0</x:v>
      </x:c>
      <x:c r="N1733" t="str">
        <x:v>Approved</x:v>
      </x:c>
      <x:c r="O1733" t="n">
        <x:v>0</x:v>
      </x:c>
      <x:c r="P1733" t="str">
        <x:f>IF(L1733&gt;=75,"High",IF(L1733&gt;=55,"Medium","Low"))</x:f>
        <x:v>Low</x:v>
      </x:c>
    </x:row>
    <x:row r="1734">
      <x:c r="A1734" t="n">
        <x:v>1733</x:v>
      </x:c>
      <x:c r="B1734" t="n">
        <x:v>10215</x:v>
      </x:c>
      <x:c r="C1734" s="16" t="n">
        <x:v>46272</x:v>
      </x:c>
      <x:c r="D1734" t="str">
        <x:v>19:22:00</x:v>
      </x:c>
      <x:c r="E1734" t="str">
        <x:v>Card</x:v>
      </x:c>
      <x:c r="F1734" t="str">
        <x:v>Travel</x:v>
      </x:c>
      <x:c r="G1734" s="18" t="n">
        <x:v>135.35</x:v>
      </x:c>
      <x:c r="H1734" t="n">
        <x:v>0</x:v>
      </x:c>
      <x:c r="I1734" t="n">
        <x:v>0</x:v>
      </x:c>
      <x:c r="J1734" t="n">
        <x:v>0</x:v>
      </x:c>
      <x:c r="K1734" t="n">
        <x:v>0</x:v>
      </x:c>
      <x:c r="L1734" t="n">
        <x:v>10</x:v>
      </x:c>
      <x:c r="M1734" t="n">
        <x:v>0</x:v>
      </x:c>
      <x:c r="N1734" t="str">
        <x:v>Declined</x:v>
      </x:c>
      <x:c r="O1734" t="n">
        <x:v>0</x:v>
      </x:c>
      <x:c r="P1734" t="str">
        <x:f>IF(L1734&gt;=75,"High",IF(L1734&gt;=55,"Medium","Low"))</x:f>
        <x:v>Low</x:v>
      </x:c>
    </x:row>
    <x:row r="1735">
      <x:c r="A1735" t="n">
        <x:v>1734</x:v>
      </x:c>
      <x:c r="B1735" t="n">
        <x:v>10214</x:v>
      </x:c>
      <x:c r="C1735" s="16" t="n">
        <x:v>46227</x:v>
      </x:c>
      <x:c r="D1735" t="str">
        <x:v>00:10:00</x:v>
      </x:c>
      <x:c r="E1735" t="str">
        <x:v>Card</x:v>
      </x:c>
      <x:c r="F1735" t="str">
        <x:v>Travel</x:v>
      </x:c>
      <x:c r="G1735" s="18" t="n">
        <x:v>15.38</x:v>
      </x:c>
      <x:c r="H1735" t="n">
        <x:v>1</x:v>
      </x:c>
      <x:c r="I1735" t="n">
        <x:v>0</x:v>
      </x:c>
      <x:c r="J1735" t="n">
        <x:v>0</x:v>
      </x:c>
      <x:c r="K1735" t="n">
        <x:v>1</x:v>
      </x:c>
      <x:c r="L1735" t="n">
        <x:v>51</x:v>
      </x:c>
      <x:c r="M1735" t="n">
        <x:v>0</x:v>
      </x:c>
      <x:c r="N1735" t="str">
        <x:v>Approved</x:v>
      </x:c>
      <x:c r="O1735" t="n">
        <x:v>1</x:v>
      </x:c>
      <x:c r="P1735" t="str">
        <x:f>IF(L1735&gt;=75,"High",IF(L1735&gt;=55,"Medium","Low"))</x:f>
        <x:v>Low</x:v>
      </x:c>
    </x:row>
    <x:row r="1736">
      <x:c r="A1736" t="n">
        <x:v>1735</x:v>
      </x:c>
      <x:c r="B1736" t="n">
        <x:v>10247</x:v>
      </x:c>
      <x:c r="C1736" s="16" t="n">
        <x:v>46208</x:v>
      </x:c>
      <x:c r="D1736" t="str">
        <x:v>07:43:00</x:v>
      </x:c>
      <x:c r="E1736" t="str">
        <x:v>Card</x:v>
      </x:c>
      <x:c r="F1736" t="str">
        <x:v>Travel</x:v>
      </x:c>
      <x:c r="G1736" s="18" t="n">
        <x:v>286.51</x:v>
      </x:c>
      <x:c r="H1736" t="n">
        <x:v>0</x:v>
      </x:c>
      <x:c r="I1736" t="n">
        <x:v>1</x:v>
      </x:c>
      <x:c r="J1736" t="n">
        <x:v>0</x:v>
      </x:c>
      <x:c r="K1736" t="n">
        <x:v>0</x:v>
      </x:c>
      <x:c r="L1736" t="n">
        <x:v>30</x:v>
      </x:c>
      <x:c r="M1736" t="n">
        <x:v>0</x:v>
      </x:c>
      <x:c r="N1736" t="str">
        <x:v>Approved</x:v>
      </x:c>
      <x:c r="O1736" t="n">
        <x:v>0</x:v>
      </x:c>
      <x:c r="P1736" t="str">
        <x:f>IF(L1736&gt;=75,"High",IF(L1736&gt;=55,"Medium","Low"))</x:f>
        <x:v>Low</x:v>
      </x:c>
    </x:row>
    <x:row r="1737">
      <x:c r="A1737" t="n">
        <x:v>1736</x:v>
      </x:c>
      <x:c r="B1737" t="n">
        <x:v>10096</x:v>
      </x:c>
      <x:c r="C1737" s="16" t="n">
        <x:v>46121</x:v>
      </x:c>
      <x:c r="D1737" t="str">
        <x:v>22:43:00</x:v>
      </x:c>
      <x:c r="E1737" t="str">
        <x:v>Bank Transfer</x:v>
      </x:c>
      <x:c r="F1737" t="str">
        <x:v>Utilities</x:v>
      </x:c>
      <x:c r="G1737" s="18" t="n">
        <x:v>27.96</x:v>
      </x:c>
      <x:c r="H1737" t="n">
        <x:v>1</x:v>
      </x:c>
      <x:c r="I1737" t="n">
        <x:v>0</x:v>
      </x:c>
      <x:c r="J1737" t="n">
        <x:v>0</x:v>
      </x:c>
      <x:c r="K1737" t="n">
        <x:v>0</x:v>
      </x:c>
      <x:c r="L1737" t="n">
        <x:v>36</x:v>
      </x:c>
      <x:c r="M1737" t="n">
        <x:v>0</x:v>
      </x:c>
      <x:c r="N1737" t="str">
        <x:v>Approved</x:v>
      </x:c>
      <x:c r="O1737" t="n">
        <x:v>0</x:v>
      </x:c>
      <x:c r="P1737" t="str">
        <x:f>IF(L1737&gt;=75,"High",IF(L1737&gt;=55,"Medium","Low"))</x:f>
        <x:v>Low</x:v>
      </x:c>
    </x:row>
    <x:row r="1738">
      <x:c r="A1738" t="n">
        <x:v>1737</x:v>
      </x:c>
      <x:c r="B1738" t="n">
        <x:v>10290</x:v>
      </x:c>
      <x:c r="C1738" s="16" t="n">
        <x:v>46207</x:v>
      </x:c>
      <x:c r="D1738" t="str">
        <x:v>19:28:00</x:v>
      </x:c>
      <x:c r="E1738" t="str">
        <x:v>Bank Transfer</x:v>
      </x:c>
      <x:c r="F1738" t="str">
        <x:v>Retail</x:v>
      </x:c>
      <x:c r="G1738" s="18" t="n">
        <x:v>642.34</x:v>
      </x:c>
      <x:c r="H1738" t="n">
        <x:v>0</x:v>
      </x:c>
      <x:c r="I1738" t="n">
        <x:v>0</x:v>
      </x:c>
      <x:c r="J1738" t="n">
        <x:v>0</x:v>
      </x:c>
      <x:c r="K1738" t="n">
        <x:v>0</x:v>
      </x:c>
      <x:c r="L1738" t="n">
        <x:v>10</x:v>
      </x:c>
      <x:c r="M1738" t="n">
        <x:v>0</x:v>
      </x:c>
      <x:c r="N1738" t="str">
        <x:v>Declined</x:v>
      </x:c>
      <x:c r="O1738" t="n">
        <x:v>0</x:v>
      </x:c>
      <x:c r="P1738" t="str">
        <x:f>IF(L1738&gt;=75,"High",IF(L1738&gt;=55,"Medium","Low"))</x:f>
        <x:v>Low</x:v>
      </x:c>
    </x:row>
    <x:row r="1739">
      <x:c r="A1739" t="n">
        <x:v>1738</x:v>
      </x:c>
      <x:c r="B1739" t="n">
        <x:v>10021</x:v>
      </x:c>
      <x:c r="C1739" s="16" t="n">
        <x:v>46226</x:v>
      </x:c>
      <x:c r="D1739" t="str">
        <x:v>20:46:00</x:v>
      </x:c>
      <x:c r="E1739" t="str">
        <x:v>Card</x:v>
      </x:c>
      <x:c r="F1739" t="str">
        <x:v>Retail</x:v>
      </x:c>
      <x:c r="G1739" s="18" t="n">
        <x:v>99.03</x:v>
      </x:c>
      <x:c r="H1739" t="n">
        <x:v>0</x:v>
      </x:c>
      <x:c r="I1739" t="n">
        <x:v>0</x:v>
      </x:c>
      <x:c r="J1739" t="n">
        <x:v>0</x:v>
      </x:c>
      <x:c r="K1739" t="n">
        <x:v>0</x:v>
      </x:c>
      <x:c r="L1739" t="n">
        <x:v>10</x:v>
      </x:c>
      <x:c r="M1739" t="n">
        <x:v>0</x:v>
      </x:c>
      <x:c r="N1739" t="str">
        <x:v>Declined</x:v>
      </x:c>
      <x:c r="O1739" t="n">
        <x:v>0</x:v>
      </x:c>
      <x:c r="P1739" t="str">
        <x:f>IF(L1739&gt;=75,"High",IF(L1739&gt;=55,"Medium","Low"))</x:f>
        <x:v>Low</x:v>
      </x:c>
    </x:row>
    <x:row r="1740">
      <x:c r="A1740" t="n">
        <x:v>1739</x:v>
      </x:c>
      <x:c r="B1740" t="n">
        <x:v>10245</x:v>
      </x:c>
      <x:c r="C1740" s="16" t="n">
        <x:v>46237</x:v>
      </x:c>
      <x:c r="D1740" t="str">
        <x:v>08:47:00</x:v>
      </x:c>
      <x:c r="E1740" t="str">
        <x:v>Card</x:v>
      </x:c>
      <x:c r="F1740" t="str">
        <x:v>Dining</x:v>
      </x:c>
      <x:c r="G1740" s="18" t="n">
        <x:v>20.04</x:v>
      </x:c>
      <x:c r="H1740" t="n">
        <x:v>0</x:v>
      </x:c>
      <x:c r="I1740" t="n">
        <x:v>0</x:v>
      </x:c>
      <x:c r="J1740" t="n">
        <x:v>0</x:v>
      </x:c>
      <x:c r="K1740" t="n">
        <x:v>0</x:v>
      </x:c>
      <x:c r="L1740" t="n">
        <x:v>10</x:v>
      </x:c>
      <x:c r="M1740" t="n">
        <x:v>0</x:v>
      </x:c>
      <x:c r="N1740" t="str">
        <x:v>Approved</x:v>
      </x:c>
      <x:c r="O1740" t="n">
        <x:v>0</x:v>
      </x:c>
      <x:c r="P1740" t="str">
        <x:f>IF(L1740&gt;=75,"High",IF(L1740&gt;=55,"Medium","Low"))</x:f>
        <x:v>Low</x:v>
      </x:c>
    </x:row>
    <x:row r="1741">
      <x:c r="A1741" t="n">
        <x:v>1740</x:v>
      </x:c>
      <x:c r="B1741" t="n">
        <x:v>10140</x:v>
      </x:c>
      <x:c r="C1741" s="16" t="n">
        <x:v>46224</x:v>
      </x:c>
      <x:c r="D1741" t="str">
        <x:v>13:58:00</x:v>
      </x:c>
      <x:c r="E1741" t="str">
        <x:v>Card</x:v>
      </x:c>
      <x:c r="F1741" t="str">
        <x:v>Travel</x:v>
      </x:c>
      <x:c r="G1741" s="18" t="n">
        <x:v>22.74</x:v>
      </x:c>
      <x:c r="H1741" t="n">
        <x:v>0</x:v>
      </x:c>
      <x:c r="I1741" t="n">
        <x:v>0</x:v>
      </x:c>
      <x:c r="J1741" t="n">
        <x:v>0</x:v>
      </x:c>
      <x:c r="K1741" t="n">
        <x:v>0</x:v>
      </x:c>
      <x:c r="L1741" t="n">
        <x:v>10</x:v>
      </x:c>
      <x:c r="M1741" t="n">
        <x:v>0</x:v>
      </x:c>
      <x:c r="N1741" t="str">
        <x:v>Approved</x:v>
      </x:c>
      <x:c r="O1741" t="n">
        <x:v>0</x:v>
      </x:c>
      <x:c r="P1741" t="str">
        <x:f>IF(L1741&gt;=75,"High",IF(L1741&gt;=55,"Medium","Low"))</x:f>
        <x:v>Low</x:v>
      </x:c>
    </x:row>
    <x:row r="1742">
      <x:c r="A1742" t="n">
        <x:v>1741</x:v>
      </x:c>
      <x:c r="B1742" t="n">
        <x:v>10274</x:v>
      </x:c>
      <x:c r="C1742" s="16" t="n">
        <x:v>46243</x:v>
      </x:c>
      <x:c r="D1742" t="str">
        <x:v>16:26:00</x:v>
      </x:c>
      <x:c r="E1742" t="str">
        <x:v>Card</x:v>
      </x:c>
      <x:c r="F1742" t="str">
        <x:v>Dining</x:v>
      </x:c>
      <x:c r="G1742" s="18" t="n">
        <x:v>17.79</x:v>
      </x:c>
      <x:c r="H1742" t="n">
        <x:v>0</x:v>
      </x:c>
      <x:c r="I1742" t="n">
        <x:v>0</x:v>
      </x:c>
      <x:c r="J1742" t="n">
        <x:v>0</x:v>
      </x:c>
      <x:c r="K1742" t="n">
        <x:v>0</x:v>
      </x:c>
      <x:c r="L1742" t="n">
        <x:v>10</x:v>
      </x:c>
      <x:c r="M1742" t="n">
        <x:v>0</x:v>
      </x:c>
      <x:c r="N1742" t="str">
        <x:v>Approved</x:v>
      </x:c>
      <x:c r="O1742" t="n">
        <x:v>0</x:v>
      </x:c>
      <x:c r="P1742" t="str">
        <x:f>IF(L1742&gt;=75,"High",IF(L1742&gt;=55,"Medium","Low"))</x:f>
        <x:v>Low</x:v>
      </x:c>
    </x:row>
    <x:row r="1743">
      <x:c r="A1743" t="n">
        <x:v>1742</x:v>
      </x:c>
      <x:c r="B1743" t="n">
        <x:v>10120</x:v>
      </x:c>
      <x:c r="C1743" s="16" t="n">
        <x:v>46258</x:v>
      </x:c>
      <x:c r="D1743" t="str">
        <x:v>08:27:00</x:v>
      </x:c>
      <x:c r="E1743" t="str">
        <x:v>Card</x:v>
      </x:c>
      <x:c r="F1743" t="str">
        <x:v>Travel</x:v>
      </x:c>
      <x:c r="G1743" s="18" t="n">
        <x:v>51.08</x:v>
      </x:c>
      <x:c r="H1743" t="n">
        <x:v>0</x:v>
      </x:c>
      <x:c r="I1743" t="n">
        <x:v>0</x:v>
      </x:c>
      <x:c r="J1743" t="n">
        <x:v>0</x:v>
      </x:c>
      <x:c r="K1743" t="n">
        <x:v>0</x:v>
      </x:c>
      <x:c r="L1743" t="n">
        <x:v>10</x:v>
      </x:c>
      <x:c r="M1743" t="n">
        <x:v>0</x:v>
      </x:c>
      <x:c r="N1743" t="str">
        <x:v>Approved</x:v>
      </x:c>
      <x:c r="O1743" t="n">
        <x:v>0</x:v>
      </x:c>
      <x:c r="P1743" t="str">
        <x:f>IF(L1743&gt;=75,"High",IF(L1743&gt;=55,"Medium","Low"))</x:f>
        <x:v>Low</x:v>
      </x:c>
    </x:row>
    <x:row r="1744">
      <x:c r="A1744" t="n">
        <x:v>1743</x:v>
      </x:c>
      <x:c r="B1744" t="n">
        <x:v>10168</x:v>
      </x:c>
      <x:c r="C1744" s="16" t="n">
        <x:v>46132</x:v>
      </x:c>
      <x:c r="D1744" t="str">
        <x:v>03:12:00</x:v>
      </x:c>
      <x:c r="E1744" t="str">
        <x:v>Bank Transfer</x:v>
      </x:c>
      <x:c r="F1744" t="str">
        <x:v>Travel</x:v>
      </x:c>
      <x:c r="G1744" s="18" t="n">
        <x:v>50.89</x:v>
      </x:c>
      <x:c r="H1744" t="n">
        <x:v>0</x:v>
      </x:c>
      <x:c r="I1744" t="n">
        <x:v>1</x:v>
      </x:c>
      <x:c r="J1744" t="n">
        <x:v>0</x:v>
      </x:c>
      <x:c r="K1744" t="n">
        <x:v>1</x:v>
      </x:c>
      <x:c r="L1744" t="n">
        <x:v>45</x:v>
      </x:c>
      <x:c r="M1744" t="n">
        <x:v>0</x:v>
      </x:c>
      <x:c r="N1744" t="str">
        <x:v>Approved</x:v>
      </x:c>
      <x:c r="O1744" t="n">
        <x:v>0</x:v>
      </x:c>
      <x:c r="P1744" t="str">
        <x:f>IF(L1744&gt;=75,"High",IF(L1744&gt;=55,"Medium","Low"))</x:f>
        <x:v>Low</x:v>
      </x:c>
    </x:row>
    <x:row r="1745">
      <x:c r="A1745" t="n">
        <x:v>1744</x:v>
      </x:c>
      <x:c r="B1745" t="n">
        <x:v>10224</x:v>
      </x:c>
      <x:c r="C1745" s="16" t="n">
        <x:v>46262</x:v>
      </x:c>
      <x:c r="D1745" t="str">
        <x:v>12:46:00</x:v>
      </x:c>
      <x:c r="E1745" t="str">
        <x:v>P2P</x:v>
      </x:c>
      <x:c r="F1745" t="str">
        <x:v>Subscriptions</x:v>
      </x:c>
      <x:c r="G1745" s="18" t="n">
        <x:v>100.79</x:v>
      </x:c>
      <x:c r="H1745" t="n">
        <x:v>0</x:v>
      </x:c>
      <x:c r="I1745" t="n">
        <x:v>0</x:v>
      </x:c>
      <x:c r="J1745" t="n">
        <x:v>0</x:v>
      </x:c>
      <x:c r="K1745" t="n">
        <x:v>0</x:v>
      </x:c>
      <x:c r="L1745" t="n">
        <x:v>10</x:v>
      </x:c>
      <x:c r="M1745" t="n">
        <x:v>0</x:v>
      </x:c>
      <x:c r="N1745" t="str">
        <x:v>Approved</x:v>
      </x:c>
      <x:c r="O1745" t="n">
        <x:v>0</x:v>
      </x:c>
      <x:c r="P1745" t="str">
        <x:f>IF(L1745&gt;=75,"High",IF(L1745&gt;=55,"Medium","Low"))</x:f>
        <x:v>Low</x:v>
      </x:c>
    </x:row>
    <x:row r="1746">
      <x:c r="A1746" t="n">
        <x:v>1745</x:v>
      </x:c>
      <x:c r="B1746" t="n">
        <x:v>10207</x:v>
      </x:c>
      <x:c r="C1746" s="16" t="n">
        <x:v>46284</x:v>
      </x:c>
      <x:c r="D1746" t="str">
        <x:v>01:08:00</x:v>
      </x:c>
      <x:c r="E1746" t="str">
        <x:v>Bank Transfer</x:v>
      </x:c>
      <x:c r="F1746" t="str">
        <x:v>Dining</x:v>
      </x:c>
      <x:c r="G1746" s="18" t="n">
        <x:v>34.82</x:v>
      </x:c>
      <x:c r="H1746" t="n">
        <x:v>1</x:v>
      </x:c>
      <x:c r="I1746" t="n">
        <x:v>0</x:v>
      </x:c>
      <x:c r="J1746" t="n">
        <x:v>0</x:v>
      </x:c>
      <x:c r="K1746" t="n">
        <x:v>1</x:v>
      </x:c>
      <x:c r="L1746" t="n">
        <x:v>51</x:v>
      </x:c>
      <x:c r="M1746" t="n">
        <x:v>0</x:v>
      </x:c>
      <x:c r="N1746" t="str">
        <x:v>Approved</x:v>
      </x:c>
      <x:c r="O1746" t="n">
        <x:v>0</x:v>
      </x:c>
      <x:c r="P1746" t="str">
        <x:f>IF(L1746&gt;=75,"High",IF(L1746&gt;=55,"Medium","Low"))</x:f>
        <x:v>Low</x:v>
      </x:c>
    </x:row>
    <x:row r="1747">
      <x:c r="A1747" t="n">
        <x:v>1746</x:v>
      </x:c>
      <x:c r="B1747" t="n">
        <x:v>10218</x:v>
      </x:c>
      <x:c r="C1747" s="16" t="n">
        <x:v>46237</x:v>
      </x:c>
      <x:c r="D1747" t="str">
        <x:v>09:20:00</x:v>
      </x:c>
      <x:c r="E1747" t="str">
        <x:v>Bank Transfer</x:v>
      </x:c>
      <x:c r="F1747" t="str">
        <x:v>Utilities</x:v>
      </x:c>
      <x:c r="G1747" s="18" t="n">
        <x:v>30.66</x:v>
      </x:c>
      <x:c r="H1747" t="n">
        <x:v>0</x:v>
      </x:c>
      <x:c r="I1747" t="n">
        <x:v>0</x:v>
      </x:c>
      <x:c r="J1747" t="n">
        <x:v>0</x:v>
      </x:c>
      <x:c r="K1747" t="n">
        <x:v>0</x:v>
      </x:c>
      <x:c r="L1747" t="n">
        <x:v>10</x:v>
      </x:c>
      <x:c r="M1747" t="n">
        <x:v>0</x:v>
      </x:c>
      <x:c r="N1747" t="str">
        <x:v>Approved</x:v>
      </x:c>
      <x:c r="O1747" t="n">
        <x:v>0</x:v>
      </x:c>
      <x:c r="P1747" t="str">
        <x:f>IF(L1747&gt;=75,"High",IF(L1747&gt;=55,"Medium","Low"))</x:f>
        <x:v>Low</x:v>
      </x:c>
    </x:row>
    <x:row r="1748">
      <x:c r="A1748" t="n">
        <x:v>1747</x:v>
      </x:c>
      <x:c r="B1748" t="n">
        <x:v>10108</x:v>
      </x:c>
      <x:c r="C1748" s="16" t="n">
        <x:v>46278</x:v>
      </x:c>
      <x:c r="D1748" t="str">
        <x:v>02:03:00</x:v>
      </x:c>
      <x:c r="E1748" t="str">
        <x:v>Card</x:v>
      </x:c>
      <x:c r="F1748" t="str">
        <x:v>Dining</x:v>
      </x:c>
      <x:c r="G1748" s="18" t="n">
        <x:v>451.52</x:v>
      </x:c>
      <x:c r="H1748" t="n">
        <x:v>0</x:v>
      </x:c>
      <x:c r="I1748" t="n">
        <x:v>0</x:v>
      </x:c>
      <x:c r="J1748" t="n">
        <x:v>0</x:v>
      </x:c>
      <x:c r="K1748" t="n">
        <x:v>1</x:v>
      </x:c>
      <x:c r="L1748" t="n">
        <x:v>25</x:v>
      </x:c>
      <x:c r="M1748" t="n">
        <x:v>0</x:v>
      </x:c>
      <x:c r="N1748" t="str">
        <x:v>Approved</x:v>
      </x:c>
      <x:c r="O1748" t="n">
        <x:v>0</x:v>
      </x:c>
      <x:c r="P1748" t="str">
        <x:f>IF(L1748&gt;=75,"High",IF(L1748&gt;=55,"Medium","Low"))</x:f>
        <x:v>Low</x:v>
      </x:c>
    </x:row>
    <x:row r="1749">
      <x:c r="A1749" t="n">
        <x:v>1748</x:v>
      </x:c>
      <x:c r="B1749" t="n">
        <x:v>10105</x:v>
      </x:c>
      <x:c r="C1749" s="16" t="n">
        <x:v>46125</x:v>
      </x:c>
      <x:c r="D1749" t="str">
        <x:v>13:43:00</x:v>
      </x:c>
      <x:c r="E1749" t="str">
        <x:v>Bank Transfer</x:v>
      </x:c>
      <x:c r="F1749" t="str">
        <x:v>Electronics</x:v>
      </x:c>
      <x:c r="G1749" s="18" t="n">
        <x:v>121.85</x:v>
      </x:c>
      <x:c r="H1749" t="n">
        <x:v>1</x:v>
      </x:c>
      <x:c r="I1749" t="n">
        <x:v>0</x:v>
      </x:c>
      <x:c r="J1749" t="n">
        <x:v>0</x:v>
      </x:c>
      <x:c r="K1749" t="n">
        <x:v>0</x:v>
      </x:c>
      <x:c r="L1749" t="n">
        <x:v>36</x:v>
      </x:c>
      <x:c r="M1749" t="n">
        <x:v>0</x:v>
      </x:c>
      <x:c r="N1749" t="str">
        <x:v>Approved</x:v>
      </x:c>
      <x:c r="O1749" t="n">
        <x:v>0</x:v>
      </x:c>
      <x:c r="P1749" t="str">
        <x:f>IF(L1749&gt;=75,"High",IF(L1749&gt;=55,"Medium","Low"))</x:f>
        <x:v>Low</x:v>
      </x:c>
    </x:row>
    <x:row r="1750">
      <x:c r="A1750" t="n">
        <x:v>1749</x:v>
      </x:c>
      <x:c r="B1750" t="n">
        <x:v>10251</x:v>
      </x:c>
      <x:c r="C1750" s="16" t="n">
        <x:v>46274</x:v>
      </x:c>
      <x:c r="D1750" t="str">
        <x:v>07:32:00</x:v>
      </x:c>
      <x:c r="E1750" t="str">
        <x:v>P2P</x:v>
      </x:c>
      <x:c r="F1750" t="str">
        <x:v>Subscriptions</x:v>
      </x:c>
      <x:c r="G1750" s="18" t="n">
        <x:v>68.1</x:v>
      </x:c>
      <x:c r="H1750" t="n">
        <x:v>0</x:v>
      </x:c>
      <x:c r="I1750" t="n">
        <x:v>0</x:v>
      </x:c>
      <x:c r="J1750" t="n">
        <x:v>0</x:v>
      </x:c>
      <x:c r="K1750" t="n">
        <x:v>0</x:v>
      </x:c>
      <x:c r="L1750" t="n">
        <x:v>10</x:v>
      </x:c>
      <x:c r="M1750" t="n">
        <x:v>0</x:v>
      </x:c>
      <x:c r="N1750" t="str">
        <x:v>Approved</x:v>
      </x:c>
      <x:c r="O1750" t="n">
        <x:v>0</x:v>
      </x:c>
      <x:c r="P1750" t="str">
        <x:f>IF(L1750&gt;=75,"High",IF(L1750&gt;=55,"Medium","Low"))</x:f>
        <x:v>Low</x:v>
      </x:c>
    </x:row>
    <x:row r="1751">
      <x:c r="A1751" t="n">
        <x:v>1750</x:v>
      </x:c>
      <x:c r="B1751" t="n">
        <x:v>10355</x:v>
      </x:c>
      <x:c r="C1751" s="16" t="n">
        <x:v>46177</x:v>
      </x:c>
      <x:c r="D1751" t="str">
        <x:v>02:47:00</x:v>
      </x:c>
      <x:c r="E1751" t="str">
        <x:v>Card</x:v>
      </x:c>
      <x:c r="F1751" t="str">
        <x:v>Transfer</x:v>
      </x:c>
      <x:c r="G1751" s="18" t="n">
        <x:v>68.74</x:v>
      </x:c>
      <x:c r="H1751" t="n">
        <x:v>0</x:v>
      </x:c>
      <x:c r="I1751" t="n">
        <x:v>0</x:v>
      </x:c>
      <x:c r="J1751" t="n">
        <x:v>0</x:v>
      </x:c>
      <x:c r="K1751" t="n">
        <x:v>1</x:v>
      </x:c>
      <x:c r="L1751" t="n">
        <x:v>25</x:v>
      </x:c>
      <x:c r="M1751" t="n">
        <x:v>0</x:v>
      </x:c>
      <x:c r="N1751" t="str">
        <x:v>Approved</x:v>
      </x:c>
      <x:c r="O1751" t="n">
        <x:v>0</x:v>
      </x:c>
      <x:c r="P1751" t="str">
        <x:f>IF(L1751&gt;=75,"High",IF(L1751&gt;=55,"Medium","Low"))</x:f>
        <x:v>Low</x:v>
      </x:c>
    </x:row>
    <x:row r="1752">
      <x:c r="A1752" t="n">
        <x:v>1751</x:v>
      </x:c>
      <x:c r="B1752" t="n">
        <x:v>10151</x:v>
      </x:c>
      <x:c r="C1752" s="16" t="n">
        <x:v>46220</x:v>
      </x:c>
      <x:c r="D1752" t="str">
        <x:v>15:56:00</x:v>
      </x:c>
      <x:c r="E1752" t="str">
        <x:v>P2P</x:v>
      </x:c>
      <x:c r="F1752" t="str">
        <x:v>Utilities</x:v>
      </x:c>
      <x:c r="G1752" s="18" t="n">
        <x:v>123.2</x:v>
      </x:c>
      <x:c r="H1752" t="n">
        <x:v>0</x:v>
      </x:c>
      <x:c r="I1752" t="n">
        <x:v>0</x:v>
      </x:c>
      <x:c r="J1752" t="n">
        <x:v>0</x:v>
      </x:c>
      <x:c r="K1752" t="n">
        <x:v>0</x:v>
      </x:c>
      <x:c r="L1752" t="n">
        <x:v>10</x:v>
      </x:c>
      <x:c r="M1752" t="n">
        <x:v>0</x:v>
      </x:c>
      <x:c r="N1752" t="str">
        <x:v>Declined</x:v>
      </x:c>
      <x:c r="O1752" t="n">
        <x:v>0</x:v>
      </x:c>
      <x:c r="P1752" t="str">
        <x:f>IF(L1752&gt;=75,"High",IF(L1752&gt;=55,"Medium","Low"))</x:f>
        <x:v>Low</x:v>
      </x:c>
    </x:row>
    <x:row r="1753">
      <x:c r="A1753" t="n">
        <x:v>1752</x:v>
      </x:c>
      <x:c r="B1753" t="n">
        <x:v>10343</x:v>
      </x:c>
      <x:c r="C1753" s="16" t="n">
        <x:v>46185</x:v>
      </x:c>
      <x:c r="D1753" t="str">
        <x:v>11:59:00</x:v>
      </x:c>
      <x:c r="E1753" t="str">
        <x:v>Card</x:v>
      </x:c>
      <x:c r="F1753" t="str">
        <x:v>Electronics</x:v>
      </x:c>
      <x:c r="G1753" s="18" t="n">
        <x:v>178.42</x:v>
      </x:c>
      <x:c r="H1753" t="n">
        <x:v>0</x:v>
      </x:c>
      <x:c r="I1753" t="n">
        <x:v>0</x:v>
      </x:c>
      <x:c r="J1753" t="n">
        <x:v>0</x:v>
      </x:c>
      <x:c r="K1753" t="n">
        <x:v>0</x:v>
      </x:c>
      <x:c r="L1753" t="n">
        <x:v>10</x:v>
      </x:c>
      <x:c r="M1753" t="n">
        <x:v>0</x:v>
      </x:c>
      <x:c r="N1753" t="str">
        <x:v>Approved</x:v>
      </x:c>
      <x:c r="O1753" t="n">
        <x:v>0</x:v>
      </x:c>
      <x:c r="P1753" t="str">
        <x:f>IF(L1753&gt;=75,"High",IF(L1753&gt;=55,"Medium","Low"))</x:f>
        <x:v>Low</x:v>
      </x:c>
    </x:row>
    <x:row r="1754">
      <x:c r="A1754" t="n">
        <x:v>1753</x:v>
      </x:c>
      <x:c r="B1754" t="n">
        <x:v>10224</x:v>
      </x:c>
      <x:c r="C1754" s="16" t="n">
        <x:v>46119</x:v>
      </x:c>
      <x:c r="D1754" t="str">
        <x:v>13:48:00</x:v>
      </x:c>
      <x:c r="E1754" t="str">
        <x:v>Card</x:v>
      </x:c>
      <x:c r="F1754" t="str">
        <x:v>Utilities</x:v>
      </x:c>
      <x:c r="G1754" s="18" t="n">
        <x:v>124.52</x:v>
      </x:c>
      <x:c r="H1754" t="n">
        <x:v>1</x:v>
      </x:c>
      <x:c r="I1754" t="n">
        <x:v>1</x:v>
      </x:c>
      <x:c r="J1754" t="n">
        <x:v>0</x:v>
      </x:c>
      <x:c r="K1754" t="n">
        <x:v>0</x:v>
      </x:c>
      <x:c r="L1754" t="n">
        <x:v>56</x:v>
      </x:c>
      <x:c r="M1754" t="n">
        <x:v>1</x:v>
      </x:c>
      <x:c r="N1754" t="str">
        <x:v>Declined</x:v>
      </x:c>
      <x:c r="O1754" t="n">
        <x:v>0</x:v>
      </x:c>
      <x:c r="P1754" t="str">
        <x:f>IF(L1754&gt;=75,"High",IF(L1754&gt;=55,"Medium","Low"))</x:f>
        <x:v>Medium</x:v>
      </x:c>
    </x:row>
    <x:row r="1755">
      <x:c r="A1755" t="n">
        <x:v>1754</x:v>
      </x:c>
      <x:c r="B1755" t="n">
        <x:v>10238</x:v>
      </x:c>
      <x:c r="C1755" s="16" t="n">
        <x:v>46223</x:v>
      </x:c>
      <x:c r="D1755" t="str">
        <x:v>15:00:00</x:v>
      </x:c>
      <x:c r="E1755" t="str">
        <x:v>Bank Transfer</x:v>
      </x:c>
      <x:c r="F1755" t="str">
        <x:v>Utilities</x:v>
      </x:c>
      <x:c r="G1755" s="18" t="n">
        <x:v>309.17</x:v>
      </x:c>
      <x:c r="H1755" t="n">
        <x:v>1</x:v>
      </x:c>
      <x:c r="I1755" t="n">
        <x:v>0</x:v>
      </x:c>
      <x:c r="J1755" t="n">
        <x:v>0</x:v>
      </x:c>
      <x:c r="K1755" t="n">
        <x:v>0</x:v>
      </x:c>
      <x:c r="L1755" t="n">
        <x:v>36</x:v>
      </x:c>
      <x:c r="M1755" t="n">
        <x:v>0</x:v>
      </x:c>
      <x:c r="N1755" t="str">
        <x:v>Approved</x:v>
      </x:c>
      <x:c r="O1755" t="n">
        <x:v>0</x:v>
      </x:c>
      <x:c r="P1755" t="str">
        <x:f>IF(L1755&gt;=75,"High",IF(L1755&gt;=55,"Medium","Low"))</x:f>
        <x:v>Low</x:v>
      </x:c>
    </x:row>
    <x:row r="1756">
      <x:c r="A1756" t="n">
        <x:v>1755</x:v>
      </x:c>
      <x:c r="B1756" t="n">
        <x:v>10131</x:v>
      </x:c>
      <x:c r="C1756" s="16" t="n">
        <x:v>46243</x:v>
      </x:c>
      <x:c r="D1756" t="str">
        <x:v>09:47:00</x:v>
      </x:c>
      <x:c r="E1756" t="str">
        <x:v>Bank Transfer</x:v>
      </x:c>
      <x:c r="F1756" t="str">
        <x:v>Dining</x:v>
      </x:c>
      <x:c r="G1756" s="18" t="n">
        <x:v>107</x:v>
      </x:c>
      <x:c r="H1756" t="n">
        <x:v>1</x:v>
      </x:c>
      <x:c r="I1756" t="n">
        <x:v>1</x:v>
      </x:c>
      <x:c r="J1756" t="n">
        <x:v>0</x:v>
      </x:c>
      <x:c r="K1756" t="n">
        <x:v>0</x:v>
      </x:c>
      <x:c r="L1756" t="n">
        <x:v>56</x:v>
      </x:c>
      <x:c r="M1756" t="n">
        <x:v>1</x:v>
      </x:c>
      <x:c r="N1756" t="str">
        <x:v>Approved</x:v>
      </x:c>
      <x:c r="O1756" t="n">
        <x:v>0</x:v>
      </x:c>
      <x:c r="P1756" t="str">
        <x:f>IF(L1756&gt;=75,"High",IF(L1756&gt;=55,"Medium","Low"))</x:f>
        <x:v>Medium</x:v>
      </x:c>
    </x:row>
    <x:row r="1757">
      <x:c r="A1757" t="n">
        <x:v>1756</x:v>
      </x:c>
      <x:c r="B1757" t="n">
        <x:v>10040</x:v>
      </x:c>
      <x:c r="C1757" s="16" t="n">
        <x:v>46120</x:v>
      </x:c>
      <x:c r="D1757" t="str">
        <x:v>06:20:00</x:v>
      </x:c>
      <x:c r="E1757" t="str">
        <x:v>Card</x:v>
      </x:c>
      <x:c r="F1757" t="str">
        <x:v>Electronics</x:v>
      </x:c>
      <x:c r="G1757" s="18" t="n">
        <x:v>147.83</x:v>
      </x:c>
      <x:c r="H1757" t="n">
        <x:v>1</x:v>
      </x:c>
      <x:c r="I1757" t="n">
        <x:v>0</x:v>
      </x:c>
      <x:c r="J1757" t="n">
        <x:v>0</x:v>
      </x:c>
      <x:c r="K1757" t="n">
        <x:v>0</x:v>
      </x:c>
      <x:c r="L1757" t="n">
        <x:v>36</x:v>
      </x:c>
      <x:c r="M1757" t="n">
        <x:v>0</x:v>
      </x:c>
      <x:c r="N1757" t="str">
        <x:v>Declined</x:v>
      </x:c>
      <x:c r="O1757" t="n">
        <x:v>0</x:v>
      </x:c>
      <x:c r="P1757" t="str">
        <x:f>IF(L1757&gt;=75,"High",IF(L1757&gt;=55,"Medium","Low"))</x:f>
        <x:v>Low</x:v>
      </x:c>
    </x:row>
    <x:row r="1758">
      <x:c r="A1758" t="n">
        <x:v>1757</x:v>
      </x:c>
      <x:c r="B1758" t="n">
        <x:v>10221</x:v>
      </x:c>
      <x:c r="C1758" s="16" t="n">
        <x:v>46198</x:v>
      </x:c>
      <x:c r="D1758" t="str">
        <x:v>22:18:00</x:v>
      </x:c>
      <x:c r="E1758" t="str">
        <x:v>Card</x:v>
      </x:c>
      <x:c r="F1758" t="str">
        <x:v>Utilities</x:v>
      </x:c>
      <x:c r="G1758" s="18" t="n">
        <x:v>26.28</x:v>
      </x:c>
      <x:c r="H1758" t="n">
        <x:v>1</x:v>
      </x:c>
      <x:c r="I1758" t="n">
        <x:v>0</x:v>
      </x:c>
      <x:c r="J1758" t="n">
        <x:v>0</x:v>
      </x:c>
      <x:c r="K1758" t="n">
        <x:v>0</x:v>
      </x:c>
      <x:c r="L1758" t="n">
        <x:v>36</x:v>
      </x:c>
      <x:c r="M1758" t="n">
        <x:v>0</x:v>
      </x:c>
      <x:c r="N1758" t="str">
        <x:v>Approved</x:v>
      </x:c>
      <x:c r="O1758" t="n">
        <x:v>0</x:v>
      </x:c>
      <x:c r="P1758" t="str">
        <x:f>IF(L1758&gt;=75,"High",IF(L1758&gt;=55,"Medium","Low"))</x:f>
        <x:v>Low</x:v>
      </x:c>
    </x:row>
    <x:row r="1759">
      <x:c r="A1759" t="n">
        <x:v>1758</x:v>
      </x:c>
      <x:c r="B1759" t="n">
        <x:v>10039</x:v>
      </x:c>
      <x:c r="C1759" s="16" t="n">
        <x:v>46289</x:v>
      </x:c>
      <x:c r="D1759" t="str">
        <x:v>21:43:00</x:v>
      </x:c>
      <x:c r="E1759" t="str">
        <x:v>Bank Transfer</x:v>
      </x:c>
      <x:c r="F1759" t="str">
        <x:v>Travel</x:v>
      </x:c>
      <x:c r="G1759" s="18" t="n">
        <x:v>124.57</x:v>
      </x:c>
      <x:c r="H1759" t="n">
        <x:v>1</x:v>
      </x:c>
      <x:c r="I1759" t="n">
        <x:v>1</x:v>
      </x:c>
      <x:c r="J1759" t="n">
        <x:v>0</x:v>
      </x:c>
      <x:c r="K1759" t="n">
        <x:v>0</x:v>
      </x:c>
      <x:c r="L1759" t="n">
        <x:v>56</x:v>
      </x:c>
      <x:c r="M1759" t="n">
        <x:v>1</x:v>
      </x:c>
      <x:c r="N1759" t="str">
        <x:v>Approved</x:v>
      </x:c>
      <x:c r="O1759" t="n">
        <x:v>0</x:v>
      </x:c>
      <x:c r="P1759" t="str">
        <x:f>IF(L1759&gt;=75,"High",IF(L1759&gt;=55,"Medium","Low"))</x:f>
        <x:v>Medium</x:v>
      </x:c>
    </x:row>
    <x:row r="1760">
      <x:c r="A1760" t="n">
        <x:v>1759</x:v>
      </x:c>
      <x:c r="B1760" t="n">
        <x:v>10285</x:v>
      </x:c>
      <x:c r="C1760" s="16" t="n">
        <x:v>46200</x:v>
      </x:c>
      <x:c r="D1760" t="str">
        <x:v>19:33:00</x:v>
      </x:c>
      <x:c r="E1760" t="str">
        <x:v>Bank Transfer</x:v>
      </x:c>
      <x:c r="F1760" t="str">
        <x:v>Travel</x:v>
      </x:c>
      <x:c r="G1760" s="18" t="n">
        <x:v>88.77</x:v>
      </x:c>
      <x:c r="H1760" t="n">
        <x:v>0</x:v>
      </x:c>
      <x:c r="I1760" t="n">
        <x:v>0</x:v>
      </x:c>
      <x:c r="J1760" t="n">
        <x:v>0</x:v>
      </x:c>
      <x:c r="K1760" t="n">
        <x:v>0</x:v>
      </x:c>
      <x:c r="L1760" t="n">
        <x:v>10</x:v>
      </x:c>
      <x:c r="M1760" t="n">
        <x:v>0</x:v>
      </x:c>
      <x:c r="N1760" t="str">
        <x:v>Approved</x:v>
      </x:c>
      <x:c r="O1760" t="n">
        <x:v>0</x:v>
      </x:c>
      <x:c r="P1760" t="str">
        <x:f>IF(L1760&gt;=75,"High",IF(L1760&gt;=55,"Medium","Low"))</x:f>
        <x:v>Low</x:v>
      </x:c>
    </x:row>
    <x:row r="1761">
      <x:c r="A1761" t="n">
        <x:v>1760</x:v>
      </x:c>
      <x:c r="B1761" t="n">
        <x:v>10141</x:v>
      </x:c>
      <x:c r="C1761" s="16" t="n">
        <x:v>46163</x:v>
      </x:c>
      <x:c r="D1761" t="str">
        <x:v>04:55:00</x:v>
      </x:c>
      <x:c r="E1761" t="str">
        <x:v>Card</x:v>
      </x:c>
      <x:c r="F1761" t="str">
        <x:v>Dining</x:v>
      </x:c>
      <x:c r="G1761" s="18" t="n">
        <x:v>183.05</x:v>
      </x:c>
      <x:c r="H1761" t="n">
        <x:v>0</x:v>
      </x:c>
      <x:c r="I1761" t="n">
        <x:v>0</x:v>
      </x:c>
      <x:c r="J1761" t="n">
        <x:v>0</x:v>
      </x:c>
      <x:c r="K1761" t="n">
        <x:v>1</x:v>
      </x:c>
      <x:c r="L1761" t="n">
        <x:v>25</x:v>
      </x:c>
      <x:c r="M1761" t="n">
        <x:v>0</x:v>
      </x:c>
      <x:c r="N1761" t="str">
        <x:v>Approved</x:v>
      </x:c>
      <x:c r="O1761" t="n">
        <x:v>0</x:v>
      </x:c>
      <x:c r="P1761" t="str">
        <x:f>IF(L1761&gt;=75,"High",IF(L1761&gt;=55,"Medium","Low"))</x:f>
        <x:v>Low</x:v>
      </x:c>
    </x:row>
    <x:row r="1762">
      <x:c r="A1762" t="n">
        <x:v>1761</x:v>
      </x:c>
      <x:c r="B1762" t="n">
        <x:v>10230</x:v>
      </x:c>
      <x:c r="C1762" s="16" t="n">
        <x:v>46232</x:v>
      </x:c>
      <x:c r="D1762" t="str">
        <x:v>01:18:00</x:v>
      </x:c>
      <x:c r="E1762" t="str">
        <x:v>Card</x:v>
      </x:c>
      <x:c r="F1762" t="str">
        <x:v>Transfer</x:v>
      </x:c>
      <x:c r="G1762" s="18" t="n">
        <x:v>40.37</x:v>
      </x:c>
      <x:c r="H1762" t="n">
        <x:v>0</x:v>
      </x:c>
      <x:c r="I1762" t="n">
        <x:v>0</x:v>
      </x:c>
      <x:c r="J1762" t="n">
        <x:v>0</x:v>
      </x:c>
      <x:c r="K1762" t="n">
        <x:v>1</x:v>
      </x:c>
      <x:c r="L1762" t="n">
        <x:v>25</x:v>
      </x:c>
      <x:c r="M1762" t="n">
        <x:v>0</x:v>
      </x:c>
      <x:c r="N1762" t="str">
        <x:v>Approved</x:v>
      </x:c>
      <x:c r="O1762" t="n">
        <x:v>0</x:v>
      </x:c>
      <x:c r="P1762" t="str">
        <x:f>IF(L1762&gt;=75,"High",IF(L1762&gt;=55,"Medium","Low"))</x:f>
        <x:v>Low</x:v>
      </x:c>
    </x:row>
    <x:row r="1763">
      <x:c r="A1763" t="n">
        <x:v>1762</x:v>
      </x:c>
      <x:c r="B1763" t="n">
        <x:v>10219</x:v>
      </x:c>
      <x:c r="C1763" s="16" t="n">
        <x:v>46284</x:v>
      </x:c>
      <x:c r="D1763" t="str">
        <x:v>09:24:00</x:v>
      </x:c>
      <x:c r="E1763" t="str">
        <x:v>Card</x:v>
      </x:c>
      <x:c r="F1763" t="str">
        <x:v>Transfer</x:v>
      </x:c>
      <x:c r="G1763" s="18" t="n">
        <x:v>17.09</x:v>
      </x:c>
      <x:c r="H1763" t="n">
        <x:v>0</x:v>
      </x:c>
      <x:c r="I1763" t="n">
        <x:v>0</x:v>
      </x:c>
      <x:c r="J1763" t="n">
        <x:v>0</x:v>
      </x:c>
      <x:c r="K1763" t="n">
        <x:v>0</x:v>
      </x:c>
      <x:c r="L1763" t="n">
        <x:v>10</x:v>
      </x:c>
      <x:c r="M1763" t="n">
        <x:v>0</x:v>
      </x:c>
      <x:c r="N1763" t="str">
        <x:v>Approved</x:v>
      </x:c>
      <x:c r="O1763" t="n">
        <x:v>1</x:v>
      </x:c>
      <x:c r="P1763" t="str">
        <x:f>IF(L1763&gt;=75,"High",IF(L1763&gt;=55,"Medium","Low"))</x:f>
        <x:v>Low</x:v>
      </x:c>
    </x:row>
    <x:row r="1764">
      <x:c r="A1764" t="n">
        <x:v>1763</x:v>
      </x:c>
      <x:c r="B1764" t="n">
        <x:v>10340</x:v>
      </x:c>
      <x:c r="C1764" s="16" t="n">
        <x:v>46292</x:v>
      </x:c>
      <x:c r="D1764" t="str">
        <x:v>04:29:00</x:v>
      </x:c>
      <x:c r="E1764" t="str">
        <x:v>Bank Transfer</x:v>
      </x:c>
      <x:c r="F1764" t="str">
        <x:v>Utilities</x:v>
      </x:c>
      <x:c r="G1764" s="18" t="n">
        <x:v>45.52</x:v>
      </x:c>
      <x:c r="H1764" t="n">
        <x:v>0</x:v>
      </x:c>
      <x:c r="I1764" t="n">
        <x:v>0</x:v>
      </x:c>
      <x:c r="J1764" t="n">
        <x:v>0</x:v>
      </x:c>
      <x:c r="K1764" t="n">
        <x:v>1</x:v>
      </x:c>
      <x:c r="L1764" t="n">
        <x:v>25</x:v>
      </x:c>
      <x:c r="M1764" t="n">
        <x:v>0</x:v>
      </x:c>
      <x:c r="N1764" t="str">
        <x:v>Approved</x:v>
      </x:c>
      <x:c r="O1764" t="n">
        <x:v>0</x:v>
      </x:c>
      <x:c r="P1764" t="str">
        <x:f>IF(L1764&gt;=75,"High",IF(L1764&gt;=55,"Medium","Low"))</x:f>
        <x:v>Low</x:v>
      </x:c>
    </x:row>
    <x:row r="1765">
      <x:c r="A1765" t="n">
        <x:v>1764</x:v>
      </x:c>
      <x:c r="B1765" t="n">
        <x:v>10307</x:v>
      </x:c>
      <x:c r="C1765" s="16" t="n">
        <x:v>46274</x:v>
      </x:c>
      <x:c r="D1765" t="str">
        <x:v>16:48:00</x:v>
      </x:c>
      <x:c r="E1765" t="str">
        <x:v>Bank Transfer</x:v>
      </x:c>
      <x:c r="F1765" t="str">
        <x:v>Travel</x:v>
      </x:c>
      <x:c r="G1765" s="18" t="n">
        <x:v>51.48</x:v>
      </x:c>
      <x:c r="H1765" t="n">
        <x:v>0</x:v>
      </x:c>
      <x:c r="I1765" t="n">
        <x:v>0</x:v>
      </x:c>
      <x:c r="J1765" t="n">
        <x:v>0</x:v>
      </x:c>
      <x:c r="K1765" t="n">
        <x:v>0</x:v>
      </x:c>
      <x:c r="L1765" t="n">
        <x:v>10</x:v>
      </x:c>
      <x:c r="M1765" t="n">
        <x:v>0</x:v>
      </x:c>
      <x:c r="N1765" t="str">
        <x:v>Declined</x:v>
      </x:c>
      <x:c r="O1765" t="n">
        <x:v>0</x:v>
      </x:c>
      <x:c r="P1765" t="str">
        <x:f>IF(L1765&gt;=75,"High",IF(L1765&gt;=55,"Medium","Low"))</x:f>
        <x:v>Low</x:v>
      </x:c>
    </x:row>
    <x:row r="1766">
      <x:c r="A1766" t="n">
        <x:v>1765</x:v>
      </x:c>
      <x:c r="B1766" t="n">
        <x:v>10337</x:v>
      </x:c>
      <x:c r="C1766" s="16" t="n">
        <x:v>46292</x:v>
      </x:c>
      <x:c r="D1766" t="str">
        <x:v>14:58:00</x:v>
      </x:c>
      <x:c r="E1766" t="str">
        <x:v>Card</x:v>
      </x:c>
      <x:c r="F1766" t="str">
        <x:v>Retail</x:v>
      </x:c>
      <x:c r="G1766" s="18" t="n">
        <x:v>297.84</x:v>
      </x:c>
      <x:c r="H1766" t="n">
        <x:v>0</x:v>
      </x:c>
      <x:c r="I1766" t="n">
        <x:v>0</x:v>
      </x:c>
      <x:c r="J1766" t="n">
        <x:v>0</x:v>
      </x:c>
      <x:c r="K1766" t="n">
        <x:v>0</x:v>
      </x:c>
      <x:c r="L1766" t="n">
        <x:v>10</x:v>
      </x:c>
      <x:c r="M1766" t="n">
        <x:v>0</x:v>
      </x:c>
      <x:c r="N1766" t="str">
        <x:v>Approved</x:v>
      </x:c>
      <x:c r="O1766" t="n">
        <x:v>0</x:v>
      </x:c>
      <x:c r="P1766" t="str">
        <x:f>IF(L1766&gt;=75,"High",IF(L1766&gt;=55,"Medium","Low"))</x:f>
        <x:v>Low</x:v>
      </x:c>
    </x:row>
    <x:row r="1767">
      <x:c r="A1767" t="n">
        <x:v>1766</x:v>
      </x:c>
      <x:c r="B1767" t="n">
        <x:v>10034</x:v>
      </x:c>
      <x:c r="C1767" s="16" t="n">
        <x:v>46287</x:v>
      </x:c>
      <x:c r="D1767" t="str">
        <x:v>06:39:00</x:v>
      </x:c>
      <x:c r="E1767" t="str">
        <x:v>Card</x:v>
      </x:c>
      <x:c r="F1767" t="str">
        <x:v>Utilities</x:v>
      </x:c>
      <x:c r="G1767" s="18" t="n">
        <x:v>495.63</x:v>
      </x:c>
      <x:c r="H1767" t="n">
        <x:v>0</x:v>
      </x:c>
      <x:c r="I1767" t="n">
        <x:v>0</x:v>
      </x:c>
      <x:c r="J1767" t="n">
        <x:v>0</x:v>
      </x:c>
      <x:c r="K1767" t="n">
        <x:v>0</x:v>
      </x:c>
      <x:c r="L1767" t="n">
        <x:v>10</x:v>
      </x:c>
      <x:c r="M1767" t="n">
        <x:v>0</x:v>
      </x:c>
      <x:c r="N1767" t="str">
        <x:v>Approved</x:v>
      </x:c>
      <x:c r="O1767" t="n">
        <x:v>0</x:v>
      </x:c>
      <x:c r="P1767" t="str">
        <x:f>IF(L1767&gt;=75,"High",IF(L1767&gt;=55,"Medium","Low"))</x:f>
        <x:v>Low</x:v>
      </x:c>
    </x:row>
    <x:row r="1768">
      <x:c r="A1768" t="n">
        <x:v>1767</x:v>
      </x:c>
      <x:c r="B1768" t="n">
        <x:v>10293</x:v>
      </x:c>
      <x:c r="C1768" s="16" t="n">
        <x:v>46203</x:v>
      </x:c>
      <x:c r="D1768" t="str">
        <x:v>11:51:00</x:v>
      </x:c>
      <x:c r="E1768" t="str">
        <x:v>Bank Transfer</x:v>
      </x:c>
      <x:c r="F1768" t="str">
        <x:v>Dining</x:v>
      </x:c>
      <x:c r="G1768" s="18" t="n">
        <x:v>32.41</x:v>
      </x:c>
      <x:c r="H1768" t="n">
        <x:v>0</x:v>
      </x:c>
      <x:c r="I1768" t="n">
        <x:v>0</x:v>
      </x:c>
      <x:c r="J1768" t="n">
        <x:v>0</x:v>
      </x:c>
      <x:c r="K1768" t="n">
        <x:v>0</x:v>
      </x:c>
      <x:c r="L1768" t="n">
        <x:v>10</x:v>
      </x:c>
      <x:c r="M1768" t="n">
        <x:v>0</x:v>
      </x:c>
      <x:c r="N1768" t="str">
        <x:v>Declined</x:v>
      </x:c>
      <x:c r="O1768" t="n">
        <x:v>0</x:v>
      </x:c>
      <x:c r="P1768" t="str">
        <x:f>IF(L1768&gt;=75,"High",IF(L1768&gt;=55,"Medium","Low"))</x:f>
        <x:v>Low</x:v>
      </x:c>
    </x:row>
    <x:row r="1769">
      <x:c r="A1769" t="n">
        <x:v>1768</x:v>
      </x:c>
      <x:c r="B1769" t="n">
        <x:v>10306</x:v>
      </x:c>
      <x:c r="C1769" s="16" t="n">
        <x:v>46183</x:v>
      </x:c>
      <x:c r="D1769" t="str">
        <x:v>12:46:00</x:v>
      </x:c>
      <x:c r="E1769" t="str">
        <x:v>Card</x:v>
      </x:c>
      <x:c r="F1769" t="str">
        <x:v>Retail</x:v>
      </x:c>
      <x:c r="G1769" s="18" t="n">
        <x:v>58.28</x:v>
      </x:c>
      <x:c r="H1769" t="n">
        <x:v>1</x:v>
      </x:c>
      <x:c r="I1769" t="n">
        <x:v>0</x:v>
      </x:c>
      <x:c r="J1769" t="n">
        <x:v>0</x:v>
      </x:c>
      <x:c r="K1769" t="n">
        <x:v>0</x:v>
      </x:c>
      <x:c r="L1769" t="n">
        <x:v>36</x:v>
      </x:c>
      <x:c r="M1769" t="n">
        <x:v>0</x:v>
      </x:c>
      <x:c r="N1769" t="str">
        <x:v>Approved</x:v>
      </x:c>
      <x:c r="O1769" t="n">
        <x:v>0</x:v>
      </x:c>
      <x:c r="P1769" t="str">
        <x:f>IF(L1769&gt;=75,"High",IF(L1769&gt;=55,"Medium","Low"))</x:f>
        <x:v>Low</x:v>
      </x:c>
    </x:row>
    <x:row r="1770">
      <x:c r="A1770" t="n">
        <x:v>1769</x:v>
      </x:c>
      <x:c r="B1770" t="n">
        <x:v>10179</x:v>
      </x:c>
      <x:c r="C1770" s="16" t="n">
        <x:v>46167</x:v>
      </x:c>
      <x:c r="D1770" t="str">
        <x:v>20:15:00</x:v>
      </x:c>
      <x:c r="E1770" t="str">
        <x:v>Card</x:v>
      </x:c>
      <x:c r="F1770" t="str">
        <x:v>Retail</x:v>
      </x:c>
      <x:c r="G1770" s="18" t="n">
        <x:v>88.23</x:v>
      </x:c>
      <x:c r="H1770" t="n">
        <x:v>0</x:v>
      </x:c>
      <x:c r="I1770" t="n">
        <x:v>0</x:v>
      </x:c>
      <x:c r="J1770" t="n">
        <x:v>0</x:v>
      </x:c>
      <x:c r="K1770" t="n">
        <x:v>0</x:v>
      </x:c>
      <x:c r="L1770" t="n">
        <x:v>10</x:v>
      </x:c>
      <x:c r="M1770" t="n">
        <x:v>0</x:v>
      </x:c>
      <x:c r="N1770" t="str">
        <x:v>Approved</x:v>
      </x:c>
      <x:c r="O1770" t="n">
        <x:v>0</x:v>
      </x:c>
      <x:c r="P1770" t="str">
        <x:f>IF(L1770&gt;=75,"High",IF(L1770&gt;=55,"Medium","Low"))</x:f>
        <x:v>Low</x:v>
      </x:c>
    </x:row>
    <x:row r="1771">
      <x:c r="A1771" t="n">
        <x:v>1770</x:v>
      </x:c>
      <x:c r="B1771" t="n">
        <x:v>10027</x:v>
      </x:c>
      <x:c r="C1771" s="16" t="n">
        <x:v>46274</x:v>
      </x:c>
      <x:c r="D1771" t="str">
        <x:v>11:43:00</x:v>
      </x:c>
      <x:c r="E1771" t="str">
        <x:v>Card</x:v>
      </x:c>
      <x:c r="F1771" t="str">
        <x:v>Retail</x:v>
      </x:c>
      <x:c r="G1771" s="18" t="n">
        <x:v>79.31</x:v>
      </x:c>
      <x:c r="H1771" t="n">
        <x:v>1</x:v>
      </x:c>
      <x:c r="I1771" t="n">
        <x:v>0</x:v>
      </x:c>
      <x:c r="J1771" t="n">
        <x:v>0</x:v>
      </x:c>
      <x:c r="K1771" t="n">
        <x:v>0</x:v>
      </x:c>
      <x:c r="L1771" t="n">
        <x:v>36</x:v>
      </x:c>
      <x:c r="M1771" t="n">
        <x:v>0</x:v>
      </x:c>
      <x:c r="N1771" t="str">
        <x:v>Declined</x:v>
      </x:c>
      <x:c r="O1771" t="n">
        <x:v>0</x:v>
      </x:c>
      <x:c r="P1771" t="str">
        <x:f>IF(L1771&gt;=75,"High",IF(L1771&gt;=55,"Medium","Low"))</x:f>
        <x:v>Low</x:v>
      </x:c>
    </x:row>
    <x:row r="1772">
      <x:c r="A1772" t="n">
        <x:v>1771</x:v>
      </x:c>
      <x:c r="B1772" t="n">
        <x:v>10152</x:v>
      </x:c>
      <x:c r="C1772" s="16" t="n">
        <x:v>46180</x:v>
      </x:c>
      <x:c r="D1772" t="str">
        <x:v>07:47:00</x:v>
      </x:c>
      <x:c r="E1772" t="str">
        <x:v>Card</x:v>
      </x:c>
      <x:c r="F1772" t="str">
        <x:v>Transfer</x:v>
      </x:c>
      <x:c r="G1772" s="18" t="n">
        <x:v>15.23</x:v>
      </x:c>
      <x:c r="H1772" t="n">
        <x:v>0</x:v>
      </x:c>
      <x:c r="I1772" t="n">
        <x:v>0</x:v>
      </x:c>
      <x:c r="J1772" t="n">
        <x:v>0</x:v>
      </x:c>
      <x:c r="K1772" t="n">
        <x:v>0</x:v>
      </x:c>
      <x:c r="L1772" t="n">
        <x:v>10</x:v>
      </x:c>
      <x:c r="M1772" t="n">
        <x:v>0</x:v>
      </x:c>
      <x:c r="N1772" t="str">
        <x:v>Approved</x:v>
      </x:c>
      <x:c r="O1772" t="n">
        <x:v>0</x:v>
      </x:c>
      <x:c r="P1772" t="str">
        <x:f>IF(L1772&gt;=75,"High",IF(L1772&gt;=55,"Medium","Low"))</x:f>
        <x:v>Low</x:v>
      </x:c>
    </x:row>
    <x:row r="1773">
      <x:c r="A1773" t="n">
        <x:v>1772</x:v>
      </x:c>
      <x:c r="B1773" t="n">
        <x:v>10172</x:v>
      </x:c>
      <x:c r="C1773" s="16" t="n">
        <x:v>46227</x:v>
      </x:c>
      <x:c r="D1773" t="str">
        <x:v>01:01:00</x:v>
      </x:c>
      <x:c r="E1773" t="str">
        <x:v>Card</x:v>
      </x:c>
      <x:c r="F1773" t="str">
        <x:v>Subscriptions</x:v>
      </x:c>
      <x:c r="G1773" s="18" t="n">
        <x:v>23.01</x:v>
      </x:c>
      <x:c r="H1773" t="n">
        <x:v>0</x:v>
      </x:c>
      <x:c r="I1773" t="n">
        <x:v>0</x:v>
      </x:c>
      <x:c r="J1773" t="n">
        <x:v>0</x:v>
      </x:c>
      <x:c r="K1773" t="n">
        <x:v>1</x:v>
      </x:c>
      <x:c r="L1773" t="n">
        <x:v>25</x:v>
      </x:c>
      <x:c r="M1773" t="n">
        <x:v>0</x:v>
      </x:c>
      <x:c r="N1773" t="str">
        <x:v>Approved</x:v>
      </x:c>
      <x:c r="O1773" t="n">
        <x:v>0</x:v>
      </x:c>
      <x:c r="P1773" t="str">
        <x:f>IF(L1773&gt;=75,"High",IF(L1773&gt;=55,"Medium","Low"))</x:f>
        <x:v>Low</x:v>
      </x:c>
    </x:row>
    <x:row r="1774">
      <x:c r="A1774" t="n">
        <x:v>1773</x:v>
      </x:c>
      <x:c r="B1774" t="n">
        <x:v>10231</x:v>
      </x:c>
      <x:c r="C1774" s="16" t="n">
        <x:v>46156</x:v>
      </x:c>
      <x:c r="D1774" t="str">
        <x:v>06:11:00</x:v>
      </x:c>
      <x:c r="E1774" t="str">
        <x:v>Card</x:v>
      </x:c>
      <x:c r="F1774" t="str">
        <x:v>Subscriptions</x:v>
      </x:c>
      <x:c r="G1774" s="18" t="n">
        <x:v>69.18</x:v>
      </x:c>
      <x:c r="H1774" t="n">
        <x:v>0</x:v>
      </x:c>
      <x:c r="I1774" t="n">
        <x:v>0</x:v>
      </x:c>
      <x:c r="J1774" t="n">
        <x:v>0</x:v>
      </x:c>
      <x:c r="K1774" t="n">
        <x:v>0</x:v>
      </x:c>
      <x:c r="L1774" t="n">
        <x:v>10</x:v>
      </x:c>
      <x:c r="M1774" t="n">
        <x:v>0</x:v>
      </x:c>
      <x:c r="N1774" t="str">
        <x:v>Approved</x:v>
      </x:c>
      <x:c r="O1774" t="n">
        <x:v>0</x:v>
      </x:c>
      <x:c r="P1774" t="str">
        <x:f>IF(L1774&gt;=75,"High",IF(L1774&gt;=55,"Medium","Low"))</x:f>
        <x:v>Low</x:v>
      </x:c>
    </x:row>
    <x:row r="1775">
      <x:c r="A1775" t="n">
        <x:v>1774</x:v>
      </x:c>
      <x:c r="B1775" t="n">
        <x:v>10233</x:v>
      </x:c>
      <x:c r="C1775" s="16" t="n">
        <x:v>46194</x:v>
      </x:c>
      <x:c r="D1775" t="str">
        <x:v>09:23:00</x:v>
      </x:c>
      <x:c r="E1775" t="str">
        <x:v>P2P</x:v>
      </x:c>
      <x:c r="F1775" t="str">
        <x:v>Subscriptions</x:v>
      </x:c>
      <x:c r="G1775" s="18" t="n">
        <x:v>121.96</x:v>
      </x:c>
      <x:c r="H1775" t="n">
        <x:v>0</x:v>
      </x:c>
      <x:c r="I1775" t="n">
        <x:v>0</x:v>
      </x:c>
      <x:c r="J1775" t="n">
        <x:v>0</x:v>
      </x:c>
      <x:c r="K1775" t="n">
        <x:v>0</x:v>
      </x:c>
      <x:c r="L1775" t="n">
        <x:v>10</x:v>
      </x:c>
      <x:c r="M1775" t="n">
        <x:v>0</x:v>
      </x:c>
      <x:c r="N1775" t="str">
        <x:v>Approved</x:v>
      </x:c>
      <x:c r="O1775" t="n">
        <x:v>0</x:v>
      </x:c>
      <x:c r="P1775" t="str">
        <x:f>IF(L1775&gt;=75,"High",IF(L1775&gt;=55,"Medium","Low"))</x:f>
        <x:v>Low</x:v>
      </x:c>
    </x:row>
    <x:row r="1776">
      <x:c r="A1776" t="n">
        <x:v>1775</x:v>
      </x:c>
      <x:c r="B1776" t="n">
        <x:v>10215</x:v>
      </x:c>
      <x:c r="C1776" s="16" t="n">
        <x:v>46255</x:v>
      </x:c>
      <x:c r="D1776" t="str">
        <x:v>19:42:00</x:v>
      </x:c>
      <x:c r="E1776" t="str">
        <x:v>Card</x:v>
      </x:c>
      <x:c r="F1776" t="str">
        <x:v>Retail</x:v>
      </x:c>
      <x:c r="G1776" s="18" t="n">
        <x:v>30.52</x:v>
      </x:c>
      <x:c r="H1776" t="n">
        <x:v>1</x:v>
      </x:c>
      <x:c r="I1776" t="n">
        <x:v>0</x:v>
      </x:c>
      <x:c r="J1776" t="n">
        <x:v>0</x:v>
      </x:c>
      <x:c r="K1776" t="n">
        <x:v>0</x:v>
      </x:c>
      <x:c r="L1776" t="n">
        <x:v>36</x:v>
      </x:c>
      <x:c r="M1776" t="n">
        <x:v>0</x:v>
      </x:c>
      <x:c r="N1776" t="str">
        <x:v>Approved</x:v>
      </x:c>
      <x:c r="O1776" t="n">
        <x:v>0</x:v>
      </x:c>
      <x:c r="P1776" t="str">
        <x:f>IF(L1776&gt;=75,"High",IF(L1776&gt;=55,"Medium","Low"))</x:f>
        <x:v>Low</x:v>
      </x:c>
    </x:row>
    <x:row r="1777">
      <x:c r="A1777" t="n">
        <x:v>1776</x:v>
      </x:c>
      <x:c r="B1777" t="n">
        <x:v>10002</x:v>
      </x:c>
      <x:c r="C1777" s="16" t="n">
        <x:v>46154</x:v>
      </x:c>
      <x:c r="D1777" t="str">
        <x:v>15:56:00</x:v>
      </x:c>
      <x:c r="E1777" t="str">
        <x:v>Card</x:v>
      </x:c>
      <x:c r="F1777" t="str">
        <x:v>Dining</x:v>
      </x:c>
      <x:c r="G1777" s="18" t="n">
        <x:v>167.52</x:v>
      </x:c>
      <x:c r="H1777" t="n">
        <x:v>0</x:v>
      </x:c>
      <x:c r="I1777" t="n">
        <x:v>0</x:v>
      </x:c>
      <x:c r="J1777" t="n">
        <x:v>0</x:v>
      </x:c>
      <x:c r="K1777" t="n">
        <x:v>0</x:v>
      </x:c>
      <x:c r="L1777" t="n">
        <x:v>10</x:v>
      </x:c>
      <x:c r="M1777" t="n">
        <x:v>0</x:v>
      </x:c>
      <x:c r="N1777" t="str">
        <x:v>Approved</x:v>
      </x:c>
      <x:c r="O1777" t="n">
        <x:v>0</x:v>
      </x:c>
      <x:c r="P1777" t="str">
        <x:f>IF(L1777&gt;=75,"High",IF(L1777&gt;=55,"Medium","Low"))</x:f>
        <x:v>Low</x:v>
      </x:c>
    </x:row>
    <x:row r="1778">
      <x:c r="A1778" t="n">
        <x:v>1777</x:v>
      </x:c>
      <x:c r="B1778" t="n">
        <x:v>10068</x:v>
      </x:c>
      <x:c r="C1778" s="16" t="n">
        <x:v>46181</x:v>
      </x:c>
      <x:c r="D1778" t="str">
        <x:v>12:08:00</x:v>
      </x:c>
      <x:c r="E1778" t="str">
        <x:v>Bank Transfer</x:v>
      </x:c>
      <x:c r="F1778" t="str">
        <x:v>Subscriptions</x:v>
      </x:c>
      <x:c r="G1778" s="18" t="n">
        <x:v>425.83</x:v>
      </x:c>
      <x:c r="H1778" t="n">
        <x:v>0</x:v>
      </x:c>
      <x:c r="I1778" t="n">
        <x:v>0</x:v>
      </x:c>
      <x:c r="J1778" t="n">
        <x:v>0</x:v>
      </x:c>
      <x:c r="K1778" t="n">
        <x:v>0</x:v>
      </x:c>
      <x:c r="L1778" t="n">
        <x:v>10</x:v>
      </x:c>
      <x:c r="M1778" t="n">
        <x:v>0</x:v>
      </x:c>
      <x:c r="N1778" t="str">
        <x:v>Approved</x:v>
      </x:c>
      <x:c r="O1778" t="n">
        <x:v>0</x:v>
      </x:c>
      <x:c r="P1778" t="str">
        <x:f>IF(L1778&gt;=75,"High",IF(L1778&gt;=55,"Medium","Low"))</x:f>
        <x:v>Low</x:v>
      </x:c>
    </x:row>
    <x:row r="1779">
      <x:c r="A1779" t="n">
        <x:v>1778</x:v>
      </x:c>
      <x:c r="B1779" t="n">
        <x:v>10050</x:v>
      </x:c>
      <x:c r="C1779" s="16" t="n">
        <x:v>46245</x:v>
      </x:c>
      <x:c r="D1779" t="str">
        <x:v>02:43:00</x:v>
      </x:c>
      <x:c r="E1779" t="str">
        <x:v>Card</x:v>
      </x:c>
      <x:c r="F1779" t="str">
        <x:v>Subscriptions</x:v>
      </x:c>
      <x:c r="G1779" s="18" t="n">
        <x:v>73.23</x:v>
      </x:c>
      <x:c r="H1779" t="n">
        <x:v>1</x:v>
      </x:c>
      <x:c r="I1779" t="n">
        <x:v>0</x:v>
      </x:c>
      <x:c r="J1779" t="n">
        <x:v>0</x:v>
      </x:c>
      <x:c r="K1779" t="n">
        <x:v>1</x:v>
      </x:c>
      <x:c r="L1779" t="n">
        <x:v>51</x:v>
      </x:c>
      <x:c r="M1779" t="n">
        <x:v>0</x:v>
      </x:c>
      <x:c r="N1779" t="str">
        <x:v>Approved</x:v>
      </x:c>
      <x:c r="O1779" t="n">
        <x:v>0</x:v>
      </x:c>
      <x:c r="P1779" t="str">
        <x:f>IF(L1779&gt;=75,"High",IF(L1779&gt;=55,"Medium","Low"))</x:f>
        <x:v>Low</x:v>
      </x:c>
    </x:row>
    <x:row r="1780">
      <x:c r="A1780" t="n">
        <x:v>1779</x:v>
      </x:c>
      <x:c r="B1780" t="n">
        <x:v>10297</x:v>
      </x:c>
      <x:c r="C1780" s="16" t="n">
        <x:v>46159</x:v>
      </x:c>
      <x:c r="D1780" t="str">
        <x:v>05:16:00</x:v>
      </x:c>
      <x:c r="E1780" t="str">
        <x:v>Bank Transfer</x:v>
      </x:c>
      <x:c r="F1780" t="str">
        <x:v>Travel</x:v>
      </x:c>
      <x:c r="G1780" s="18" t="n">
        <x:v>151.97</x:v>
      </x:c>
      <x:c r="H1780" t="n">
        <x:v>0</x:v>
      </x:c>
      <x:c r="I1780" t="n">
        <x:v>1</x:v>
      </x:c>
      <x:c r="J1780" t="n">
        <x:v>0</x:v>
      </x:c>
      <x:c r="K1780" t="n">
        <x:v>0</x:v>
      </x:c>
      <x:c r="L1780" t="n">
        <x:v>30</x:v>
      </x:c>
      <x:c r="M1780" t="n">
        <x:v>0</x:v>
      </x:c>
      <x:c r="N1780" t="str">
        <x:v>Approved</x:v>
      </x:c>
      <x:c r="O1780" t="n">
        <x:v>0</x:v>
      </x:c>
      <x:c r="P1780" t="str">
        <x:f>IF(L1780&gt;=75,"High",IF(L1780&gt;=55,"Medium","Low"))</x:f>
        <x:v>Low</x:v>
      </x:c>
    </x:row>
    <x:row r="1781">
      <x:c r="A1781" t="n">
        <x:v>1780</x:v>
      </x:c>
      <x:c r="B1781" t="n">
        <x:v>10019</x:v>
      </x:c>
      <x:c r="C1781" s="16" t="n">
        <x:v>46126</x:v>
      </x:c>
      <x:c r="D1781" t="str">
        <x:v>21:34:00</x:v>
      </x:c>
      <x:c r="E1781" t="str">
        <x:v>Bank Transfer</x:v>
      </x:c>
      <x:c r="F1781" t="str">
        <x:v>Transfer</x:v>
      </x:c>
      <x:c r="G1781" s="18" t="n">
        <x:v>17.46</x:v>
      </x:c>
      <x:c r="H1781" t="n">
        <x:v>0</x:v>
      </x:c>
      <x:c r="I1781" t="n">
        <x:v>1</x:v>
      </x:c>
      <x:c r="J1781" t="n">
        <x:v>0</x:v>
      </x:c>
      <x:c r="K1781" t="n">
        <x:v>0</x:v>
      </x:c>
      <x:c r="L1781" t="n">
        <x:v>30</x:v>
      </x:c>
      <x:c r="M1781" t="n">
        <x:v>0</x:v>
      </x:c>
      <x:c r="N1781" t="str">
        <x:v>Approved</x:v>
      </x:c>
      <x:c r="O1781" t="n">
        <x:v>0</x:v>
      </x:c>
      <x:c r="P1781" t="str">
        <x:f>IF(L1781&gt;=75,"High",IF(L1781&gt;=55,"Medium","Low"))</x:f>
        <x:v>Low</x:v>
      </x:c>
    </x:row>
    <x:row r="1782">
      <x:c r="A1782" t="n">
        <x:v>1781</x:v>
      </x:c>
      <x:c r="B1782" t="n">
        <x:v>10070</x:v>
      </x:c>
      <x:c r="C1782" s="16" t="n">
        <x:v>46137</x:v>
      </x:c>
      <x:c r="D1782" t="str">
        <x:v>00:13:00</x:v>
      </x:c>
      <x:c r="E1782" t="str">
        <x:v>Bank Transfer</x:v>
      </x:c>
      <x:c r="F1782" t="str">
        <x:v>Subscriptions</x:v>
      </x:c>
      <x:c r="G1782" s="18" t="n">
        <x:v>71.22</x:v>
      </x:c>
      <x:c r="H1782" t="n">
        <x:v>0</x:v>
      </x:c>
      <x:c r="I1782" t="n">
        <x:v>0</x:v>
      </x:c>
      <x:c r="J1782" t="n">
        <x:v>0</x:v>
      </x:c>
      <x:c r="K1782" t="n">
        <x:v>1</x:v>
      </x:c>
      <x:c r="L1782" t="n">
        <x:v>25</x:v>
      </x:c>
      <x:c r="M1782" t="n">
        <x:v>0</x:v>
      </x:c>
      <x:c r="N1782" t="str">
        <x:v>Approved</x:v>
      </x:c>
      <x:c r="O1782" t="n">
        <x:v>0</x:v>
      </x:c>
      <x:c r="P1782" t="str">
        <x:f>IF(L1782&gt;=75,"High",IF(L1782&gt;=55,"Medium","Low"))</x:f>
        <x:v>Low</x:v>
      </x:c>
    </x:row>
    <x:row r="1783">
      <x:c r="A1783" t="n">
        <x:v>1782</x:v>
      </x:c>
      <x:c r="B1783" t="n">
        <x:v>10063</x:v>
      </x:c>
      <x:c r="C1783" s="16" t="n">
        <x:v>46271</x:v>
      </x:c>
      <x:c r="D1783" t="str">
        <x:v>02:09:00</x:v>
      </x:c>
      <x:c r="E1783" t="str">
        <x:v>Card</x:v>
      </x:c>
      <x:c r="F1783" t="str">
        <x:v>Travel</x:v>
      </x:c>
      <x:c r="G1783" s="18" t="n">
        <x:v>87.23</x:v>
      </x:c>
      <x:c r="H1783" t="n">
        <x:v>0</x:v>
      </x:c>
      <x:c r="I1783" t="n">
        <x:v>0</x:v>
      </x:c>
      <x:c r="J1783" t="n">
        <x:v>0</x:v>
      </x:c>
      <x:c r="K1783" t="n">
        <x:v>1</x:v>
      </x:c>
      <x:c r="L1783" t="n">
        <x:v>25</x:v>
      </x:c>
      <x:c r="M1783" t="n">
        <x:v>0</x:v>
      </x:c>
      <x:c r="N1783" t="str">
        <x:v>Approved</x:v>
      </x:c>
      <x:c r="O1783" t="n">
        <x:v>0</x:v>
      </x:c>
      <x:c r="P1783" t="str">
        <x:f>IF(L1783&gt;=75,"High",IF(L1783&gt;=55,"Medium","Low"))</x:f>
        <x:v>Low</x:v>
      </x:c>
    </x:row>
    <x:row r="1784">
      <x:c r="A1784" t="n">
        <x:v>1783</x:v>
      </x:c>
      <x:c r="B1784" t="n">
        <x:v>10209</x:v>
      </x:c>
      <x:c r="C1784" s="16" t="n">
        <x:v>46132</x:v>
      </x:c>
      <x:c r="D1784" t="str">
        <x:v>05:10:00</x:v>
      </x:c>
      <x:c r="E1784" t="str">
        <x:v>Card</x:v>
      </x:c>
      <x:c r="F1784" t="str">
        <x:v>Electronics</x:v>
      </x:c>
      <x:c r="G1784" s="18" t="n">
        <x:v>123.4</x:v>
      </x:c>
      <x:c r="H1784" t="n">
        <x:v>0</x:v>
      </x:c>
      <x:c r="I1784" t="n">
        <x:v>0</x:v>
      </x:c>
      <x:c r="J1784" t="n">
        <x:v>0</x:v>
      </x:c>
      <x:c r="K1784" t="n">
        <x:v>0</x:v>
      </x:c>
      <x:c r="L1784" t="n">
        <x:v>10</x:v>
      </x:c>
      <x:c r="M1784" t="n">
        <x:v>0</x:v>
      </x:c>
      <x:c r="N1784" t="str">
        <x:v>Approved</x:v>
      </x:c>
      <x:c r="O1784" t="n">
        <x:v>0</x:v>
      </x:c>
      <x:c r="P1784" t="str">
        <x:f>IF(L1784&gt;=75,"High",IF(L1784&gt;=55,"Medium","Low"))</x:f>
        <x:v>Low</x:v>
      </x:c>
    </x:row>
    <x:row r="1785">
      <x:c r="A1785" t="n">
        <x:v>1784</x:v>
      </x:c>
      <x:c r="B1785" t="n">
        <x:v>10222</x:v>
      </x:c>
      <x:c r="C1785" s="16" t="n">
        <x:v>46114</x:v>
      </x:c>
      <x:c r="D1785" t="str">
        <x:v>05:41:00</x:v>
      </x:c>
      <x:c r="E1785" t="str">
        <x:v>Bank Transfer</x:v>
      </x:c>
      <x:c r="F1785" t="str">
        <x:v>Subscriptions</x:v>
      </x:c>
      <x:c r="G1785" s="18" t="n">
        <x:v>38.96</x:v>
      </x:c>
      <x:c r="H1785" t="n">
        <x:v>0</x:v>
      </x:c>
      <x:c r="I1785" t="n">
        <x:v>0</x:v>
      </x:c>
      <x:c r="J1785" t="n">
        <x:v>0</x:v>
      </x:c>
      <x:c r="K1785" t="n">
        <x:v>0</x:v>
      </x:c>
      <x:c r="L1785" t="n">
        <x:v>10</x:v>
      </x:c>
      <x:c r="M1785" t="n">
        <x:v>0</x:v>
      </x:c>
      <x:c r="N1785" t="str">
        <x:v>Approved</x:v>
      </x:c>
      <x:c r="O1785" t="n">
        <x:v>0</x:v>
      </x:c>
      <x:c r="P1785" t="str">
        <x:f>IF(L1785&gt;=75,"High",IF(L1785&gt;=55,"Medium","Low"))</x:f>
        <x:v>Low</x:v>
      </x:c>
    </x:row>
    <x:row r="1786">
      <x:c r="A1786" t="n">
        <x:v>1785</x:v>
      </x:c>
      <x:c r="B1786" t="n">
        <x:v>10102</x:v>
      </x:c>
      <x:c r="C1786" s="16" t="n">
        <x:v>46204</x:v>
      </x:c>
      <x:c r="D1786" t="str">
        <x:v>17:04:00</x:v>
      </x:c>
      <x:c r="E1786" t="str">
        <x:v>Bank Transfer</x:v>
      </x:c>
      <x:c r="F1786" t="str">
        <x:v>Dining</x:v>
      </x:c>
      <x:c r="G1786" s="18" t="n">
        <x:v>140.25</x:v>
      </x:c>
      <x:c r="H1786" t="n">
        <x:v>1</x:v>
      </x:c>
      <x:c r="I1786" t="n">
        <x:v>1</x:v>
      </x:c>
      <x:c r="J1786" t="n">
        <x:v>0</x:v>
      </x:c>
      <x:c r="K1786" t="n">
        <x:v>0</x:v>
      </x:c>
      <x:c r="L1786" t="n">
        <x:v>56</x:v>
      </x:c>
      <x:c r="M1786" t="n">
        <x:v>1</x:v>
      </x:c>
      <x:c r="N1786" t="str">
        <x:v>Declined</x:v>
      </x:c>
      <x:c r="O1786" t="n">
        <x:v>0</x:v>
      </x:c>
      <x:c r="P1786" t="str">
        <x:f>IF(L1786&gt;=75,"High",IF(L1786&gt;=55,"Medium","Low"))</x:f>
        <x:v>Medium</x:v>
      </x:c>
    </x:row>
    <x:row r="1787">
      <x:c r="A1787" t="n">
        <x:v>1786</x:v>
      </x:c>
      <x:c r="B1787" t="n">
        <x:v>10285</x:v>
      </x:c>
      <x:c r="C1787" s="16" t="n">
        <x:v>46281</x:v>
      </x:c>
      <x:c r="D1787" t="str">
        <x:v>19:54:00</x:v>
      </x:c>
      <x:c r="E1787" t="str">
        <x:v>Card</x:v>
      </x:c>
      <x:c r="F1787" t="str">
        <x:v>Retail</x:v>
      </x:c>
      <x:c r="G1787" s="18" t="n">
        <x:v>628.56</x:v>
      </x:c>
      <x:c r="H1787" t="n">
        <x:v>0</x:v>
      </x:c>
      <x:c r="I1787" t="n">
        <x:v>0</x:v>
      </x:c>
      <x:c r="J1787" t="n">
        <x:v>0</x:v>
      </x:c>
      <x:c r="K1787" t="n">
        <x:v>0</x:v>
      </x:c>
      <x:c r="L1787" t="n">
        <x:v>10</x:v>
      </x:c>
      <x:c r="M1787" t="n">
        <x:v>0</x:v>
      </x:c>
      <x:c r="N1787" t="str">
        <x:v>Approved</x:v>
      </x:c>
      <x:c r="O1787" t="n">
        <x:v>0</x:v>
      </x:c>
      <x:c r="P1787" t="str">
        <x:f>IF(L1787&gt;=75,"High",IF(L1787&gt;=55,"Medium","Low"))</x:f>
        <x:v>Low</x:v>
      </x:c>
    </x:row>
    <x:row r="1788">
      <x:c r="A1788" t="n">
        <x:v>1787</x:v>
      </x:c>
      <x:c r="B1788" t="n">
        <x:v>10341</x:v>
      </x:c>
      <x:c r="C1788" s="16" t="n">
        <x:v>46178</x:v>
      </x:c>
      <x:c r="D1788" t="str">
        <x:v>18:10:00</x:v>
      </x:c>
      <x:c r="E1788" t="str">
        <x:v>P2P</x:v>
      </x:c>
      <x:c r="F1788" t="str">
        <x:v>Utilities</x:v>
      </x:c>
      <x:c r="G1788" s="18" t="n">
        <x:v>17.73</x:v>
      </x:c>
      <x:c r="H1788" t="n">
        <x:v>0</x:v>
      </x:c>
      <x:c r="I1788" t="n">
        <x:v>0</x:v>
      </x:c>
      <x:c r="J1788" t="n">
        <x:v>0</x:v>
      </x:c>
      <x:c r="K1788" t="n">
        <x:v>0</x:v>
      </x:c>
      <x:c r="L1788" t="n">
        <x:v>10</x:v>
      </x:c>
      <x:c r="M1788" t="n">
        <x:v>0</x:v>
      </x:c>
      <x:c r="N1788" t="str">
        <x:v>Approved</x:v>
      </x:c>
      <x:c r="O1788" t="n">
        <x:v>0</x:v>
      </x:c>
      <x:c r="P1788" t="str">
        <x:f>IF(L1788&gt;=75,"High",IF(L1788&gt;=55,"Medium","Low"))</x:f>
        <x:v>Low</x:v>
      </x:c>
    </x:row>
    <x:row r="1789">
      <x:c r="A1789" t="n">
        <x:v>1788</x:v>
      </x:c>
      <x:c r="B1789" t="n">
        <x:v>10219</x:v>
      </x:c>
      <x:c r="C1789" s="16" t="n">
        <x:v>46156</x:v>
      </x:c>
      <x:c r="D1789" t="str">
        <x:v>08:44:00</x:v>
      </x:c>
      <x:c r="E1789" t="str">
        <x:v>Card</x:v>
      </x:c>
      <x:c r="F1789" t="str">
        <x:v>Transfer</x:v>
      </x:c>
      <x:c r="G1789" s="18" t="n">
        <x:v>11.32</x:v>
      </x:c>
      <x:c r="H1789" t="n">
        <x:v>0</x:v>
      </x:c>
      <x:c r="I1789" t="n">
        <x:v>0</x:v>
      </x:c>
      <x:c r="J1789" t="n">
        <x:v>0</x:v>
      </x:c>
      <x:c r="K1789" t="n">
        <x:v>0</x:v>
      </x:c>
      <x:c r="L1789" t="n">
        <x:v>10</x:v>
      </x:c>
      <x:c r="M1789" t="n">
        <x:v>0</x:v>
      </x:c>
      <x:c r="N1789" t="str">
        <x:v>Approved</x:v>
      </x:c>
      <x:c r="O1789" t="n">
        <x:v>0</x:v>
      </x:c>
      <x:c r="P1789" t="str">
        <x:f>IF(L1789&gt;=75,"High",IF(L1789&gt;=55,"Medium","Low"))</x:f>
        <x:v>Low</x:v>
      </x:c>
    </x:row>
    <x:row r="1790">
      <x:c r="A1790" t="n">
        <x:v>1789</x:v>
      </x:c>
      <x:c r="B1790" t="n">
        <x:v>10160</x:v>
      </x:c>
      <x:c r="C1790" s="16" t="n">
        <x:v>46293</x:v>
      </x:c>
      <x:c r="D1790" t="str">
        <x:v>19:52:00</x:v>
      </x:c>
      <x:c r="E1790" t="str">
        <x:v>Bank Transfer</x:v>
      </x:c>
      <x:c r="F1790" t="str">
        <x:v>Travel</x:v>
      </x:c>
      <x:c r="G1790" s="18" t="n">
        <x:v>150.58</x:v>
      </x:c>
      <x:c r="H1790" t="n">
        <x:v>0</x:v>
      </x:c>
      <x:c r="I1790" t="n">
        <x:v>1</x:v>
      </x:c>
      <x:c r="J1790" t="n">
        <x:v>0</x:v>
      </x:c>
      <x:c r="K1790" t="n">
        <x:v>0</x:v>
      </x:c>
      <x:c r="L1790" t="n">
        <x:v>30</x:v>
      </x:c>
      <x:c r="M1790" t="n">
        <x:v>0</x:v>
      </x:c>
      <x:c r="N1790" t="str">
        <x:v>Approved</x:v>
      </x:c>
      <x:c r="O1790" t="n">
        <x:v>0</x:v>
      </x:c>
      <x:c r="P1790" t="str">
        <x:f>IF(L1790&gt;=75,"High",IF(L1790&gt;=55,"Medium","Low"))</x:f>
        <x:v>Low</x:v>
      </x:c>
    </x:row>
    <x:row r="1791">
      <x:c r="A1791" t="n">
        <x:v>1790</x:v>
      </x:c>
      <x:c r="B1791" t="n">
        <x:v>10020</x:v>
      </x:c>
      <x:c r="C1791" s="16" t="n">
        <x:v>46291</x:v>
      </x:c>
      <x:c r="D1791" t="str">
        <x:v>07:49:00</x:v>
      </x:c>
      <x:c r="E1791" t="str">
        <x:v>P2P</x:v>
      </x:c>
      <x:c r="F1791" t="str">
        <x:v>Dining</x:v>
      </x:c>
      <x:c r="G1791" s="18" t="n">
        <x:v>151.86</x:v>
      </x:c>
      <x:c r="H1791" t="n">
        <x:v>0</x:v>
      </x:c>
      <x:c r="I1791" t="n">
        <x:v>0</x:v>
      </x:c>
      <x:c r="J1791" t="n">
        <x:v>0</x:v>
      </x:c>
      <x:c r="K1791" t="n">
        <x:v>0</x:v>
      </x:c>
      <x:c r="L1791" t="n">
        <x:v>10</x:v>
      </x:c>
      <x:c r="M1791" t="n">
        <x:v>0</x:v>
      </x:c>
      <x:c r="N1791" t="str">
        <x:v>Approved</x:v>
      </x:c>
      <x:c r="O1791" t="n">
        <x:v>0</x:v>
      </x:c>
      <x:c r="P1791" t="str">
        <x:f>IF(L1791&gt;=75,"High",IF(L1791&gt;=55,"Medium","Low"))</x:f>
        <x:v>Low</x:v>
      </x:c>
    </x:row>
    <x:row r="1792">
      <x:c r="A1792" t="n">
        <x:v>1791</x:v>
      </x:c>
      <x:c r="B1792" t="n">
        <x:v>10310</x:v>
      </x:c>
      <x:c r="C1792" s="16" t="n">
        <x:v>46241</x:v>
      </x:c>
      <x:c r="D1792" t="str">
        <x:v>03:25:00</x:v>
      </x:c>
      <x:c r="E1792" t="str">
        <x:v>Card</x:v>
      </x:c>
      <x:c r="F1792" t="str">
        <x:v>Dining</x:v>
      </x:c>
      <x:c r="G1792" s="18" t="n">
        <x:v>4.68</x:v>
      </x:c>
      <x:c r="H1792" t="n">
        <x:v>0</x:v>
      </x:c>
      <x:c r="I1792" t="n">
        <x:v>0</x:v>
      </x:c>
      <x:c r="J1792" t="n">
        <x:v>0</x:v>
      </x:c>
      <x:c r="K1792" t="n">
        <x:v>1</x:v>
      </x:c>
      <x:c r="L1792" t="n">
        <x:v>25</x:v>
      </x:c>
      <x:c r="M1792" t="n">
        <x:v>0</x:v>
      </x:c>
      <x:c r="N1792" t="str">
        <x:v>Approved</x:v>
      </x:c>
      <x:c r="O1792" t="n">
        <x:v>0</x:v>
      </x:c>
      <x:c r="P1792" t="str">
        <x:f>IF(L1792&gt;=75,"High",IF(L1792&gt;=55,"Medium","Low"))</x:f>
        <x:v>Low</x:v>
      </x:c>
    </x:row>
    <x:row r="1793">
      <x:c r="A1793" t="n">
        <x:v>1792</x:v>
      </x:c>
      <x:c r="B1793" t="n">
        <x:v>10322</x:v>
      </x:c>
      <x:c r="C1793" s="16" t="n">
        <x:v>46244</x:v>
      </x:c>
      <x:c r="D1793" t="str">
        <x:v>08:01:00</x:v>
      </x:c>
      <x:c r="E1793" t="str">
        <x:v>P2P</x:v>
      </x:c>
      <x:c r="F1793" t="str">
        <x:v>Transfer</x:v>
      </x:c>
      <x:c r="G1793" s="18" t="n">
        <x:v>126.62</x:v>
      </x:c>
      <x:c r="H1793" t="n">
        <x:v>0</x:v>
      </x:c>
      <x:c r="I1793" t="n">
        <x:v>0</x:v>
      </x:c>
      <x:c r="J1793" t="n">
        <x:v>0</x:v>
      </x:c>
      <x:c r="K1793" t="n">
        <x:v>0</x:v>
      </x:c>
      <x:c r="L1793" t="n">
        <x:v>10</x:v>
      </x:c>
      <x:c r="M1793" t="n">
        <x:v>0</x:v>
      </x:c>
      <x:c r="N1793" t="str">
        <x:v>Approved</x:v>
      </x:c>
      <x:c r="O1793" t="n">
        <x:v>0</x:v>
      </x:c>
      <x:c r="P1793" t="str">
        <x:f>IF(L1793&gt;=75,"High",IF(L1793&gt;=55,"Medium","Low"))</x:f>
        <x:v>Low</x:v>
      </x:c>
    </x:row>
    <x:row r="1794">
      <x:c r="A1794" t="n">
        <x:v>1793</x:v>
      </x:c>
      <x:c r="B1794" t="n">
        <x:v>10286</x:v>
      </x:c>
      <x:c r="C1794" s="16" t="n">
        <x:v>46173</x:v>
      </x:c>
      <x:c r="D1794" t="str">
        <x:v>01:58:00</x:v>
      </x:c>
      <x:c r="E1794" t="str">
        <x:v>Bank Transfer</x:v>
      </x:c>
      <x:c r="F1794" t="str">
        <x:v>Travel</x:v>
      </x:c>
      <x:c r="G1794" s="18" t="n">
        <x:v>469.75</x:v>
      </x:c>
      <x:c r="H1794" t="n">
        <x:v>0</x:v>
      </x:c>
      <x:c r="I1794" t="n">
        <x:v>0</x:v>
      </x:c>
      <x:c r="J1794" t="n">
        <x:v>0</x:v>
      </x:c>
      <x:c r="K1794" t="n">
        <x:v>1</x:v>
      </x:c>
      <x:c r="L1794" t="n">
        <x:v>25</x:v>
      </x:c>
      <x:c r="M1794" t="n">
        <x:v>0</x:v>
      </x:c>
      <x:c r="N1794" t="str">
        <x:v>Approved</x:v>
      </x:c>
      <x:c r="O1794" t="n">
        <x:v>0</x:v>
      </x:c>
      <x:c r="P1794" t="str">
        <x:f>IF(L1794&gt;=75,"High",IF(L1794&gt;=55,"Medium","Low"))</x:f>
        <x:v>Low</x:v>
      </x:c>
    </x:row>
    <x:row r="1795">
      <x:c r="A1795" t="n">
        <x:v>1794</x:v>
      </x:c>
      <x:c r="B1795" t="n">
        <x:v>10057</x:v>
      </x:c>
      <x:c r="C1795" s="16" t="n">
        <x:v>46173</x:v>
      </x:c>
      <x:c r="D1795" t="str">
        <x:v>13:15:00</x:v>
      </x:c>
      <x:c r="E1795" t="str">
        <x:v>Card</x:v>
      </x:c>
      <x:c r="F1795" t="str">
        <x:v>Electronics</x:v>
      </x:c>
      <x:c r="G1795" s="18" t="n">
        <x:v>314.86</x:v>
      </x:c>
      <x:c r="H1795" t="n">
        <x:v>0</x:v>
      </x:c>
      <x:c r="I1795" t="n">
        <x:v>0</x:v>
      </x:c>
      <x:c r="J1795" t="n">
        <x:v>0</x:v>
      </x:c>
      <x:c r="K1795" t="n">
        <x:v>0</x:v>
      </x:c>
      <x:c r="L1795" t="n">
        <x:v>10</x:v>
      </x:c>
      <x:c r="M1795" t="n">
        <x:v>0</x:v>
      </x:c>
      <x:c r="N1795" t="str">
        <x:v>Approved</x:v>
      </x:c>
      <x:c r="O1795" t="n">
        <x:v>0</x:v>
      </x:c>
      <x:c r="P1795" t="str">
        <x:f>IF(L1795&gt;=75,"High",IF(L1795&gt;=55,"Medium","Low"))</x:f>
        <x:v>Low</x:v>
      </x:c>
    </x:row>
    <x:row r="1796">
      <x:c r="A1796" t="n">
        <x:v>1795</x:v>
      </x:c>
      <x:c r="B1796" t="n">
        <x:v>10074</x:v>
      </x:c>
      <x:c r="C1796" s="16" t="n">
        <x:v>46266</x:v>
      </x:c>
      <x:c r="D1796" t="str">
        <x:v>11:24:00</x:v>
      </x:c>
      <x:c r="E1796" t="str">
        <x:v>Bank Transfer</x:v>
      </x:c>
      <x:c r="F1796" t="str">
        <x:v>Electronics</x:v>
      </x:c>
      <x:c r="G1796" s="18" t="n">
        <x:v>79.51</x:v>
      </x:c>
      <x:c r="H1796" t="n">
        <x:v>0</x:v>
      </x:c>
      <x:c r="I1796" t="n">
        <x:v>0</x:v>
      </x:c>
      <x:c r="J1796" t="n">
        <x:v>0</x:v>
      </x:c>
      <x:c r="K1796" t="n">
        <x:v>0</x:v>
      </x:c>
      <x:c r="L1796" t="n">
        <x:v>10</x:v>
      </x:c>
      <x:c r="M1796" t="n">
        <x:v>0</x:v>
      </x:c>
      <x:c r="N1796" t="str">
        <x:v>Approved</x:v>
      </x:c>
      <x:c r="O1796" t="n">
        <x:v>0</x:v>
      </x:c>
      <x:c r="P1796" t="str">
        <x:f>IF(L1796&gt;=75,"High",IF(L1796&gt;=55,"Medium","Low"))</x:f>
        <x:v>Low</x:v>
      </x:c>
    </x:row>
    <x:row r="1797">
      <x:c r="A1797" t="n">
        <x:v>1796</x:v>
      </x:c>
      <x:c r="B1797" t="n">
        <x:v>10160</x:v>
      </x:c>
      <x:c r="C1797" s="16" t="n">
        <x:v>46267</x:v>
      </x:c>
      <x:c r="D1797" t="str">
        <x:v>20:05:00</x:v>
      </x:c>
      <x:c r="E1797" t="str">
        <x:v>Card</x:v>
      </x:c>
      <x:c r="F1797" t="str">
        <x:v>Transfer</x:v>
      </x:c>
      <x:c r="G1797" s="18" t="n">
        <x:v>23.13</x:v>
      </x:c>
      <x:c r="H1797" t="n">
        <x:v>0</x:v>
      </x:c>
      <x:c r="I1797" t="n">
        <x:v>0</x:v>
      </x:c>
      <x:c r="J1797" t="n">
        <x:v>0</x:v>
      </x:c>
      <x:c r="K1797" t="n">
        <x:v>0</x:v>
      </x:c>
      <x:c r="L1797" t="n">
        <x:v>10</x:v>
      </x:c>
      <x:c r="M1797" t="n">
        <x:v>0</x:v>
      </x:c>
      <x:c r="N1797" t="str">
        <x:v>Approved</x:v>
      </x:c>
      <x:c r="O1797" t="n">
        <x:v>0</x:v>
      </x:c>
      <x:c r="P1797" t="str">
        <x:f>IF(L1797&gt;=75,"High",IF(L1797&gt;=55,"Medium","Low"))</x:f>
        <x:v>Low</x:v>
      </x:c>
    </x:row>
    <x:row r="1798">
      <x:c r="A1798" t="n">
        <x:v>1797</x:v>
      </x:c>
      <x:c r="B1798" t="n">
        <x:v>10349</x:v>
      </x:c>
      <x:c r="C1798" s="16" t="n">
        <x:v>46267</x:v>
      </x:c>
      <x:c r="D1798" t="str">
        <x:v>05:34:00</x:v>
      </x:c>
      <x:c r="E1798" t="str">
        <x:v>Bank Transfer</x:v>
      </x:c>
      <x:c r="F1798" t="str">
        <x:v>Subscriptions</x:v>
      </x:c>
      <x:c r="G1798" s="18" t="n">
        <x:v>587.72</x:v>
      </x:c>
      <x:c r="H1798" t="n">
        <x:v>0</x:v>
      </x:c>
      <x:c r="I1798" t="n">
        <x:v>0</x:v>
      </x:c>
      <x:c r="J1798" t="n">
        <x:v>0</x:v>
      </x:c>
      <x:c r="K1798" t="n">
        <x:v>0</x:v>
      </x:c>
      <x:c r="L1798" t="n">
        <x:v>10</x:v>
      </x:c>
      <x:c r="M1798" t="n">
        <x:v>0</x:v>
      </x:c>
      <x:c r="N1798" t="str">
        <x:v>Approved</x:v>
      </x:c>
      <x:c r="O1798" t="n">
        <x:v>0</x:v>
      </x:c>
      <x:c r="P1798" t="str">
        <x:f>IF(L1798&gt;=75,"High",IF(L1798&gt;=55,"Medium","Low"))</x:f>
        <x:v>Low</x:v>
      </x:c>
    </x:row>
    <x:row r="1799">
      <x:c r="A1799" t="n">
        <x:v>1798</x:v>
      </x:c>
      <x:c r="B1799" t="n">
        <x:v>10077</x:v>
      </x:c>
      <x:c r="C1799" s="16" t="n">
        <x:v>46283</x:v>
      </x:c>
      <x:c r="D1799" t="str">
        <x:v>05:43:00</x:v>
      </x:c>
      <x:c r="E1799" t="str">
        <x:v>Card</x:v>
      </x:c>
      <x:c r="F1799" t="str">
        <x:v>Travel</x:v>
      </x:c>
      <x:c r="G1799" s="18" t="n">
        <x:v>116.9</x:v>
      </x:c>
      <x:c r="H1799" t="n">
        <x:v>0</x:v>
      </x:c>
      <x:c r="I1799" t="n">
        <x:v>0</x:v>
      </x:c>
      <x:c r="J1799" t="n">
        <x:v>0</x:v>
      </x:c>
      <x:c r="K1799" t="n">
        <x:v>0</x:v>
      </x:c>
      <x:c r="L1799" t="n">
        <x:v>10</x:v>
      </x:c>
      <x:c r="M1799" t="n">
        <x:v>0</x:v>
      </x:c>
      <x:c r="N1799" t="str">
        <x:v>Approved</x:v>
      </x:c>
      <x:c r="O1799" t="n">
        <x:v>0</x:v>
      </x:c>
      <x:c r="P1799" t="str">
        <x:f>IF(L1799&gt;=75,"High",IF(L1799&gt;=55,"Medium","Low"))</x:f>
        <x:v>Low</x:v>
      </x:c>
    </x:row>
    <x:row r="1800">
      <x:c r="A1800" t="n">
        <x:v>1799</x:v>
      </x:c>
      <x:c r="B1800" t="n">
        <x:v>10143</x:v>
      </x:c>
      <x:c r="C1800" s="16" t="n">
        <x:v>46128</x:v>
      </x:c>
      <x:c r="D1800" t="str">
        <x:v>22:39:00</x:v>
      </x:c>
      <x:c r="E1800" t="str">
        <x:v>Bank Transfer</x:v>
      </x:c>
      <x:c r="F1800" t="str">
        <x:v>Subscriptions</x:v>
      </x:c>
      <x:c r="G1800" s="18" t="n">
        <x:v>164</x:v>
      </x:c>
      <x:c r="H1800" t="n">
        <x:v>0</x:v>
      </x:c>
      <x:c r="I1800" t="n">
        <x:v>0</x:v>
      </x:c>
      <x:c r="J1800" t="n">
        <x:v>0</x:v>
      </x:c>
      <x:c r="K1800" t="n">
        <x:v>0</x:v>
      </x:c>
      <x:c r="L1800" t="n">
        <x:v>10</x:v>
      </x:c>
      <x:c r="M1800" t="n">
        <x:v>0</x:v>
      </x:c>
      <x:c r="N1800" t="str">
        <x:v>Approved</x:v>
      </x:c>
      <x:c r="O1800" t="n">
        <x:v>0</x:v>
      </x:c>
      <x:c r="P1800" t="str">
        <x:f>IF(L1800&gt;=75,"High",IF(L1800&gt;=55,"Medium","Low"))</x:f>
        <x:v>Low</x:v>
      </x:c>
    </x:row>
    <x:row r="1801">
      <x:c r="A1801" t="n">
        <x:v>1800</x:v>
      </x:c>
      <x:c r="B1801" t="n">
        <x:v>10193</x:v>
      </x:c>
      <x:c r="C1801" s="16" t="n">
        <x:v>46144</x:v>
      </x:c>
      <x:c r="D1801" t="str">
        <x:v>01:16:00</x:v>
      </x:c>
      <x:c r="E1801" t="str">
        <x:v>Bank Transfer</x:v>
      </x:c>
      <x:c r="F1801" t="str">
        <x:v>Retail</x:v>
      </x:c>
      <x:c r="G1801" s="18" t="n">
        <x:v>115.01</x:v>
      </x:c>
      <x:c r="H1801" t="n">
        <x:v>0</x:v>
      </x:c>
      <x:c r="I1801" t="n">
        <x:v>1</x:v>
      </x:c>
      <x:c r="J1801" t="n">
        <x:v>0</x:v>
      </x:c>
      <x:c r="K1801" t="n">
        <x:v>1</x:v>
      </x:c>
      <x:c r="L1801" t="n">
        <x:v>45</x:v>
      </x:c>
      <x:c r="M1801" t="n">
        <x:v>0</x:v>
      </x:c>
      <x:c r="N1801" t="str">
        <x:v>Approved</x:v>
      </x:c>
      <x:c r="O1801" t="n">
        <x:v>0</x:v>
      </x:c>
      <x:c r="P1801" t="str">
        <x:f>IF(L1801&gt;=75,"High",IF(L1801&gt;=55,"Medium","Low"))</x:f>
        <x:v>Low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2" hidden="0" customWidth="1"/>
    <x:col min="6" max="6" width="17" hidden="0" customWidth="1"/>
  </x:cols>
  <x:sheetData>
    <x:row r="1" ht="29" customHeight="1">
      <x:c r="A1" s="12" t="str">
        <x:v>alert_id</x:v>
      </x:c>
      <x:c r="B1" s="12" t="str">
        <x:v>transaction_id</x:v>
      </x:c>
      <x:c r="C1" s="12" t="str">
        <x:v>alert_date</x:v>
      </x:c>
      <x:c r="D1" s="12" t="str">
        <x:v>rule_name</x:v>
      </x:c>
      <x:c r="E1" s="12" t="str">
        <x:v>review_outcome</x:v>
      </x:c>
      <x:c r="F1" s="12" t="str">
        <x:v>review_minutes</x:v>
      </x:c>
      <x:c r="G1" s="11" t="str">
        <x:v>Transaction amount - INDEX MATCH</x:v>
      </x:c>
    </x:row>
    <x:row r="2">
      <x:c r="A2" t="n">
        <x:v>1</x:v>
      </x:c>
      <x:c r="B2" t="n">
        <x:v>42</x:v>
      </x:c>
      <x:c r="C2" s="16" t="n">
        <x:v>46225</x:v>
      </x:c>
      <x:c r="D2" t="str">
        <x:v>Multiple risk signals</x:v>
      </x:c>
      <x:c r="E2" t="str">
        <x:v>Cleared</x:v>
      </x:c>
      <x:c r="F2" t="n">
        <x:v>45</x:v>
      </x:c>
      <x:c r="G2" t="n">
        <x:f>IFERROR(INDEX(Transactions!$G$2:$G$1801,MATCH(B2,Transactions!$A$2:$A$1801,0)),0)</x:f>
        <x:v>90.92</x:v>
      </x:c>
    </x:row>
    <x:row r="3">
      <x:c r="A3" t="n">
        <x:v>2</x:v>
      </x:c>
      <x:c r="B3" t="n">
        <x:v>55</x:v>
      </x:c>
      <x:c r="C3" s="16" t="n">
        <x:v>46139</x:v>
      </x:c>
      <x:c r="D3" t="str">
        <x:v>Multiple risk signals</x:v>
      </x:c>
      <x:c r="E3" t="str">
        <x:v>Cleared</x:v>
      </x:c>
      <x:c r="F3" t="n">
        <x:v>30</x:v>
      </x:c>
      <x:c r="G3" t="n">
        <x:f>IFERROR(INDEX(Transactions!$G$2:$G$1801,MATCH(B3,Transactions!$A$2:$A$1801,0)),0)</x:f>
        <x:v>136.13</x:v>
      </x:c>
    </x:row>
    <x:row r="4">
      <x:c r="A4" t="n">
        <x:v>3</x:v>
      </x:c>
      <x:c r="B4" t="n">
        <x:v>56</x:v>
      </x:c>
      <x:c r="C4" s="16" t="n">
        <x:v>46275</x:v>
      </x:c>
      <x:c r="D4" t="str">
        <x:v>Multiple risk signals</x:v>
      </x:c>
      <x:c r="E4" t="str">
        <x:v>Cleared</x:v>
      </x:c>
      <x:c r="F4" t="n">
        <x:v>15</x:v>
      </x:c>
      <x:c r="G4" t="n">
        <x:f>IFERROR(INDEX(Transactions!$G$2:$G$1801,MATCH(B4,Transactions!$A$2:$A$1801,0)),0)</x:f>
        <x:v>1881.14</x:v>
      </x:c>
    </x:row>
    <x:row r="5">
      <x:c r="A5" t="n">
        <x:v>4</x:v>
      </x:c>
      <x:c r="B5" t="n">
        <x:v>63</x:v>
      </x:c>
      <x:c r="C5" s="16" t="n">
        <x:v>46220</x:v>
      </x:c>
      <x:c r="D5" t="str">
        <x:v>Multiple risk signals</x:v>
      </x:c>
      <x:c r="E5" t="str">
        <x:v>Cleared</x:v>
      </x:c>
      <x:c r="F5" t="n">
        <x:v>8</x:v>
      </x:c>
      <x:c r="G5" t="n">
        <x:f>IFERROR(INDEX(Transactions!$G$2:$G$1801,MATCH(B5,Transactions!$A$2:$A$1801,0)),0)</x:f>
        <x:v>15.3</x:v>
      </x:c>
    </x:row>
    <x:row r="6">
      <x:c r="A6" t="n">
        <x:v>5</x:v>
      </x:c>
      <x:c r="B6" t="n">
        <x:v>75</x:v>
      </x:c>
      <x:c r="C6" s="16" t="n">
        <x:v>46185</x:v>
      </x:c>
      <x:c r="D6" t="str">
        <x:v>Multiple risk signals</x:v>
      </x:c>
      <x:c r="E6" t="str">
        <x:v>Cleared</x:v>
      </x:c>
      <x:c r="F6" t="n">
        <x:v>15</x:v>
      </x:c>
      <x:c r="G6" t="n">
        <x:f>IFERROR(INDEX(Transactions!$G$2:$G$1801,MATCH(B6,Transactions!$A$2:$A$1801,0)),0)</x:f>
        <x:v>73.15</x:v>
      </x:c>
    </x:row>
    <x:row r="7">
      <x:c r="A7" t="n">
        <x:v>6</x:v>
      </x:c>
      <x:c r="B7" t="n">
        <x:v>76</x:v>
      </x:c>
      <x:c r="C7" s="16" t="n">
        <x:v>46185</x:v>
      </x:c>
      <x:c r="D7" t="str">
        <x:v>Multiple risk signals</x:v>
      </x:c>
      <x:c r="E7" t="str">
        <x:v>Cleared</x:v>
      </x:c>
      <x:c r="F7" t="n">
        <x:v>15</x:v>
      </x:c>
      <x:c r="G7" t="n">
        <x:f>IFERROR(INDEX(Transactions!$G$2:$G$1801,MATCH(B7,Transactions!$A$2:$A$1801,0)),0)</x:f>
        <x:v>490.07</x:v>
      </x:c>
    </x:row>
    <x:row r="8">
      <x:c r="A8" t="n">
        <x:v>7</x:v>
      </x:c>
      <x:c r="B8" t="n">
        <x:v>104</x:v>
      </x:c>
      <x:c r="C8" s="16" t="n">
        <x:v>46283</x:v>
      </x:c>
      <x:c r="D8" t="str">
        <x:v>Multiple risk signals</x:v>
      </x:c>
      <x:c r="E8" t="str">
        <x:v>Cleared</x:v>
      </x:c>
      <x:c r="F8" t="n">
        <x:v>15</x:v>
      </x:c>
      <x:c r="G8" t="n">
        <x:f>IFERROR(INDEX(Transactions!$G$2:$G$1801,MATCH(B8,Transactions!$A$2:$A$1801,0)),0)</x:f>
        <x:v>170.83</x:v>
      </x:c>
    </x:row>
    <x:row r="9">
      <x:c r="A9" t="n">
        <x:v>8</x:v>
      </x:c>
      <x:c r="B9" t="n">
        <x:v>131</x:v>
      </x:c>
      <x:c r="C9" s="16" t="n">
        <x:v>46250</x:v>
      </x:c>
      <x:c r="D9" t="str">
        <x:v>Multiple risk signals</x:v>
      </x:c>
      <x:c r="E9" t="str">
        <x:v>Cleared</x:v>
      </x:c>
      <x:c r="F9" t="n">
        <x:v>18</x:v>
      </x:c>
      <x:c r="G9" t="n">
        <x:f>IFERROR(INDEX(Transactions!$G$2:$G$1801,MATCH(B9,Transactions!$A$2:$A$1801,0)),0)</x:f>
        <x:v>932.31</x:v>
      </x:c>
    </x:row>
    <x:row r="10">
      <x:c r="A10" t="n">
        <x:v>9</x:v>
      </x:c>
      <x:c r="B10" t="n">
        <x:v>142</x:v>
      </x:c>
      <x:c r="C10" s="16" t="n">
        <x:v>46225</x:v>
      </x:c>
      <x:c r="D10" t="str">
        <x:v>Multiple risk signals</x:v>
      </x:c>
      <x:c r="E10" t="str">
        <x:v>Cleared</x:v>
      </x:c>
      <x:c r="F10" t="n">
        <x:v>18</x:v>
      </x:c>
      <x:c r="G10" t="n">
        <x:f>IFERROR(INDEX(Transactions!$G$2:$G$1801,MATCH(B10,Transactions!$A$2:$A$1801,0)),0)</x:f>
        <x:v>381.45</x:v>
      </x:c>
    </x:row>
    <x:row r="11">
      <x:c r="A11" t="n">
        <x:v>10</x:v>
      </x:c>
      <x:c r="B11" t="n">
        <x:v>168</x:v>
      </x:c>
      <x:c r="C11" s="16" t="n">
        <x:v>46266</x:v>
      </x:c>
      <x:c r="D11" t="str">
        <x:v>Multiple risk signals</x:v>
      </x:c>
      <x:c r="E11" t="str">
        <x:v>Cleared</x:v>
      </x:c>
      <x:c r="F11" t="n">
        <x:v>75</x:v>
      </x:c>
      <x:c r="G11" t="n">
        <x:f>IFERROR(INDEX(Transactions!$G$2:$G$1801,MATCH(B11,Transactions!$A$2:$A$1801,0)),0)</x:f>
        <x:v>34.03</x:v>
      </x:c>
    </x:row>
    <x:row r="12">
      <x:c r="A12" t="n">
        <x:v>11</x:v>
      </x:c>
      <x:c r="B12" t="n">
        <x:v>280</x:v>
      </x:c>
      <x:c r="C12" s="16" t="n">
        <x:v>46129</x:v>
      </x:c>
      <x:c r="D12" t="str">
        <x:v>Multiple risk signals</x:v>
      </x:c>
      <x:c r="E12" t="str">
        <x:v>Cleared</x:v>
      </x:c>
      <x:c r="F12" t="n">
        <x:v>30</x:v>
      </x:c>
      <x:c r="G12" t="n">
        <x:f>IFERROR(INDEX(Transactions!$G$2:$G$1801,MATCH(B12,Transactions!$A$2:$A$1801,0)),0)</x:f>
        <x:v>294.52</x:v>
      </x:c>
    </x:row>
    <x:row r="13">
      <x:c r="A13" t="n">
        <x:v>12</x:v>
      </x:c>
      <x:c r="B13" t="n">
        <x:v>359</x:v>
      </x:c>
      <x:c r="C13" s="16" t="n">
        <x:v>46280</x:v>
      </x:c>
      <x:c r="D13" t="str">
        <x:v>Multiple risk signals</x:v>
      </x:c>
      <x:c r="E13" t="str">
        <x:v>Confirmed Fraud</x:v>
      </x:c>
      <x:c r="F13" t="n">
        <x:v>75</x:v>
      </x:c>
      <x:c r="G13" t="n">
        <x:f>IFERROR(INDEX(Transactions!$G$2:$G$1801,MATCH(B13,Transactions!$A$2:$A$1801,0)),0)</x:f>
        <x:v>359.53</x:v>
      </x:c>
    </x:row>
    <x:row r="14">
      <x:c r="A14" t="n">
        <x:v>13</x:v>
      </x:c>
      <x:c r="B14" t="n">
        <x:v>362</x:v>
      </x:c>
      <x:c r="C14" s="16" t="n">
        <x:v>46141</x:v>
      </x:c>
      <x:c r="D14" t="str">
        <x:v>Multiple risk signals</x:v>
      </x:c>
      <x:c r="E14" t="str">
        <x:v>Cleared</x:v>
      </x:c>
      <x:c r="F14" t="n">
        <x:v>8</x:v>
      </x:c>
      <x:c r="G14" t="n">
        <x:f>IFERROR(INDEX(Transactions!$G$2:$G$1801,MATCH(B14,Transactions!$A$2:$A$1801,0)),0)</x:f>
        <x:v>124.78</x:v>
      </x:c>
    </x:row>
    <x:row r="15">
      <x:c r="A15" t="n">
        <x:v>14</x:v>
      </x:c>
      <x:c r="B15" t="n">
        <x:v>387</x:v>
      </x:c>
      <x:c r="C15" s="16" t="n">
        <x:v>46186</x:v>
      </x:c>
      <x:c r="D15" t="str">
        <x:v>Multiple risk signals</x:v>
      </x:c>
      <x:c r="E15" t="str">
        <x:v>Cleared</x:v>
      </x:c>
      <x:c r="F15" t="n">
        <x:v>60</x:v>
      </x:c>
      <x:c r="G15" t="n">
        <x:f>IFERROR(INDEX(Transactions!$G$2:$G$1801,MATCH(B15,Transactions!$A$2:$A$1801,0)),0)</x:f>
        <x:v>931.29</x:v>
      </x:c>
    </x:row>
    <x:row r="16">
      <x:c r="A16" t="n">
        <x:v>15</x:v>
      </x:c>
      <x:c r="B16" t="n">
        <x:v>502</x:v>
      </x:c>
      <x:c r="C16" s="16" t="n">
        <x:v>46285</x:v>
      </x:c>
      <x:c r="D16" t="str">
        <x:v>Multiple risk signals</x:v>
      </x:c>
      <x:c r="E16" t="str">
        <x:v>Escalated</x:v>
      </x:c>
      <x:c r="F16" t="n">
        <x:v>12</x:v>
      </x:c>
      <x:c r="G16" t="n">
        <x:f>IFERROR(INDEX(Transactions!$G$2:$G$1801,MATCH(B16,Transactions!$A$2:$A$1801,0)),0)</x:f>
        <x:v>155.49</x:v>
      </x:c>
    </x:row>
    <x:row r="17">
      <x:c r="A17" t="n">
        <x:v>16</x:v>
      </x:c>
      <x:c r="B17" t="n">
        <x:v>538</x:v>
      </x:c>
      <x:c r="C17" s="16" t="n">
        <x:v>46191</x:v>
      </x:c>
      <x:c r="D17" t="str">
        <x:v>Multiple risk signals</x:v>
      </x:c>
      <x:c r="E17" t="str">
        <x:v>Cleared</x:v>
      </x:c>
      <x:c r="F17" t="n">
        <x:v>60</x:v>
      </x:c>
      <x:c r="G17" t="n">
        <x:f>IFERROR(INDEX(Transactions!$G$2:$G$1801,MATCH(B17,Transactions!$A$2:$A$1801,0)),0)</x:f>
        <x:v>62.56</x:v>
      </x:c>
    </x:row>
    <x:row r="18">
      <x:c r="A18" t="n">
        <x:v>17</x:v>
      </x:c>
      <x:c r="B18" t="n">
        <x:v>541</x:v>
      </x:c>
      <x:c r="C18" s="16" t="n">
        <x:v>46153</x:v>
      </x:c>
      <x:c r="D18" t="str">
        <x:v>Multiple risk signals</x:v>
      </x:c>
      <x:c r="E18" t="str">
        <x:v>Cleared</x:v>
      </x:c>
      <x:c r="F18" t="n">
        <x:v>18</x:v>
      </x:c>
      <x:c r="G18" t="n">
        <x:f>IFERROR(INDEX(Transactions!$G$2:$G$1801,MATCH(B18,Transactions!$A$2:$A$1801,0)),0)</x:f>
        <x:v>237.84</x:v>
      </x:c>
    </x:row>
    <x:row r="19">
      <x:c r="A19" t="n">
        <x:v>18</x:v>
      </x:c>
      <x:c r="B19" t="n">
        <x:v>546</x:v>
      </x:c>
      <x:c r="C19" s="16" t="n">
        <x:v>46148</x:v>
      </x:c>
      <x:c r="D19" t="str">
        <x:v>Multiple risk signals</x:v>
      </x:c>
      <x:c r="E19" t="str">
        <x:v>Cleared</x:v>
      </x:c>
      <x:c r="F19" t="n">
        <x:v>15</x:v>
      </x:c>
      <x:c r="G19" t="n">
        <x:f>IFERROR(INDEX(Transactions!$G$2:$G$1801,MATCH(B19,Transactions!$A$2:$A$1801,0)),0)</x:f>
        <x:v>19.26</x:v>
      </x:c>
    </x:row>
    <x:row r="20">
      <x:c r="A20" t="n">
        <x:v>19</x:v>
      </x:c>
      <x:c r="B20" t="n">
        <x:v>573</x:v>
      </x:c>
      <x:c r="C20" s="16" t="n">
        <x:v>46180</x:v>
      </x:c>
      <x:c r="D20" t="str">
        <x:v>Multiple risk signals</x:v>
      </x:c>
      <x:c r="E20" t="str">
        <x:v>Cleared</x:v>
      </x:c>
      <x:c r="F20" t="n">
        <x:v>45</x:v>
      </x:c>
      <x:c r="G20" t="n">
        <x:f>IFERROR(INDEX(Transactions!$G$2:$G$1801,MATCH(B20,Transactions!$A$2:$A$1801,0)),0)</x:f>
        <x:v>142.92</x:v>
      </x:c>
    </x:row>
    <x:row r="21">
      <x:c r="A21" t="n">
        <x:v>20</x:v>
      </x:c>
      <x:c r="B21" t="n">
        <x:v>613</x:v>
      </x:c>
      <x:c r="C21" s="16" t="n">
        <x:v>46281</x:v>
      </x:c>
      <x:c r="D21" t="str">
        <x:v>Multiple risk signals</x:v>
      </x:c>
      <x:c r="E21" t="str">
        <x:v>Cleared</x:v>
      </x:c>
      <x:c r="F21" t="n">
        <x:v>15</x:v>
      </x:c>
      <x:c r="G21" t="n">
        <x:f>IFERROR(INDEX(Transactions!$G$2:$G$1801,MATCH(B21,Transactions!$A$2:$A$1801,0)),0)</x:f>
        <x:v>103.19</x:v>
      </x:c>
    </x:row>
    <x:row r="22">
      <x:c r="A22" t="n">
        <x:v>21</x:v>
      </x:c>
      <x:c r="B22" t="n">
        <x:v>624</x:v>
      </x:c>
      <x:c r="C22" s="16" t="n">
        <x:v>46113</x:v>
      </x:c>
      <x:c r="D22" t="str">
        <x:v>Multiple risk signals</x:v>
      </x:c>
      <x:c r="E22" t="str">
        <x:v>Cleared</x:v>
      </x:c>
      <x:c r="F22" t="n">
        <x:v>30</x:v>
      </x:c>
      <x:c r="G22" t="n">
        <x:f>IFERROR(INDEX(Transactions!$G$2:$G$1801,MATCH(B22,Transactions!$A$2:$A$1801,0)),0)</x:f>
        <x:v>222.97</x:v>
      </x:c>
    </x:row>
    <x:row r="23">
      <x:c r="A23" t="n">
        <x:v>22</x:v>
      </x:c>
      <x:c r="B23" t="n">
        <x:v>636</x:v>
      </x:c>
      <x:c r="C23" s="16" t="n">
        <x:v>46276</x:v>
      </x:c>
      <x:c r="D23" t="str">
        <x:v>Multiple risk signals</x:v>
      </x:c>
      <x:c r="E23" t="str">
        <x:v>Cleared</x:v>
      </x:c>
      <x:c r="F23" t="n">
        <x:v>8</x:v>
      </x:c>
      <x:c r="G23" t="n">
        <x:f>IFERROR(INDEX(Transactions!$G$2:$G$1801,MATCH(B23,Transactions!$A$2:$A$1801,0)),0)</x:f>
        <x:v>69.27</x:v>
      </x:c>
    </x:row>
    <x:row r="24">
      <x:c r="A24" t="n">
        <x:v>23</x:v>
      </x:c>
      <x:c r="B24" t="n">
        <x:v>664</x:v>
      </x:c>
      <x:c r="C24" s="16" t="n">
        <x:v>46231</x:v>
      </x:c>
      <x:c r="D24" t="str">
        <x:v>Multiple risk signals</x:v>
      </x:c>
      <x:c r="E24" t="str">
        <x:v>Cleared</x:v>
      </x:c>
      <x:c r="F24" t="n">
        <x:v>60</x:v>
      </x:c>
      <x:c r="G24" t="n">
        <x:f>IFERROR(INDEX(Transactions!$G$2:$G$1801,MATCH(B24,Transactions!$A$2:$A$1801,0)),0)</x:f>
        <x:v>76.8</x:v>
      </x:c>
    </x:row>
    <x:row r="25">
      <x:c r="A25" t="n">
        <x:v>24</x:v>
      </x:c>
      <x:c r="B25" t="n">
        <x:v>676</x:v>
      </x:c>
      <x:c r="C25" s="16" t="n">
        <x:v>46249</x:v>
      </x:c>
      <x:c r="D25" t="str">
        <x:v>Multiple risk signals</x:v>
      </x:c>
      <x:c r="E25" t="str">
        <x:v>Cleared</x:v>
      </x:c>
      <x:c r="F25" t="n">
        <x:v>60</x:v>
      </x:c>
      <x:c r="G25" t="n">
        <x:f>IFERROR(INDEX(Transactions!$G$2:$G$1801,MATCH(B25,Transactions!$A$2:$A$1801,0)),0)</x:f>
        <x:v>725.52</x:v>
      </x:c>
    </x:row>
    <x:row r="26">
      <x:c r="A26" t="n">
        <x:v>25</x:v>
      </x:c>
      <x:c r="B26" t="n">
        <x:v>684</x:v>
      </x:c>
      <x:c r="C26" s="16" t="n">
        <x:v>46129</x:v>
      </x:c>
      <x:c r="D26" t="str">
        <x:v>Multiple risk signals</x:v>
      </x:c>
      <x:c r="E26" t="str">
        <x:v>Cleared</x:v>
      </x:c>
      <x:c r="F26" t="n">
        <x:v>8</x:v>
      </x:c>
      <x:c r="G26" t="n">
        <x:f>IFERROR(INDEX(Transactions!$G$2:$G$1801,MATCH(B26,Transactions!$A$2:$A$1801,0)),0)</x:f>
        <x:v>1008.66</x:v>
      </x:c>
    </x:row>
    <x:row r="27">
      <x:c r="A27" t="n">
        <x:v>26</x:v>
      </x:c>
      <x:c r="B27" t="n">
        <x:v>685</x:v>
      </x:c>
      <x:c r="C27" s="16" t="n">
        <x:v>46164</x:v>
      </x:c>
      <x:c r="D27" t="str">
        <x:v>Multiple risk signals</x:v>
      </x:c>
      <x:c r="E27" t="str">
        <x:v>Cleared</x:v>
      </x:c>
      <x:c r="F27" t="n">
        <x:v>30</x:v>
      </x:c>
      <x:c r="G27" t="n">
        <x:f>IFERROR(INDEX(Transactions!$G$2:$G$1801,MATCH(B27,Transactions!$A$2:$A$1801,0)),0)</x:f>
        <x:v>1120.27</x:v>
      </x:c>
    </x:row>
    <x:row r="28">
      <x:c r="A28" t="n">
        <x:v>27</x:v>
      </x:c>
      <x:c r="B28" t="n">
        <x:v>686</x:v>
      </x:c>
      <x:c r="C28" s="16" t="n">
        <x:v>46243</x:v>
      </x:c>
      <x:c r="D28" t="str">
        <x:v>Multiple risk signals</x:v>
      </x:c>
      <x:c r="E28" t="str">
        <x:v>Cleared</x:v>
      </x:c>
      <x:c r="F28" t="n">
        <x:v>75</x:v>
      </x:c>
      <x:c r="G28" t="n">
        <x:f>IFERROR(INDEX(Transactions!$G$2:$G$1801,MATCH(B28,Transactions!$A$2:$A$1801,0)),0)</x:f>
        <x:v>27.7</x:v>
      </x:c>
    </x:row>
    <x:row r="29">
      <x:c r="A29" t="n">
        <x:v>28</x:v>
      </x:c>
      <x:c r="B29" t="n">
        <x:v>723</x:v>
      </x:c>
      <x:c r="C29" s="16" t="n">
        <x:v>46197</x:v>
      </x:c>
      <x:c r="D29" t="str">
        <x:v>Multiple risk signals</x:v>
      </x:c>
      <x:c r="E29" t="str">
        <x:v>Cleared</x:v>
      </x:c>
      <x:c r="F29" t="n">
        <x:v>18</x:v>
      </x:c>
      <x:c r="G29" t="n">
        <x:f>IFERROR(INDEX(Transactions!$G$2:$G$1801,MATCH(B29,Transactions!$A$2:$A$1801,0)),0)</x:f>
        <x:v>1769.8</x:v>
      </x:c>
    </x:row>
    <x:row r="30">
      <x:c r="A30" t="n">
        <x:v>29</x:v>
      </x:c>
      <x:c r="B30" t="n">
        <x:v>732</x:v>
      </x:c>
      <x:c r="C30" s="16" t="n">
        <x:v>46175</x:v>
      </x:c>
      <x:c r="D30" t="str">
        <x:v>Multiple risk signals</x:v>
      </x:c>
      <x:c r="E30" t="str">
        <x:v>Cleared</x:v>
      </x:c>
      <x:c r="F30" t="n">
        <x:v>18</x:v>
      </x:c>
      <x:c r="G30" t="n">
        <x:f>IFERROR(INDEX(Transactions!$G$2:$G$1801,MATCH(B30,Transactions!$A$2:$A$1801,0)),0)</x:f>
        <x:v>89.98</x:v>
      </x:c>
    </x:row>
    <x:row r="31">
      <x:c r="A31" t="n">
        <x:v>30</x:v>
      </x:c>
      <x:c r="B31" t="n">
        <x:v>760</x:v>
      </x:c>
      <x:c r="C31" s="16" t="n">
        <x:v>46170</x:v>
      </x:c>
      <x:c r="D31" t="str">
        <x:v>Multiple risk signals</x:v>
      </x:c>
      <x:c r="E31" t="str">
        <x:v>Cleared</x:v>
      </x:c>
      <x:c r="F31" t="n">
        <x:v>45</x:v>
      </x:c>
      <x:c r="G31" t="n">
        <x:f>IFERROR(INDEX(Transactions!$G$2:$G$1801,MATCH(B31,Transactions!$A$2:$A$1801,0)),0)</x:f>
        <x:v>75.01</x:v>
      </x:c>
    </x:row>
    <x:row r="32">
      <x:c r="A32" t="n">
        <x:v>31</x:v>
      </x:c>
      <x:c r="B32" t="n">
        <x:v>778</x:v>
      </x:c>
      <x:c r="C32" s="16" t="n">
        <x:v>46217</x:v>
      </x:c>
      <x:c r="D32" t="str">
        <x:v>Multiple risk signals</x:v>
      </x:c>
      <x:c r="E32" t="str">
        <x:v>Cleared</x:v>
      </x:c>
      <x:c r="F32" t="n">
        <x:v>18</x:v>
      </x:c>
      <x:c r="G32" t="n">
        <x:f>IFERROR(INDEX(Transactions!$G$2:$G$1801,MATCH(B32,Transactions!$A$2:$A$1801,0)),0)</x:f>
        <x:v>754.5</x:v>
      </x:c>
    </x:row>
    <x:row r="33">
      <x:c r="A33" t="n">
        <x:v>32</x:v>
      </x:c>
      <x:c r="B33" t="n">
        <x:v>798</x:v>
      </x:c>
      <x:c r="C33" s="16" t="n">
        <x:v>46117</x:v>
      </x:c>
      <x:c r="D33" t="str">
        <x:v>Multiple risk signals</x:v>
      </x:c>
      <x:c r="E33" t="str">
        <x:v>Cleared</x:v>
      </x:c>
      <x:c r="F33" t="n">
        <x:v>18</x:v>
      </x:c>
      <x:c r="G33" t="n">
        <x:f>IFERROR(INDEX(Transactions!$G$2:$G$1801,MATCH(B33,Transactions!$A$2:$A$1801,0)),0)</x:f>
        <x:v>703.17</x:v>
      </x:c>
    </x:row>
    <x:row r="34">
      <x:c r="A34" t="n">
        <x:v>33</x:v>
      </x:c>
      <x:c r="B34" t="n">
        <x:v>810</x:v>
      </x:c>
      <x:c r="C34" s="16" t="n">
        <x:v>46254</x:v>
      </x:c>
      <x:c r="D34" t="str">
        <x:v>Multiple risk signals</x:v>
      </x:c>
      <x:c r="E34" t="str">
        <x:v>Escalated</x:v>
      </x:c>
      <x:c r="F34" t="n">
        <x:v>60</x:v>
      </x:c>
      <x:c r="G34" t="n">
        <x:f>IFERROR(INDEX(Transactions!$G$2:$G$1801,MATCH(B34,Transactions!$A$2:$A$1801,0)),0)</x:f>
        <x:v>122.04</x:v>
      </x:c>
    </x:row>
    <x:row r="35">
      <x:c r="A35" t="n">
        <x:v>34</x:v>
      </x:c>
      <x:c r="B35" t="n">
        <x:v>857</x:v>
      </x:c>
      <x:c r="C35" s="16" t="n">
        <x:v>46235</x:v>
      </x:c>
      <x:c r="D35" t="str">
        <x:v>Multiple risk signals</x:v>
      </x:c>
      <x:c r="E35" t="str">
        <x:v>Cleared</x:v>
      </x:c>
      <x:c r="F35" t="n">
        <x:v>15</x:v>
      </x:c>
      <x:c r="G35" t="n">
        <x:f>IFERROR(INDEX(Transactions!$G$2:$G$1801,MATCH(B35,Transactions!$A$2:$A$1801,0)),0)</x:f>
        <x:v>204.42</x:v>
      </x:c>
    </x:row>
    <x:row r="36">
      <x:c r="A36" t="n">
        <x:v>35</x:v>
      </x:c>
      <x:c r="B36" t="n">
        <x:v>888</x:v>
      </x:c>
      <x:c r="C36" s="16" t="n">
        <x:v>46214</x:v>
      </x:c>
      <x:c r="D36" t="str">
        <x:v>Multiple risk signals</x:v>
      </x:c>
      <x:c r="E36" t="str">
        <x:v>Cleared</x:v>
      </x:c>
      <x:c r="F36" t="n">
        <x:v>30</x:v>
      </x:c>
      <x:c r="G36" t="n">
        <x:f>IFERROR(INDEX(Transactions!$G$2:$G$1801,MATCH(B36,Transactions!$A$2:$A$1801,0)),0)</x:f>
        <x:v>61.49</x:v>
      </x:c>
    </x:row>
    <x:row r="37">
      <x:c r="A37" t="n">
        <x:v>36</x:v>
      </x:c>
      <x:c r="B37" t="n">
        <x:v>905</x:v>
      </x:c>
      <x:c r="C37" s="16" t="n">
        <x:v>46233</x:v>
      </x:c>
      <x:c r="D37" t="str">
        <x:v>Multiple risk signals</x:v>
      </x:c>
      <x:c r="E37" t="str">
        <x:v>Cleared</x:v>
      </x:c>
      <x:c r="F37" t="n">
        <x:v>75</x:v>
      </x:c>
      <x:c r="G37" t="n">
        <x:f>IFERROR(INDEX(Transactions!$G$2:$G$1801,MATCH(B37,Transactions!$A$2:$A$1801,0)),0)</x:f>
        <x:v>1037.94</x:v>
      </x:c>
    </x:row>
    <x:row r="38">
      <x:c r="A38" t="n">
        <x:v>37</x:v>
      </x:c>
      <x:c r="B38" t="n">
        <x:v>934</x:v>
      </x:c>
      <x:c r="C38" s="16" t="n">
        <x:v>46181</x:v>
      </x:c>
      <x:c r="D38" t="str">
        <x:v>Multiple risk signals</x:v>
      </x:c>
      <x:c r="E38" t="str">
        <x:v>Cleared</x:v>
      </x:c>
      <x:c r="F38" t="n">
        <x:v>18</x:v>
      </x:c>
      <x:c r="G38" t="n">
        <x:f>IFERROR(INDEX(Transactions!$G$2:$G$1801,MATCH(B38,Transactions!$A$2:$A$1801,0)),0)</x:f>
        <x:v>61.05</x:v>
      </x:c>
    </x:row>
    <x:row r="39">
      <x:c r="A39" t="n">
        <x:v>38</x:v>
      </x:c>
      <x:c r="B39" t="n">
        <x:v>949</x:v>
      </x:c>
      <x:c r="C39" s="16" t="n">
        <x:v>46286</x:v>
      </x:c>
      <x:c r="D39" t="str">
        <x:v>Multiple risk signals</x:v>
      </x:c>
      <x:c r="E39" t="str">
        <x:v>Cleared</x:v>
      </x:c>
      <x:c r="F39" t="n">
        <x:v>23</x:v>
      </x:c>
      <x:c r="G39" t="n">
        <x:f>IFERROR(INDEX(Transactions!$G$2:$G$1801,MATCH(B39,Transactions!$A$2:$A$1801,0)),0)</x:f>
        <x:v>32.37</x:v>
      </x:c>
    </x:row>
    <x:row r="40">
      <x:c r="A40" t="n">
        <x:v>39</x:v>
      </x:c>
      <x:c r="B40" t="n">
        <x:v>950</x:v>
      </x:c>
      <x:c r="C40" s="16" t="n">
        <x:v>46285</x:v>
      </x:c>
      <x:c r="D40" t="str">
        <x:v>Multiple risk signals</x:v>
      </x:c>
      <x:c r="E40" t="str">
        <x:v>Escalated</x:v>
      </x:c>
      <x:c r="F40" t="n">
        <x:v>60</x:v>
      </x:c>
      <x:c r="G40" t="n">
        <x:f>IFERROR(INDEX(Transactions!$G$2:$G$1801,MATCH(B40,Transactions!$A$2:$A$1801,0)),0)</x:f>
        <x:v>685.99</x:v>
      </x:c>
    </x:row>
    <x:row r="41">
      <x:c r="A41" t="n">
        <x:v>40</x:v>
      </x:c>
      <x:c r="B41" t="n">
        <x:v>976</x:v>
      </x:c>
      <x:c r="C41" s="16" t="n">
        <x:v>46143</x:v>
      </x:c>
      <x:c r="D41" t="str">
        <x:v>Multiple risk signals</x:v>
      </x:c>
      <x:c r="E41" t="str">
        <x:v>Cleared</x:v>
      </x:c>
      <x:c r="F41" t="n">
        <x:v>45</x:v>
      </x:c>
      <x:c r="G41" t="n">
        <x:f>IFERROR(INDEX(Transactions!$G$2:$G$1801,MATCH(B41,Transactions!$A$2:$A$1801,0)),0)</x:f>
        <x:v>819.01</x:v>
      </x:c>
    </x:row>
    <x:row r="42">
      <x:c r="A42" t="n">
        <x:v>41</x:v>
      </x:c>
      <x:c r="B42" t="n">
        <x:v>990</x:v>
      </x:c>
      <x:c r="C42" s="16" t="n">
        <x:v>46275</x:v>
      </x:c>
      <x:c r="D42" t="str">
        <x:v>Multiple risk signals</x:v>
      </x:c>
      <x:c r="E42" t="str">
        <x:v>Cleared</x:v>
      </x:c>
      <x:c r="F42" t="n">
        <x:v>75</x:v>
      </x:c>
      <x:c r="G42" t="n">
        <x:f>IFERROR(INDEX(Transactions!$G$2:$G$1801,MATCH(B42,Transactions!$A$2:$A$1801,0)),0)</x:f>
        <x:v>415.69</x:v>
      </x:c>
    </x:row>
    <x:row r="43">
      <x:c r="A43" t="n">
        <x:v>42</x:v>
      </x:c>
      <x:c r="B43" t="n">
        <x:v>1025</x:v>
      </x:c>
      <x:c r="C43" s="16" t="n">
        <x:v>46232</x:v>
      </x:c>
      <x:c r="D43" t="str">
        <x:v>Multiple risk signals</x:v>
      </x:c>
      <x:c r="E43" t="str">
        <x:v>Cleared</x:v>
      </x:c>
      <x:c r="F43" t="n">
        <x:v>18</x:v>
      </x:c>
      <x:c r="G43" t="n">
        <x:f>IFERROR(INDEX(Transactions!$G$2:$G$1801,MATCH(B43,Transactions!$A$2:$A$1801,0)),0)</x:f>
        <x:v>730.1</x:v>
      </x:c>
    </x:row>
    <x:row r="44">
      <x:c r="A44" t="n">
        <x:v>43</x:v>
      </x:c>
      <x:c r="B44" t="n">
        <x:v>1045</x:v>
      </x:c>
      <x:c r="C44" s="16" t="n">
        <x:v>46286</x:v>
      </x:c>
      <x:c r="D44" t="str">
        <x:v>Multiple risk signals</x:v>
      </x:c>
      <x:c r="E44" t="str">
        <x:v>Cleared</x:v>
      </x:c>
      <x:c r="F44" t="n">
        <x:v>23</x:v>
      </x:c>
      <x:c r="G44" t="n">
        <x:f>IFERROR(INDEX(Transactions!$G$2:$G$1801,MATCH(B44,Transactions!$A$2:$A$1801,0)),0)</x:f>
        <x:v>189.69</x:v>
      </x:c>
    </x:row>
    <x:row r="45">
      <x:c r="A45" t="n">
        <x:v>44</x:v>
      </x:c>
      <x:c r="B45" t="n">
        <x:v>1079</x:v>
      </x:c>
      <x:c r="C45" s="16" t="n">
        <x:v>46229</x:v>
      </x:c>
      <x:c r="D45" t="str">
        <x:v>Multiple risk signals</x:v>
      </x:c>
      <x:c r="E45" t="str">
        <x:v>Cleared</x:v>
      </x:c>
      <x:c r="F45" t="n">
        <x:v>60</x:v>
      </x:c>
      <x:c r="G45" t="n">
        <x:f>IFERROR(INDEX(Transactions!$G$2:$G$1801,MATCH(B45,Transactions!$A$2:$A$1801,0)),0)</x:f>
        <x:v>156.25</x:v>
      </x:c>
    </x:row>
    <x:row r="46">
      <x:c r="A46" t="n">
        <x:v>45</x:v>
      </x:c>
      <x:c r="B46" t="n">
        <x:v>1108</x:v>
      </x:c>
      <x:c r="C46" s="16" t="n">
        <x:v>46131</x:v>
      </x:c>
      <x:c r="D46" t="str">
        <x:v>Multiple risk signals</x:v>
      </x:c>
      <x:c r="E46" t="str">
        <x:v>Cleared</x:v>
      </x:c>
      <x:c r="F46" t="n">
        <x:v>45</x:v>
      </x:c>
      <x:c r="G46" t="n">
        <x:f>IFERROR(INDEX(Transactions!$G$2:$G$1801,MATCH(B46,Transactions!$A$2:$A$1801,0)),0)</x:f>
        <x:v>683.39</x:v>
      </x:c>
    </x:row>
    <x:row r="47">
      <x:c r="A47" t="n">
        <x:v>46</x:v>
      </x:c>
      <x:c r="B47" t="n">
        <x:v>1173</x:v>
      </x:c>
      <x:c r="C47" s="16" t="n">
        <x:v>46225</x:v>
      </x:c>
      <x:c r="D47" t="str">
        <x:v>Multiple risk signals</x:v>
      </x:c>
      <x:c r="E47" t="str">
        <x:v>Escalated</x:v>
      </x:c>
      <x:c r="F47" t="n">
        <x:v>18</x:v>
      </x:c>
      <x:c r="G47" t="n">
        <x:f>IFERROR(INDEX(Transactions!$G$2:$G$1801,MATCH(B47,Transactions!$A$2:$A$1801,0)),0)</x:f>
        <x:v>883.96</x:v>
      </x:c>
    </x:row>
    <x:row r="48">
      <x:c r="A48" t="n">
        <x:v>47</x:v>
      </x:c>
      <x:c r="B48" t="n">
        <x:v>1176</x:v>
      </x:c>
      <x:c r="C48" s="16" t="n">
        <x:v>46212</x:v>
      </x:c>
      <x:c r="D48" t="str">
        <x:v>Multiple risk signals</x:v>
      </x:c>
      <x:c r="E48" t="str">
        <x:v>Confirmed Fraud</x:v>
      </x:c>
      <x:c r="F48" t="n">
        <x:v>15</x:v>
      </x:c>
      <x:c r="G48" t="n">
        <x:f>IFERROR(INDEX(Transactions!$G$2:$G$1801,MATCH(B48,Transactions!$A$2:$A$1801,0)),0)</x:f>
        <x:v>60.34</x:v>
      </x:c>
    </x:row>
    <x:row r="49">
      <x:c r="A49" t="n">
        <x:v>48</x:v>
      </x:c>
      <x:c r="B49" t="n">
        <x:v>1188</x:v>
      </x:c>
      <x:c r="C49" s="16" t="n">
        <x:v>46244</x:v>
      </x:c>
      <x:c r="D49" t="str">
        <x:v>Multiple risk signals</x:v>
      </x:c>
      <x:c r="E49" t="str">
        <x:v>Cleared</x:v>
      </x:c>
      <x:c r="F49" t="n">
        <x:v>60</x:v>
      </x:c>
      <x:c r="G49" t="n">
        <x:f>IFERROR(INDEX(Transactions!$G$2:$G$1801,MATCH(B49,Transactions!$A$2:$A$1801,0)),0)</x:f>
        <x:v>43.52</x:v>
      </x:c>
    </x:row>
    <x:row r="50">
      <x:c r="A50" t="n">
        <x:v>49</x:v>
      </x:c>
      <x:c r="B50" t="n">
        <x:v>1190</x:v>
      </x:c>
      <x:c r="C50" s="16" t="n">
        <x:v>46132</x:v>
      </x:c>
      <x:c r="D50" t="str">
        <x:v>Multiple risk signals</x:v>
      </x:c>
      <x:c r="E50" t="str">
        <x:v>Confirmed Fraud</x:v>
      </x:c>
      <x:c r="F50" t="n">
        <x:v>23</x:v>
      </x:c>
      <x:c r="G50" t="n">
        <x:f>IFERROR(INDEX(Transactions!$G$2:$G$1801,MATCH(B50,Transactions!$A$2:$A$1801,0)),0)</x:f>
        <x:v>704.35</x:v>
      </x:c>
    </x:row>
    <x:row r="51">
      <x:c r="A51" t="n">
        <x:v>50</x:v>
      </x:c>
      <x:c r="B51" t="n">
        <x:v>1193</x:v>
      </x:c>
      <x:c r="C51" s="16" t="n">
        <x:v>46157</x:v>
      </x:c>
      <x:c r="D51" t="str">
        <x:v>Multiple risk signals</x:v>
      </x:c>
      <x:c r="E51" t="str">
        <x:v>Cleared</x:v>
      </x:c>
      <x:c r="F51" t="n">
        <x:v>23</x:v>
      </x:c>
      <x:c r="G51" t="n">
        <x:f>IFERROR(INDEX(Transactions!$G$2:$G$1801,MATCH(B51,Transactions!$A$2:$A$1801,0)),0)</x:f>
        <x:v>13.06</x:v>
      </x:c>
    </x:row>
    <x:row r="52">
      <x:c r="A52" t="n">
        <x:v>51</x:v>
      </x:c>
      <x:c r="B52" t="n">
        <x:v>1202</x:v>
      </x:c>
      <x:c r="C52" s="16" t="n">
        <x:v>46165</x:v>
      </x:c>
      <x:c r="D52" t="str">
        <x:v>Multiple risk signals</x:v>
      </x:c>
      <x:c r="E52" t="str">
        <x:v>Confirmed Fraud</x:v>
      </x:c>
      <x:c r="F52" t="n">
        <x:v>15</x:v>
      </x:c>
      <x:c r="G52" t="n">
        <x:f>IFERROR(INDEX(Transactions!$G$2:$G$1801,MATCH(B52,Transactions!$A$2:$A$1801,0)),0)</x:f>
        <x:v>897</x:v>
      </x:c>
    </x:row>
    <x:row r="53">
      <x:c r="A53" t="n">
        <x:v>52</x:v>
      </x:c>
      <x:c r="B53" t="n">
        <x:v>1224</x:v>
      </x:c>
      <x:c r="C53" s="16" t="n">
        <x:v>46171</x:v>
      </x:c>
      <x:c r="D53" t="str">
        <x:v>Multiple risk signals</x:v>
      </x:c>
      <x:c r="E53" t="str">
        <x:v>Confirmed Fraud</x:v>
      </x:c>
      <x:c r="F53" t="n">
        <x:v>8</x:v>
      </x:c>
      <x:c r="G53" t="n">
        <x:f>IFERROR(INDEX(Transactions!$G$2:$G$1801,MATCH(B53,Transactions!$A$2:$A$1801,0)),0)</x:f>
        <x:v>140.1</x:v>
      </x:c>
    </x:row>
    <x:row r="54">
      <x:c r="A54" t="n">
        <x:v>53</x:v>
      </x:c>
      <x:c r="B54" t="n">
        <x:v>1233</x:v>
      </x:c>
      <x:c r="C54" s="16" t="n">
        <x:v>46281</x:v>
      </x:c>
      <x:c r="D54" t="str">
        <x:v>Multiple risk signals</x:v>
      </x:c>
      <x:c r="E54" t="str">
        <x:v>Cleared</x:v>
      </x:c>
      <x:c r="F54" t="n">
        <x:v>23</x:v>
      </x:c>
      <x:c r="G54" t="n">
        <x:f>IFERROR(INDEX(Transactions!$G$2:$G$1801,MATCH(B54,Transactions!$A$2:$A$1801,0)),0)</x:f>
        <x:v>1092.01</x:v>
      </x:c>
    </x:row>
    <x:row r="55">
      <x:c r="A55" t="n">
        <x:v>54</x:v>
      </x:c>
      <x:c r="B55" t="n">
        <x:v>1243</x:v>
      </x:c>
      <x:c r="C55" s="16" t="n">
        <x:v>46196</x:v>
      </x:c>
      <x:c r="D55" t="str">
        <x:v>Multiple risk signals</x:v>
      </x:c>
      <x:c r="E55" t="str">
        <x:v>Cleared</x:v>
      </x:c>
      <x:c r="F55" t="n">
        <x:v>75</x:v>
      </x:c>
      <x:c r="G55" t="n">
        <x:f>IFERROR(INDEX(Transactions!$G$2:$G$1801,MATCH(B55,Transactions!$A$2:$A$1801,0)),0)</x:f>
        <x:v>30.86</x:v>
      </x:c>
    </x:row>
    <x:row r="56">
      <x:c r="A56" t="n">
        <x:v>55</x:v>
      </x:c>
      <x:c r="B56" t="n">
        <x:v>1284</x:v>
      </x:c>
      <x:c r="C56" s="16" t="n">
        <x:v>46219</x:v>
      </x:c>
      <x:c r="D56" t="str">
        <x:v>Multiple risk signals</x:v>
      </x:c>
      <x:c r="E56" t="str">
        <x:v>Cleared</x:v>
      </x:c>
      <x:c r="F56" t="n">
        <x:v>75</x:v>
      </x:c>
      <x:c r="G56" t="n">
        <x:f>IFERROR(INDEX(Transactions!$G$2:$G$1801,MATCH(B56,Transactions!$A$2:$A$1801,0)),0)</x:f>
        <x:v>2340.66</x:v>
      </x:c>
    </x:row>
    <x:row r="57">
      <x:c r="A57" t="n">
        <x:v>56</x:v>
      </x:c>
      <x:c r="B57" t="n">
        <x:v>1295</x:v>
      </x:c>
      <x:c r="C57" s="16" t="n">
        <x:v>46210</x:v>
      </x:c>
      <x:c r="D57" t="str">
        <x:v>Multiple risk signals</x:v>
      </x:c>
      <x:c r="E57" t="str">
        <x:v>Cleared</x:v>
      </x:c>
      <x:c r="F57" t="n">
        <x:v>12</x:v>
      </x:c>
      <x:c r="G57" t="n">
        <x:f>IFERROR(INDEX(Transactions!$G$2:$G$1801,MATCH(B57,Transactions!$A$2:$A$1801,0)),0)</x:f>
        <x:v>1006.37</x:v>
      </x:c>
    </x:row>
    <x:row r="58">
      <x:c r="A58" t="n">
        <x:v>57</x:v>
      </x:c>
      <x:c r="B58" t="n">
        <x:v>1327</x:v>
      </x:c>
      <x:c r="C58" s="16" t="n">
        <x:v>46237</x:v>
      </x:c>
      <x:c r="D58" t="str">
        <x:v>Multiple risk signals</x:v>
      </x:c>
      <x:c r="E58" t="str">
        <x:v>Cleared</x:v>
      </x:c>
      <x:c r="F58" t="n">
        <x:v>75</x:v>
      </x:c>
      <x:c r="G58" t="n">
        <x:f>IFERROR(INDEX(Transactions!$G$2:$G$1801,MATCH(B58,Transactions!$A$2:$A$1801,0)),0)</x:f>
        <x:v>35.41</x:v>
      </x:c>
    </x:row>
    <x:row r="59">
      <x:c r="A59" t="n">
        <x:v>58</x:v>
      </x:c>
      <x:c r="B59" t="n">
        <x:v>1387</x:v>
      </x:c>
      <x:c r="C59" s="16" t="n">
        <x:v>46177</x:v>
      </x:c>
      <x:c r="D59" t="str">
        <x:v>Multiple risk signals</x:v>
      </x:c>
      <x:c r="E59" t="str">
        <x:v>Cleared</x:v>
      </x:c>
      <x:c r="F59" t="n">
        <x:v>15</x:v>
      </x:c>
      <x:c r="G59" t="n">
        <x:f>IFERROR(INDEX(Transactions!$G$2:$G$1801,MATCH(B59,Transactions!$A$2:$A$1801,0)),0)</x:f>
        <x:v>107.47</x:v>
      </x:c>
    </x:row>
    <x:row r="60">
      <x:c r="A60" t="n">
        <x:v>59</x:v>
      </x:c>
      <x:c r="B60" t="n">
        <x:v>1435</x:v>
      </x:c>
      <x:c r="C60" s="16" t="n">
        <x:v>46182</x:v>
      </x:c>
      <x:c r="D60" t="str">
        <x:v>Multiple risk signals</x:v>
      </x:c>
      <x:c r="E60" t="str">
        <x:v>Cleared</x:v>
      </x:c>
      <x:c r="F60" t="n">
        <x:v>12</x:v>
      </x:c>
      <x:c r="G60" t="n">
        <x:f>IFERROR(INDEX(Transactions!$G$2:$G$1801,MATCH(B60,Transactions!$A$2:$A$1801,0)),0)</x:f>
        <x:v>21.64</x:v>
      </x:c>
    </x:row>
    <x:row r="61">
      <x:c r="A61" t="n">
        <x:v>60</x:v>
      </x:c>
      <x:c r="B61" t="n">
        <x:v>1447</x:v>
      </x:c>
      <x:c r="C61" s="16" t="n">
        <x:v>46230</x:v>
      </x:c>
      <x:c r="D61" t="str">
        <x:v>Multiple risk signals</x:v>
      </x:c>
      <x:c r="E61" t="str">
        <x:v>Cleared</x:v>
      </x:c>
      <x:c r="F61" t="n">
        <x:v>12</x:v>
      </x:c>
      <x:c r="G61" t="n">
        <x:f>IFERROR(INDEX(Transactions!$G$2:$G$1801,MATCH(B61,Transactions!$A$2:$A$1801,0)),0)</x:f>
        <x:v>36.55</x:v>
      </x:c>
    </x:row>
    <x:row r="62">
      <x:c r="A62" t="n">
        <x:v>61</x:v>
      </x:c>
      <x:c r="B62" t="n">
        <x:v>1452</x:v>
      </x:c>
      <x:c r="C62" s="16" t="n">
        <x:v>46189</x:v>
      </x:c>
      <x:c r="D62" t="str">
        <x:v>Multiple risk signals</x:v>
      </x:c>
      <x:c r="E62" t="str">
        <x:v>Cleared</x:v>
      </x:c>
      <x:c r="F62" t="n">
        <x:v>8</x:v>
      </x:c>
      <x:c r="G62" t="n">
        <x:f>IFERROR(INDEX(Transactions!$G$2:$G$1801,MATCH(B62,Transactions!$A$2:$A$1801,0)),0)</x:f>
        <x:v>416.17</x:v>
      </x:c>
    </x:row>
    <x:row r="63">
      <x:c r="A63" t="n">
        <x:v>62</x:v>
      </x:c>
      <x:c r="B63" t="n">
        <x:v>1487</x:v>
      </x:c>
      <x:c r="C63" s="16" t="n">
        <x:v>46182</x:v>
      </x:c>
      <x:c r="D63" t="str">
        <x:v>Multiple risk signals</x:v>
      </x:c>
      <x:c r="E63" t="str">
        <x:v>Cleared</x:v>
      </x:c>
      <x:c r="F63" t="n">
        <x:v>45</x:v>
      </x:c>
      <x:c r="G63" t="n">
        <x:f>IFERROR(INDEX(Transactions!$G$2:$G$1801,MATCH(B63,Transactions!$A$2:$A$1801,0)),0)</x:f>
        <x:v>18.6</x:v>
      </x:c>
    </x:row>
    <x:row r="64">
      <x:c r="A64" t="n">
        <x:v>63</x:v>
      </x:c>
      <x:c r="B64" t="n">
        <x:v>1512</x:v>
      </x:c>
      <x:c r="C64" s="16" t="n">
        <x:v>46205</x:v>
      </x:c>
      <x:c r="D64" t="str">
        <x:v>Multiple risk signals</x:v>
      </x:c>
      <x:c r="E64" t="str">
        <x:v>Cleared</x:v>
      </x:c>
      <x:c r="F64" t="n">
        <x:v>18</x:v>
      </x:c>
      <x:c r="G64" t="n">
        <x:f>IFERROR(INDEX(Transactions!$G$2:$G$1801,MATCH(B64,Transactions!$A$2:$A$1801,0)),0)</x:f>
        <x:v>976.54</x:v>
      </x:c>
    </x:row>
    <x:row r="65">
      <x:c r="A65" t="n">
        <x:v>64</x:v>
      </x:c>
      <x:c r="B65" t="n">
        <x:v>1546</x:v>
      </x:c>
      <x:c r="C65" s="16" t="n">
        <x:v>46130</x:v>
      </x:c>
      <x:c r="D65" t="str">
        <x:v>Multiple risk signals</x:v>
      </x:c>
      <x:c r="E65" t="str">
        <x:v>Cleared</x:v>
      </x:c>
      <x:c r="F65" t="n">
        <x:v>12</x:v>
      </x:c>
      <x:c r="G65" t="n">
        <x:f>IFERROR(INDEX(Transactions!$G$2:$G$1801,MATCH(B65,Transactions!$A$2:$A$1801,0)),0)</x:f>
        <x:v>38.75</x:v>
      </x:c>
    </x:row>
    <x:row r="66">
      <x:c r="A66" t="n">
        <x:v>65</x:v>
      </x:c>
      <x:c r="B66" t="n">
        <x:v>1574</x:v>
      </x:c>
      <x:c r="C66" s="16" t="n">
        <x:v>46137</x:v>
      </x:c>
      <x:c r="D66" t="str">
        <x:v>Multiple risk signals</x:v>
      </x:c>
      <x:c r="E66" t="str">
        <x:v>Cleared</x:v>
      </x:c>
      <x:c r="F66" t="n">
        <x:v>45</x:v>
      </x:c>
      <x:c r="G66" t="n">
        <x:f>IFERROR(INDEX(Transactions!$G$2:$G$1801,MATCH(B66,Transactions!$A$2:$A$1801,0)),0)</x:f>
        <x:v>236.72</x:v>
      </x:c>
    </x:row>
    <x:row r="67">
      <x:c r="A67" t="n">
        <x:v>66</x:v>
      </x:c>
      <x:c r="B67" t="n">
        <x:v>1591</x:v>
      </x:c>
      <x:c r="C67" s="16" t="n">
        <x:v>46152</x:v>
      </x:c>
      <x:c r="D67" t="str">
        <x:v>Multiple risk signals</x:v>
      </x:c>
      <x:c r="E67" t="str">
        <x:v>Cleared</x:v>
      </x:c>
      <x:c r="F67" t="n">
        <x:v>15</x:v>
      </x:c>
      <x:c r="G67" t="n">
        <x:f>IFERROR(INDEX(Transactions!$G$2:$G$1801,MATCH(B67,Transactions!$A$2:$A$1801,0)),0)</x:f>
        <x:v>288.74</x:v>
      </x:c>
    </x:row>
    <x:row r="68">
      <x:c r="A68" t="n">
        <x:v>67</x:v>
      </x:c>
      <x:c r="B68" t="n">
        <x:v>1599</x:v>
      </x:c>
      <x:c r="C68" s="16" t="n">
        <x:v>46177</x:v>
      </x:c>
      <x:c r="D68" t="str">
        <x:v>Multiple risk signals</x:v>
      </x:c>
      <x:c r="E68" t="str">
        <x:v>Cleared</x:v>
      </x:c>
      <x:c r="F68" t="n">
        <x:v>60</x:v>
      </x:c>
      <x:c r="G68" t="n">
        <x:f>IFERROR(INDEX(Transactions!$G$2:$G$1801,MATCH(B68,Transactions!$A$2:$A$1801,0)),0)</x:f>
        <x:v>111.83</x:v>
      </x:c>
    </x:row>
    <x:row r="69">
      <x:c r="A69" t="n">
        <x:v>68</x:v>
      </x:c>
      <x:c r="B69" t="n">
        <x:v>1611</x:v>
      </x:c>
      <x:c r="C69" s="16" t="n">
        <x:v>46211</x:v>
      </x:c>
      <x:c r="D69" t="str">
        <x:v>Multiple risk signals</x:v>
      </x:c>
      <x:c r="E69" t="str">
        <x:v>Cleared</x:v>
      </x:c>
      <x:c r="F69" t="n">
        <x:v>23</x:v>
      </x:c>
      <x:c r="G69" t="n">
        <x:f>IFERROR(INDEX(Transactions!$G$2:$G$1801,MATCH(B69,Transactions!$A$2:$A$1801,0)),0)</x:f>
        <x:v>164.48</x:v>
      </x:c>
    </x:row>
    <x:row r="70">
      <x:c r="A70" t="n">
        <x:v>69</x:v>
      </x:c>
      <x:c r="B70" t="n">
        <x:v>1627</x:v>
      </x:c>
      <x:c r="C70" s="16" t="n">
        <x:v>46146</x:v>
      </x:c>
      <x:c r="D70" t="str">
        <x:v>Multiple risk signals</x:v>
      </x:c>
      <x:c r="E70" t="str">
        <x:v>Cleared</x:v>
      </x:c>
      <x:c r="F70" t="n">
        <x:v>15</x:v>
      </x:c>
      <x:c r="G70" t="n">
        <x:f>IFERROR(INDEX(Transactions!$G$2:$G$1801,MATCH(B70,Transactions!$A$2:$A$1801,0)),0)</x:f>
        <x:v>44.22</x:v>
      </x:c>
    </x:row>
    <x:row r="71">
      <x:c r="A71" t="n">
        <x:v>70</x:v>
      </x:c>
      <x:c r="B71" t="n">
        <x:v>1666</x:v>
      </x:c>
      <x:c r="C71" s="16" t="n">
        <x:v>46261</x:v>
      </x:c>
      <x:c r="D71" t="str">
        <x:v>Multiple risk signals</x:v>
      </x:c>
      <x:c r="E71" t="str">
        <x:v>Cleared</x:v>
      </x:c>
      <x:c r="F71" t="n">
        <x:v>30</x:v>
      </x:c>
      <x:c r="G71" t="n">
        <x:f>IFERROR(INDEX(Transactions!$G$2:$G$1801,MATCH(B71,Transactions!$A$2:$A$1801,0)),0)</x:f>
        <x:v>339.05</x:v>
      </x:c>
    </x:row>
    <x:row r="72">
      <x:c r="A72" t="n">
        <x:v>71</x:v>
      </x:c>
      <x:c r="B72" t="n">
        <x:v>1675</x:v>
      </x:c>
      <x:c r="C72" s="16" t="n">
        <x:v>46279</x:v>
      </x:c>
      <x:c r="D72" t="str">
        <x:v>Multiple risk signals</x:v>
      </x:c>
      <x:c r="E72" t="str">
        <x:v>Cleared</x:v>
      </x:c>
      <x:c r="F72" t="n">
        <x:v>12</x:v>
      </x:c>
      <x:c r="G72" t="n">
        <x:f>IFERROR(INDEX(Transactions!$G$2:$G$1801,MATCH(B72,Transactions!$A$2:$A$1801,0)),0)</x:f>
        <x:v>981.26</x:v>
      </x:c>
    </x:row>
    <x:row r="73">
      <x:c r="A73" t="n">
        <x:v>72</x:v>
      </x:c>
      <x:c r="B73" t="n">
        <x:v>1676</x:v>
      </x:c>
      <x:c r="C73" s="16" t="n">
        <x:v>46251</x:v>
      </x:c>
      <x:c r="D73" t="str">
        <x:v>Multiple risk signals</x:v>
      </x:c>
      <x:c r="E73" t="str">
        <x:v>Cleared</x:v>
      </x:c>
      <x:c r="F73" t="n">
        <x:v>18</x:v>
      </x:c>
      <x:c r="G73" t="n">
        <x:f>IFERROR(INDEX(Transactions!$G$2:$G$1801,MATCH(B73,Transactions!$A$2:$A$1801,0)),0)</x:f>
        <x:v>9.52</x:v>
      </x:c>
    </x:row>
    <x:row r="74">
      <x:c r="A74" t="n">
        <x:v>73</x:v>
      </x:c>
      <x:c r="B74" t="n">
        <x:v>1683</x:v>
      </x:c>
      <x:c r="C74" s="16" t="n">
        <x:v>46215</x:v>
      </x:c>
      <x:c r="D74" t="str">
        <x:v>Multiple risk signals</x:v>
      </x:c>
      <x:c r="E74" t="str">
        <x:v>Cleared</x:v>
      </x:c>
      <x:c r="F74" t="n">
        <x:v>75</x:v>
      </x:c>
      <x:c r="G74" t="n">
        <x:f>IFERROR(INDEX(Transactions!$G$2:$G$1801,MATCH(B74,Transactions!$A$2:$A$1801,0)),0)</x:f>
        <x:v>2899.31</x:v>
      </x:c>
    </x:row>
    <x:row r="75">
      <x:c r="A75" t="n">
        <x:v>74</x:v>
      </x:c>
      <x:c r="B75" t="n">
        <x:v>1698</x:v>
      </x:c>
      <x:c r="C75" s="16" t="n">
        <x:v>46170</x:v>
      </x:c>
      <x:c r="D75" t="str">
        <x:v>Multiple risk signals</x:v>
      </x:c>
      <x:c r="E75" t="str">
        <x:v>Confirmed Fraud</x:v>
      </x:c>
      <x:c r="F75" t="n">
        <x:v>60</x:v>
      </x:c>
      <x:c r="G75" t="n">
        <x:f>IFERROR(INDEX(Transactions!$G$2:$G$1801,MATCH(B75,Transactions!$A$2:$A$1801,0)),0)</x:f>
        <x:v>330.75</x:v>
      </x:c>
    </x:row>
    <x:row r="76">
      <x:c r="A76" t="n">
        <x:v>75</x:v>
      </x:c>
      <x:c r="B76" t="n">
        <x:v>1708</x:v>
      </x:c>
      <x:c r="C76" s="16" t="n">
        <x:v>46132</x:v>
      </x:c>
      <x:c r="D76" t="str">
        <x:v>Multiple risk signals</x:v>
      </x:c>
      <x:c r="E76" t="str">
        <x:v>Cleared</x:v>
      </x:c>
      <x:c r="F76" t="n">
        <x:v>30</x:v>
      </x:c>
      <x:c r="G76" t="n">
        <x:f>IFERROR(INDEX(Transactions!$G$2:$G$1801,MATCH(B76,Transactions!$A$2:$A$1801,0)),0)</x:f>
        <x:v>53.93</x:v>
      </x:c>
    </x:row>
    <x:row r="77">
      <x:c r="A77" t="n">
        <x:v>76</x:v>
      </x:c>
      <x:c r="B77" t="n">
        <x:v>1711</x:v>
      </x:c>
      <x:c r="C77" s="16" t="n">
        <x:v>46237</x:v>
      </x:c>
      <x:c r="D77" t="str">
        <x:v>Multiple risk signals</x:v>
      </x:c>
      <x:c r="E77" t="str">
        <x:v>Cleared</x:v>
      </x:c>
      <x:c r="F77" t="n">
        <x:v>12</x:v>
      </x:c>
      <x:c r="G77" t="n">
        <x:f>IFERROR(INDEX(Transactions!$G$2:$G$1801,MATCH(B77,Transactions!$A$2:$A$1801,0)),0)</x:f>
        <x:v>18.98</x:v>
      </x:c>
    </x:row>
    <x:row r="78">
      <x:c r="A78" t="n">
        <x:v>77</x:v>
      </x:c>
      <x:c r="B78" t="n">
        <x:v>1726</x:v>
      </x:c>
      <x:c r="C78" s="16" t="n">
        <x:v>46171</x:v>
      </x:c>
      <x:c r="D78" t="str">
        <x:v>Multiple risk signals</x:v>
      </x:c>
      <x:c r="E78" t="str">
        <x:v>Cleared</x:v>
      </x:c>
      <x:c r="F78" t="n">
        <x:v>30</x:v>
      </x:c>
      <x:c r="G78" t="n">
        <x:f>IFERROR(INDEX(Transactions!$G$2:$G$1801,MATCH(B78,Transactions!$A$2:$A$1801,0)),0)</x:f>
        <x:v>145.28</x:v>
      </x:c>
    </x:row>
    <x:row r="79">
      <x:c r="A79" t="n">
        <x:v>78</x:v>
      </x:c>
      <x:c r="B79" t="n">
        <x:v>1753</x:v>
      </x:c>
      <x:c r="C79" s="16" t="n">
        <x:v>46119</x:v>
      </x:c>
      <x:c r="D79" t="str">
        <x:v>Multiple risk signals</x:v>
      </x:c>
      <x:c r="E79" t="str">
        <x:v>Cleared</x:v>
      </x:c>
      <x:c r="F79" t="n">
        <x:v>12</x:v>
      </x:c>
      <x:c r="G79" t="n">
        <x:f>IFERROR(INDEX(Transactions!$G$2:$G$1801,MATCH(B79,Transactions!$A$2:$A$1801,0)),0)</x:f>
        <x:v>124.52</x:v>
      </x:c>
    </x:row>
    <x:row r="80">
      <x:c r="A80" t="n">
        <x:v>79</x:v>
      </x:c>
      <x:c r="B80" t="n">
        <x:v>1755</x:v>
      </x:c>
      <x:c r="C80" s="16" t="n">
        <x:v>46243</x:v>
      </x:c>
      <x:c r="D80" t="str">
        <x:v>Multiple risk signals</x:v>
      </x:c>
      <x:c r="E80" t="str">
        <x:v>Cleared</x:v>
      </x:c>
      <x:c r="F80" t="n">
        <x:v>8</x:v>
      </x:c>
      <x:c r="G80" t="n">
        <x:f>IFERROR(INDEX(Transactions!$G$2:$G$1801,MATCH(B80,Transactions!$A$2:$A$1801,0)),0)</x:f>
        <x:v>107</x:v>
      </x:c>
    </x:row>
    <x:row r="81">
      <x:c r="A81" t="n">
        <x:v>80</x:v>
      </x:c>
      <x:c r="B81" t="n">
        <x:v>1758</x:v>
      </x:c>
      <x:c r="C81" s="16" t="n">
        <x:v>46289</x:v>
      </x:c>
      <x:c r="D81" t="str">
        <x:v>Multiple risk signals</x:v>
      </x:c>
      <x:c r="E81" t="str">
        <x:v>Cleared</x:v>
      </x:c>
      <x:c r="F81" t="n">
        <x:v>75</x:v>
      </x:c>
      <x:c r="G81" t="n">
        <x:f>IFERROR(INDEX(Transactions!$G$2:$G$1801,MATCH(B81,Transactions!$A$2:$A$1801,0)),0)</x:f>
        <x:v>124.57</x:v>
      </x:c>
    </x:row>
    <x:row r="82">
      <x:c r="A82" t="n">
        <x:v>81</x:v>
      </x:c>
      <x:c r="B82" t="n">
        <x:v>1785</x:v>
      </x:c>
      <x:c r="C82" s="16" t="n">
        <x:v>46204</x:v>
      </x:c>
      <x:c r="D82" t="str">
        <x:v>Multiple risk signals</x:v>
      </x:c>
      <x:c r="E82" t="str">
        <x:v>Cleared</x:v>
      </x:c>
      <x:c r="F82" t="n">
        <x:v>60</x:v>
      </x:c>
      <x:c r="G82" t="n">
        <x:f>IFERROR(INDEX(Transactions!$G$2:$G$1801,MATCH(B82,Transactions!$A$2:$A$1801,0)),0)</x:f>
        <x:v>140.25</x:v>
      </x:c>
    </x:row>
  </x:sheetData>
  <x:pageMargins left="0.7" right="0.7" top="0.75" bottom="0.75" header="0.3" footer="0.3"/>
</x:worksheet>
</file>